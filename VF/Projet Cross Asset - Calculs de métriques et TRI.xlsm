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468b3e9d8abaf9d/M2 Quant/S2/Projet Cross Asset/Vraie VF/"/>
    </mc:Choice>
  </mc:AlternateContent>
  <xr:revisionPtr revIDLastSave="314" documentId="13_ncr:1_{68896D9A-5C4D-46E1-8E4A-8165C3FFBC9C}" xr6:coauthVersionLast="47" xr6:coauthVersionMax="47" xr10:uidLastSave="{07571C12-C696-4380-A26A-34F6750EB3BA}"/>
  <bookViews>
    <workbookView xWindow="-28920" yWindow="-120" windowWidth="29040" windowHeight="15720" xr2:uid="{15531130-F32C-5948-82A9-84E2BDBD19D7}"/>
  </bookViews>
  <sheets>
    <sheet name="Infos utilisateur" sheetId="17" r:id="rId1"/>
    <sheet name="Résultat" sheetId="7" r:id="rId2"/>
    <sheet name="Hypothèses" sheetId="3" r:id="rId3"/>
    <sheet name="Poids Allocation" sheetId="1" r:id="rId4"/>
    <sheet name="Modèle" sheetId="6" r:id="rId5"/>
    <sheet name="Rendement hist" sheetId="5" r:id="rId6"/>
    <sheet name="Cours_Hist_figé" sheetId="4" state="hidden" r:id="rId7"/>
    <sheet name="Rendement annuel Bench" sheetId="8" r:id="rId8"/>
    <sheet name="Modèle hist bench" sheetId="9" r:id="rId9"/>
    <sheet name="Modèle hist Portefeuille" sheetId="11" r:id="rId10"/>
    <sheet name="Rendement annuel Portefeuille" sheetId="12" r:id="rId11"/>
    <sheet name="Poids Allocation Dynamique" sheetId="16" r:id="rId12"/>
    <sheet name="Modèle hist dynamique" sheetId="15" r:id="rId13"/>
  </sheets>
  <definedNames>
    <definedName name="duree_inv" localSheetId="8">'Modèle hist bench'!$C$7</definedName>
    <definedName name="duree_inv" localSheetId="12">'Modèle hist dynamique'!$C$7</definedName>
    <definedName name="duree_inv" localSheetId="9">'Modèle hist Portefeuille'!$C$7</definedName>
    <definedName name="duree_inv">Modèle!$C$7</definedName>
    <definedName name="horizon" localSheetId="8">'Modèle hist bench'!$C$6</definedName>
    <definedName name="horizon" localSheetId="12">'Modèle hist dynamique'!$C$6</definedName>
    <definedName name="horizon" localSheetId="9">'Modèle hist Portefeuille'!$C$6</definedName>
    <definedName name="horizon">Modèle!$C$6</definedName>
    <definedName name="periodicite" localSheetId="8">'Modèle hist bench'!$C$8</definedName>
    <definedName name="periodicite" localSheetId="12">'Modèle hist dynamique'!$C$8</definedName>
    <definedName name="periodicite" localSheetId="9">'Modèle hist Portefeuille'!$C$8</definedName>
    <definedName name="periodicite">Modèle!$C$8</definedName>
    <definedName name="start_year" localSheetId="8">'Modèle hist bench'!$G$10</definedName>
    <definedName name="start_year" localSheetId="12">'Modèle hist dynamique'!$G$10</definedName>
    <definedName name="start_year" localSheetId="9">'Modèle hist Portefeuille'!$G$10</definedName>
    <definedName name="start_year">Modèle!$G$10</definedName>
    <definedName name="z">Résultat!$C$7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3" i="16" l="1"/>
  <c r="I43" i="16" s="1"/>
  <c r="G43" i="16"/>
  <c r="H42" i="16"/>
  <c r="I42" i="16" s="1"/>
  <c r="G42" i="16"/>
  <c r="H41" i="16"/>
  <c r="I41" i="16" s="1"/>
  <c r="G41" i="16"/>
  <c r="H40" i="16"/>
  <c r="I40" i="16" s="1"/>
  <c r="G40" i="16"/>
  <c r="H39" i="16"/>
  <c r="I39" i="16" s="1"/>
  <c r="G39" i="16"/>
  <c r="H38" i="16"/>
  <c r="I38" i="16" s="1"/>
  <c r="G38" i="16"/>
  <c r="H37" i="16"/>
  <c r="I37" i="16" s="1"/>
  <c r="G37" i="16"/>
  <c r="H36" i="16"/>
  <c r="I36" i="16" s="1"/>
  <c r="G36" i="16"/>
  <c r="H35" i="16"/>
  <c r="I35" i="16" s="1"/>
  <c r="G35" i="16"/>
  <c r="H34" i="16"/>
  <c r="I34" i="16" s="1"/>
  <c r="G34" i="16"/>
  <c r="H33" i="16"/>
  <c r="I33" i="16" s="1"/>
  <c r="G33" i="16"/>
  <c r="H32" i="16"/>
  <c r="I32" i="16" s="1"/>
  <c r="G32" i="16"/>
  <c r="H31" i="16"/>
  <c r="I31" i="16" s="1"/>
  <c r="G31" i="16"/>
  <c r="H30" i="16"/>
  <c r="I30" i="16" s="1"/>
  <c r="G30" i="16"/>
  <c r="H29" i="16"/>
  <c r="I29" i="16" s="1"/>
  <c r="G29" i="16"/>
  <c r="H28" i="16"/>
  <c r="I28" i="16" s="1"/>
  <c r="G28" i="16"/>
  <c r="H27" i="16"/>
  <c r="I27" i="16" s="1"/>
  <c r="G27" i="16"/>
  <c r="H26" i="16"/>
  <c r="I26" i="16" s="1"/>
  <c r="G26" i="16"/>
  <c r="H25" i="16"/>
  <c r="I25" i="16" s="1"/>
  <c r="G25" i="16"/>
  <c r="H24" i="16"/>
  <c r="I24" i="16" s="1"/>
  <c r="G24" i="16"/>
  <c r="H23" i="16"/>
  <c r="I23" i="16" s="1"/>
  <c r="G23" i="16"/>
  <c r="H22" i="16"/>
  <c r="I22" i="16" s="1"/>
  <c r="G22" i="16"/>
  <c r="H21" i="16"/>
  <c r="I21" i="16" s="1"/>
  <c r="G21" i="16"/>
  <c r="H20" i="16"/>
  <c r="I20" i="16" s="1"/>
  <c r="G20" i="16"/>
  <c r="H19" i="16"/>
  <c r="I19" i="16" s="1"/>
  <c r="G19" i="16"/>
  <c r="H18" i="16"/>
  <c r="I18" i="16" s="1"/>
  <c r="G18" i="16"/>
  <c r="H17" i="16"/>
  <c r="I17" i="16" s="1"/>
  <c r="G17" i="16"/>
  <c r="H16" i="16"/>
  <c r="I16" i="16" s="1"/>
  <c r="G16" i="16"/>
  <c r="H15" i="16"/>
  <c r="I15" i="16" s="1"/>
  <c r="G15" i="16"/>
  <c r="H14" i="16"/>
  <c r="I14" i="16" s="1"/>
  <c r="G14" i="16"/>
  <c r="H13" i="16"/>
  <c r="I13" i="16" s="1"/>
  <c r="G13" i="16"/>
  <c r="H12" i="16"/>
  <c r="I12" i="16" s="1"/>
  <c r="G12" i="16"/>
  <c r="H11" i="16"/>
  <c r="I11" i="16" s="1"/>
  <c r="G11" i="16"/>
  <c r="H10" i="16"/>
  <c r="I10" i="16" s="1"/>
  <c r="G10" i="16"/>
  <c r="H9" i="16"/>
  <c r="I9" i="16" s="1"/>
  <c r="G9" i="16"/>
  <c r="H8" i="16"/>
  <c r="I8" i="16" s="1"/>
  <c r="G8" i="16"/>
  <c r="H7" i="16"/>
  <c r="I7" i="16" s="1"/>
  <c r="G7" i="16"/>
  <c r="H6" i="16"/>
  <c r="I6" i="16" s="1"/>
  <c r="G6" i="16"/>
  <c r="J5" i="16"/>
  <c r="J6" i="16" s="1"/>
  <c r="J7" i="16" s="1"/>
  <c r="J8" i="16" s="1"/>
  <c r="J9" i="16" s="1"/>
  <c r="J10" i="16" s="1"/>
  <c r="J11" i="16" s="1"/>
  <c r="J12" i="16" s="1"/>
  <c r="J13" i="16" s="1"/>
  <c r="J14" i="16" s="1"/>
  <c r="J15" i="16" s="1"/>
  <c r="J16" i="16" s="1"/>
  <c r="J17" i="16" s="1"/>
  <c r="J18" i="16" s="1"/>
  <c r="J19" i="16" s="1"/>
  <c r="J20" i="16" s="1"/>
  <c r="J21" i="16" s="1"/>
  <c r="J22" i="16" s="1"/>
  <c r="J23" i="16" s="1"/>
  <c r="J24" i="16" s="1"/>
  <c r="J25" i="16" s="1"/>
  <c r="J26" i="16" s="1"/>
  <c r="J27" i="16" s="1"/>
  <c r="J28" i="16" s="1"/>
  <c r="J29" i="16" s="1"/>
  <c r="J30" i="16" s="1"/>
  <c r="J31" i="16" s="1"/>
  <c r="J32" i="16" s="1"/>
  <c r="J33" i="16" s="1"/>
  <c r="J34" i="16" s="1"/>
  <c r="J35" i="16" s="1"/>
  <c r="J36" i="16" s="1"/>
  <c r="J37" i="16" s="1"/>
  <c r="J38" i="16" s="1"/>
  <c r="J39" i="16" s="1"/>
  <c r="J40" i="16" s="1"/>
  <c r="J41" i="16" s="1"/>
  <c r="J42" i="16" s="1"/>
  <c r="J43" i="16" s="1"/>
  <c r="H5" i="16"/>
  <c r="I5" i="16" s="1"/>
  <c r="G5" i="16"/>
  <c r="J4" i="16"/>
  <c r="H4" i="16"/>
  <c r="I4" i="16" s="1"/>
  <c r="G4" i="16"/>
  <c r="H3" i="16"/>
  <c r="I3" i="16" s="1"/>
  <c r="G3" i="16"/>
  <c r="G10" i="15"/>
  <c r="H10" i="15" s="1"/>
  <c r="I10" i="15" s="1"/>
  <c r="J10" i="15" s="1"/>
  <c r="G11" i="15" l="1"/>
  <c r="G12" i="15" s="1"/>
  <c r="K10" i="15"/>
  <c r="H14" i="8"/>
  <c r="I14" i="8"/>
  <c r="G14" i="8"/>
  <c r="P6" i="7"/>
  <c r="P5" i="7"/>
  <c r="P4" i="7"/>
  <c r="G10" i="11"/>
  <c r="G11" i="11" s="1"/>
  <c r="C14" i="8" a="1"/>
  <c r="C14" i="8" s="1"/>
  <c r="D14" i="8" a="1"/>
  <c r="D14" i="8" s="1"/>
  <c r="B14" i="8" a="1"/>
  <c r="B14" i="8" s="1"/>
  <c r="H11" i="15" l="1"/>
  <c r="I11" i="15" s="1"/>
  <c r="J11" i="15" s="1"/>
  <c r="H12" i="15"/>
  <c r="G13" i="15"/>
  <c r="P7" i="7"/>
  <c r="G12" i="11"/>
  <c r="H11" i="11"/>
  <c r="H10" i="11"/>
  <c r="G10" i="9"/>
  <c r="H10" i="9" s="1"/>
  <c r="K11" i="15" l="1"/>
  <c r="I12" i="15" s="1"/>
  <c r="J12" i="15" s="1"/>
  <c r="K12" i="15" s="1"/>
  <c r="G14" i="15"/>
  <c r="H13" i="15"/>
  <c r="I10" i="11"/>
  <c r="J10" i="11" s="1"/>
  <c r="H12" i="11"/>
  <c r="G13" i="11"/>
  <c r="G11" i="9"/>
  <c r="G12" i="9" s="1"/>
  <c r="H12" i="9" s="1"/>
  <c r="I10" i="9"/>
  <c r="J10" i="9" s="1"/>
  <c r="I13" i="15" l="1"/>
  <c r="J13" i="15" s="1"/>
  <c r="K13" i="15" s="1"/>
  <c r="H14" i="15"/>
  <c r="G15" i="15"/>
  <c r="K10" i="11"/>
  <c r="I11" i="11" s="1"/>
  <c r="G14" i="11"/>
  <c r="H13" i="11"/>
  <c r="G13" i="9"/>
  <c r="G14" i="9" s="1"/>
  <c r="H11" i="9"/>
  <c r="K10" i="9"/>
  <c r="I14" i="15" l="1"/>
  <c r="J14" i="15" s="1"/>
  <c r="G16" i="15"/>
  <c r="H15" i="15"/>
  <c r="J11" i="11"/>
  <c r="K11" i="11" s="1"/>
  <c r="I12" i="11" s="1"/>
  <c r="H13" i="9"/>
  <c r="G15" i="11"/>
  <c r="H14" i="11"/>
  <c r="I11" i="9"/>
  <c r="J11" i="9" s="1"/>
  <c r="H14" i="9"/>
  <c r="G15" i="9"/>
  <c r="K14" i="15" l="1"/>
  <c r="I15" i="15" s="1"/>
  <c r="G17" i="15"/>
  <c r="H16" i="15"/>
  <c r="J12" i="11"/>
  <c r="K12" i="11" s="1"/>
  <c r="I13" i="11" s="1"/>
  <c r="H15" i="11"/>
  <c r="G16" i="11"/>
  <c r="K11" i="9"/>
  <c r="I12" i="9" s="1"/>
  <c r="G16" i="9"/>
  <c r="H15" i="9"/>
  <c r="J15" i="15" l="1"/>
  <c r="K15" i="15" s="1"/>
  <c r="I16" i="15" s="1"/>
  <c r="G18" i="15"/>
  <c r="H17" i="15"/>
  <c r="J13" i="11"/>
  <c r="K13" i="11" s="1"/>
  <c r="I14" i="11" s="1"/>
  <c r="G17" i="11"/>
  <c r="H16" i="11"/>
  <c r="J12" i="9"/>
  <c r="K12" i="9" s="1"/>
  <c r="I13" i="9" s="1"/>
  <c r="G17" i="9"/>
  <c r="H16" i="9"/>
  <c r="J16" i="15" l="1"/>
  <c r="K16" i="15" s="1"/>
  <c r="I17" i="15" s="1"/>
  <c r="G19" i="15"/>
  <c r="H18" i="15"/>
  <c r="J14" i="11"/>
  <c r="K14" i="11" s="1"/>
  <c r="I15" i="11" s="1"/>
  <c r="G18" i="11"/>
  <c r="H17" i="11"/>
  <c r="J13" i="9"/>
  <c r="K13" i="9" s="1"/>
  <c r="I14" i="9" s="1"/>
  <c r="H17" i="9"/>
  <c r="G18" i="9"/>
  <c r="J17" i="15" l="1"/>
  <c r="K17" i="15" s="1"/>
  <c r="I18" i="15" s="1"/>
  <c r="H19" i="15"/>
  <c r="G20" i="15"/>
  <c r="J15" i="11"/>
  <c r="K15" i="11" s="1"/>
  <c r="I16" i="11" s="1"/>
  <c r="H18" i="11"/>
  <c r="G19" i="11"/>
  <c r="J14" i="9"/>
  <c r="K14" i="9" s="1"/>
  <c r="I15" i="9" s="1"/>
  <c r="G19" i="9"/>
  <c r="H18" i="9"/>
  <c r="J18" i="15" l="1"/>
  <c r="K18" i="15" s="1"/>
  <c r="I19" i="15" s="1"/>
  <c r="G21" i="15"/>
  <c r="K20" i="15"/>
  <c r="I20" i="15"/>
  <c r="J16" i="11"/>
  <c r="K16" i="11" s="1"/>
  <c r="I17" i="11" s="1"/>
  <c r="H19" i="11"/>
  <c r="G20" i="11"/>
  <c r="G21" i="11" s="1"/>
  <c r="J15" i="9"/>
  <c r="K15" i="9" s="1"/>
  <c r="I16" i="9" s="1"/>
  <c r="H19" i="9"/>
  <c r="G20" i="9"/>
  <c r="J19" i="15" l="1"/>
  <c r="K19" i="15" s="1"/>
  <c r="H20" i="15" s="1"/>
  <c r="C12" i="15" s="1"/>
  <c r="G22" i="15"/>
  <c r="K21" i="15"/>
  <c r="I21" i="15"/>
  <c r="H21" i="15"/>
  <c r="H21" i="11"/>
  <c r="G22" i="11"/>
  <c r="K21" i="11"/>
  <c r="I21" i="11"/>
  <c r="J17" i="11"/>
  <c r="K17" i="11" s="1"/>
  <c r="I18" i="11" s="1"/>
  <c r="K20" i="9"/>
  <c r="I20" i="9"/>
  <c r="J16" i="9"/>
  <c r="K16" i="9" s="1"/>
  <c r="I17" i="9" s="1"/>
  <c r="G21" i="9"/>
  <c r="C11" i="15" l="1"/>
  <c r="H22" i="15"/>
  <c r="G23" i="15"/>
  <c r="K22" i="15"/>
  <c r="I22" i="15"/>
  <c r="G23" i="11"/>
  <c r="K22" i="11"/>
  <c r="I22" i="11"/>
  <c r="H22" i="11"/>
  <c r="J18" i="11"/>
  <c r="K18" i="11" s="1"/>
  <c r="I19" i="11" s="1"/>
  <c r="I21" i="9"/>
  <c r="K21" i="9"/>
  <c r="J17" i="9"/>
  <c r="K17" i="9" s="1"/>
  <c r="I18" i="9" s="1"/>
  <c r="G22" i="9"/>
  <c r="H21" i="9"/>
  <c r="G24" i="15" l="1"/>
  <c r="K23" i="15"/>
  <c r="I23" i="15"/>
  <c r="H23" i="15"/>
  <c r="H23" i="11"/>
  <c r="K23" i="11"/>
  <c r="I23" i="11"/>
  <c r="G24" i="11"/>
  <c r="J19" i="11"/>
  <c r="K19" i="11" s="1"/>
  <c r="I20" i="11" s="1"/>
  <c r="I22" i="9"/>
  <c r="K22" i="9"/>
  <c r="J18" i="9"/>
  <c r="K18" i="9" s="1"/>
  <c r="I19" i="9" s="1"/>
  <c r="H22" i="9"/>
  <c r="G23" i="9"/>
  <c r="G25" i="15" l="1"/>
  <c r="K24" i="15"/>
  <c r="I24" i="15"/>
  <c r="H24" i="15"/>
  <c r="I24" i="11"/>
  <c r="G25" i="11"/>
  <c r="K24" i="11"/>
  <c r="H24" i="11"/>
  <c r="H20" i="11"/>
  <c r="C11" i="11" s="1"/>
  <c r="K20" i="11"/>
  <c r="I23" i="9"/>
  <c r="K23" i="9"/>
  <c r="J19" i="9"/>
  <c r="K19" i="9" s="1"/>
  <c r="H20" i="9" s="1"/>
  <c r="C11" i="9" s="1"/>
  <c r="G24" i="9"/>
  <c r="H23" i="9"/>
  <c r="H25" i="15" l="1"/>
  <c r="I25" i="15"/>
  <c r="G26" i="15"/>
  <c r="K25" i="15"/>
  <c r="K25" i="11"/>
  <c r="G26" i="11"/>
  <c r="H25" i="11"/>
  <c r="I25" i="11"/>
  <c r="I24" i="9"/>
  <c r="K24" i="9"/>
  <c r="C12" i="9"/>
  <c r="G25" i="9"/>
  <c r="H24" i="9"/>
  <c r="G27" i="15" l="1"/>
  <c r="K26" i="15"/>
  <c r="H26" i="15"/>
  <c r="I26" i="15"/>
  <c r="I26" i="11"/>
  <c r="K26" i="11"/>
  <c r="G27" i="11"/>
  <c r="H26" i="11"/>
  <c r="K25" i="9"/>
  <c r="I25" i="9"/>
  <c r="H25" i="9"/>
  <c r="G26" i="9"/>
  <c r="G28" i="15" l="1"/>
  <c r="K27" i="15"/>
  <c r="I27" i="15"/>
  <c r="H27" i="15"/>
  <c r="H27" i="11"/>
  <c r="I27" i="11"/>
  <c r="K27" i="11"/>
  <c r="G28" i="11"/>
  <c r="I26" i="9"/>
  <c r="K26" i="9"/>
  <c r="G27" i="9"/>
  <c r="H26" i="9"/>
  <c r="H28" i="15" l="1"/>
  <c r="G29" i="15"/>
  <c r="K28" i="15"/>
  <c r="I28" i="15"/>
  <c r="H28" i="11"/>
  <c r="I28" i="11"/>
  <c r="G29" i="11"/>
  <c r="K28" i="11"/>
  <c r="I27" i="9"/>
  <c r="K27" i="9"/>
  <c r="H27" i="9"/>
  <c r="G28" i="9"/>
  <c r="G30" i="15" l="1"/>
  <c r="K29" i="15"/>
  <c r="I29" i="15"/>
  <c r="H29" i="15"/>
  <c r="G30" i="11"/>
  <c r="H29" i="11"/>
  <c r="I29" i="11"/>
  <c r="K29" i="11"/>
  <c r="K28" i="9"/>
  <c r="I28" i="9"/>
  <c r="H28" i="9"/>
  <c r="G29" i="9"/>
  <c r="G31" i="15" l="1"/>
  <c r="K30" i="15"/>
  <c r="I30" i="15"/>
  <c r="H30" i="15"/>
  <c r="H30" i="11"/>
  <c r="I30" i="11"/>
  <c r="G31" i="11"/>
  <c r="K30" i="11"/>
  <c r="I29" i="9"/>
  <c r="K29" i="9"/>
  <c r="G30" i="9"/>
  <c r="H29" i="9"/>
  <c r="H31" i="15" l="1"/>
  <c r="I31" i="15"/>
  <c r="G32" i="15"/>
  <c r="K31" i="15"/>
  <c r="I31" i="11"/>
  <c r="G32" i="11"/>
  <c r="K31" i="11"/>
  <c r="H31" i="11"/>
  <c r="I30" i="9"/>
  <c r="K30" i="9"/>
  <c r="C12" i="11"/>
  <c r="H30" i="9"/>
  <c r="G31" i="9"/>
  <c r="G33" i="15" l="1"/>
  <c r="K32" i="15"/>
  <c r="I32" i="15"/>
  <c r="H32" i="15"/>
  <c r="H32" i="11"/>
  <c r="K32" i="11"/>
  <c r="G33" i="11"/>
  <c r="I32" i="11"/>
  <c r="K31" i="9"/>
  <c r="I31" i="9"/>
  <c r="G32" i="9"/>
  <c r="H31" i="9"/>
  <c r="G34" i="15" l="1"/>
  <c r="K33" i="15"/>
  <c r="I33" i="15"/>
  <c r="H33" i="15"/>
  <c r="H33" i="11"/>
  <c r="K33" i="11"/>
  <c r="G34" i="11"/>
  <c r="I33" i="11"/>
  <c r="K32" i="9"/>
  <c r="I32" i="9"/>
  <c r="G33" i="9"/>
  <c r="H32" i="9"/>
  <c r="H34" i="15" l="1"/>
  <c r="G35" i="15"/>
  <c r="K34" i="15"/>
  <c r="I34" i="15"/>
  <c r="H34" i="11"/>
  <c r="I34" i="11"/>
  <c r="K34" i="11"/>
  <c r="G35" i="11"/>
  <c r="I33" i="9"/>
  <c r="K33" i="9"/>
  <c r="H33" i="9"/>
  <c r="G34" i="9"/>
  <c r="G36" i="15" l="1"/>
  <c r="K35" i="15"/>
  <c r="I35" i="15"/>
  <c r="H35" i="15"/>
  <c r="H35" i="11"/>
  <c r="K35" i="11"/>
  <c r="G36" i="11"/>
  <c r="I35" i="11"/>
  <c r="J34" i="9"/>
  <c r="K34" i="9"/>
  <c r="I34" i="9"/>
  <c r="G35" i="9"/>
  <c r="H34" i="9"/>
  <c r="G37" i="15" l="1"/>
  <c r="K36" i="15"/>
  <c r="I36" i="15"/>
  <c r="H36" i="15"/>
  <c r="I36" i="11"/>
  <c r="K36" i="11"/>
  <c r="H36" i="11"/>
  <c r="G37" i="11"/>
  <c r="J35" i="9"/>
  <c r="K35" i="9"/>
  <c r="I35" i="9"/>
  <c r="H35" i="9"/>
  <c r="G36" i="9"/>
  <c r="H37" i="15" l="1"/>
  <c r="I37" i="15"/>
  <c r="G38" i="15"/>
  <c r="K37" i="15"/>
  <c r="K37" i="11"/>
  <c r="H37" i="11"/>
  <c r="I37" i="11"/>
  <c r="G38" i="11"/>
  <c r="I36" i="9"/>
  <c r="J36" i="9"/>
  <c r="K36" i="9"/>
  <c r="H36" i="9"/>
  <c r="G37" i="9"/>
  <c r="G39" i="15" l="1"/>
  <c r="K38" i="15"/>
  <c r="I38" i="15"/>
  <c r="H38" i="15"/>
  <c r="H38" i="11"/>
  <c r="I38" i="11"/>
  <c r="K38" i="11"/>
  <c r="G39" i="11"/>
  <c r="K37" i="9"/>
  <c r="I37" i="9"/>
  <c r="J37" i="9"/>
  <c r="G38" i="9"/>
  <c r="H37" i="9"/>
  <c r="G40" i="15" l="1"/>
  <c r="K39" i="15"/>
  <c r="I39" i="15"/>
  <c r="H39" i="15"/>
  <c r="K39" i="11"/>
  <c r="G40" i="11"/>
  <c r="I39" i="11"/>
  <c r="H39" i="11"/>
  <c r="I38" i="9"/>
  <c r="J38" i="9"/>
  <c r="K38" i="9"/>
  <c r="H38" i="9"/>
  <c r="G39" i="9"/>
  <c r="H40" i="15" l="1"/>
  <c r="G41" i="15"/>
  <c r="K40" i="15"/>
  <c r="I40" i="15"/>
  <c r="I40" i="11"/>
  <c r="K40" i="11"/>
  <c r="G41" i="11"/>
  <c r="H40" i="11"/>
  <c r="K39" i="9"/>
  <c r="I39" i="9"/>
  <c r="J39" i="9"/>
  <c r="G40" i="9"/>
  <c r="H39" i="9"/>
  <c r="G42" i="15" l="1"/>
  <c r="K41" i="15"/>
  <c r="I41" i="15"/>
  <c r="H41" i="15"/>
  <c r="G42" i="11"/>
  <c r="H41" i="11"/>
  <c r="K41" i="11"/>
  <c r="I41" i="11"/>
  <c r="K40" i="9"/>
  <c r="I40" i="9"/>
  <c r="J40" i="9"/>
  <c r="G41" i="9"/>
  <c r="H40" i="9"/>
  <c r="G43" i="15" l="1"/>
  <c r="K42" i="15"/>
  <c r="I42" i="15"/>
  <c r="H42" i="15"/>
  <c r="G43" i="11"/>
  <c r="I42" i="11"/>
  <c r="H42" i="11"/>
  <c r="K42" i="11"/>
  <c r="I41" i="9"/>
  <c r="J41" i="9"/>
  <c r="K41" i="9"/>
  <c r="H41" i="9"/>
  <c r="G42" i="9"/>
  <c r="H43" i="15" l="1"/>
  <c r="I43" i="15"/>
  <c r="G44" i="15"/>
  <c r="K43" i="15"/>
  <c r="H43" i="11"/>
  <c r="K43" i="11"/>
  <c r="G44" i="11"/>
  <c r="I43" i="11"/>
  <c r="I42" i="9"/>
  <c r="J42" i="9"/>
  <c r="K42" i="9"/>
  <c r="G43" i="9"/>
  <c r="H42" i="9"/>
  <c r="G45" i="15" l="1"/>
  <c r="I44" i="15"/>
  <c r="H44" i="15"/>
  <c r="K44" i="15"/>
  <c r="H44" i="11"/>
  <c r="I44" i="11"/>
  <c r="K44" i="11"/>
  <c r="I43" i="9"/>
  <c r="K43" i="9"/>
  <c r="J43" i="9"/>
  <c r="H43" i="9"/>
  <c r="G44" i="9"/>
  <c r="G46" i="15" l="1"/>
  <c r="K45" i="15"/>
  <c r="I45" i="15"/>
  <c r="H45" i="15"/>
  <c r="G45" i="11"/>
  <c r="I44" i="9"/>
  <c r="J44" i="9"/>
  <c r="K44" i="9"/>
  <c r="H44" i="9"/>
  <c r="G45" i="9"/>
  <c r="H46" i="15" l="1"/>
  <c r="G47" i="15"/>
  <c r="K46" i="15"/>
  <c r="I46" i="15"/>
  <c r="K45" i="9"/>
  <c r="J45" i="9"/>
  <c r="I45" i="9"/>
  <c r="H45" i="11"/>
  <c r="G46" i="11"/>
  <c r="K45" i="11"/>
  <c r="I45" i="11"/>
  <c r="G46" i="9"/>
  <c r="H45" i="9"/>
  <c r="G48" i="15" l="1"/>
  <c r="K47" i="15"/>
  <c r="I47" i="15"/>
  <c r="H47" i="15"/>
  <c r="G47" i="11"/>
  <c r="K46" i="11"/>
  <c r="I46" i="11"/>
  <c r="H46" i="11"/>
  <c r="I46" i="9"/>
  <c r="J46" i="9"/>
  <c r="K46" i="9"/>
  <c r="H46" i="9"/>
  <c r="G47" i="9"/>
  <c r="G49" i="15" l="1"/>
  <c r="K48" i="15"/>
  <c r="I48" i="15"/>
  <c r="H48" i="15"/>
  <c r="I47" i="9"/>
  <c r="J47" i="9"/>
  <c r="K47" i="9"/>
  <c r="H47" i="11"/>
  <c r="G48" i="11"/>
  <c r="K47" i="11"/>
  <c r="I47" i="11"/>
  <c r="G48" i="9"/>
  <c r="H47" i="9"/>
  <c r="H49" i="15" l="1"/>
  <c r="I49" i="15"/>
  <c r="G50" i="15"/>
  <c r="H50" i="15" s="1"/>
  <c r="K49" i="15"/>
  <c r="I48" i="9"/>
  <c r="J48" i="9"/>
  <c r="K48" i="9"/>
  <c r="G49" i="11"/>
  <c r="K48" i="11"/>
  <c r="I48" i="11"/>
  <c r="H48" i="11"/>
  <c r="G49" i="9"/>
  <c r="H48" i="9"/>
  <c r="G50" i="11" l="1"/>
  <c r="H50" i="11" s="1"/>
  <c r="K49" i="11"/>
  <c r="I49" i="11"/>
  <c r="H49" i="11"/>
  <c r="I49" i="9"/>
  <c r="J49" i="9"/>
  <c r="K49" i="9"/>
  <c r="H49" i="9"/>
  <c r="G50" i="9"/>
  <c r="H50" i="9" s="1"/>
  <c r="J5" i="1" l="1"/>
  <c r="J6" i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" i="1"/>
  <c r="G10" i="6"/>
  <c r="H10" i="6" s="1"/>
  <c r="G4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3" i="1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E1863" i="5"/>
  <c r="E1864" i="5"/>
  <c r="E1865" i="5"/>
  <c r="E1866" i="5"/>
  <c r="E1867" i="5"/>
  <c r="E1868" i="5"/>
  <c r="E1869" i="5"/>
  <c r="E1870" i="5"/>
  <c r="E1871" i="5"/>
  <c r="E1872" i="5"/>
  <c r="E1873" i="5"/>
  <c r="E1874" i="5"/>
  <c r="E1875" i="5"/>
  <c r="E1876" i="5"/>
  <c r="E1877" i="5"/>
  <c r="E1878" i="5"/>
  <c r="E1879" i="5"/>
  <c r="E1880" i="5"/>
  <c r="E1881" i="5"/>
  <c r="E1882" i="5"/>
  <c r="E1883" i="5"/>
  <c r="E1884" i="5"/>
  <c r="E1885" i="5"/>
  <c r="E1886" i="5"/>
  <c r="E1887" i="5"/>
  <c r="E1888" i="5"/>
  <c r="E1889" i="5"/>
  <c r="E1890" i="5"/>
  <c r="E1891" i="5"/>
  <c r="E1892" i="5"/>
  <c r="E1893" i="5"/>
  <c r="E1894" i="5"/>
  <c r="E1895" i="5"/>
  <c r="E1896" i="5"/>
  <c r="E1897" i="5"/>
  <c r="E1898" i="5"/>
  <c r="E1899" i="5"/>
  <c r="E1900" i="5"/>
  <c r="E1901" i="5"/>
  <c r="E1902" i="5"/>
  <c r="E1903" i="5"/>
  <c r="E1904" i="5"/>
  <c r="E1905" i="5"/>
  <c r="E1906" i="5"/>
  <c r="E1907" i="5"/>
  <c r="E1908" i="5"/>
  <c r="E1909" i="5"/>
  <c r="E1910" i="5"/>
  <c r="E1911" i="5"/>
  <c r="E1912" i="5"/>
  <c r="E1913" i="5"/>
  <c r="E1914" i="5"/>
  <c r="E1915" i="5"/>
  <c r="E1916" i="5"/>
  <c r="E1917" i="5"/>
  <c r="E1918" i="5"/>
  <c r="E1919" i="5"/>
  <c r="E1920" i="5"/>
  <c r="E1921" i="5"/>
  <c r="E1922" i="5"/>
  <c r="E1923" i="5"/>
  <c r="E1924" i="5"/>
  <c r="E1925" i="5"/>
  <c r="E1926" i="5"/>
  <c r="E1927" i="5"/>
  <c r="E1928" i="5"/>
  <c r="E1929" i="5"/>
  <c r="E1930" i="5"/>
  <c r="E1931" i="5"/>
  <c r="E1932" i="5"/>
  <c r="E1933" i="5"/>
  <c r="E1934" i="5"/>
  <c r="E1935" i="5"/>
  <c r="E1936" i="5"/>
  <c r="E1937" i="5"/>
  <c r="E1938" i="5"/>
  <c r="E1939" i="5"/>
  <c r="E1940" i="5"/>
  <c r="E1941" i="5"/>
  <c r="E1942" i="5"/>
  <c r="E1943" i="5"/>
  <c r="E1944" i="5"/>
  <c r="E1945" i="5"/>
  <c r="E1946" i="5"/>
  <c r="E1947" i="5"/>
  <c r="E1948" i="5"/>
  <c r="E1949" i="5"/>
  <c r="E1950" i="5"/>
  <c r="E1951" i="5"/>
  <c r="E1952" i="5"/>
  <c r="E1953" i="5"/>
  <c r="E1954" i="5"/>
  <c r="E1955" i="5"/>
  <c r="E1956" i="5"/>
  <c r="E1957" i="5"/>
  <c r="E1958" i="5"/>
  <c r="E1959" i="5"/>
  <c r="E1960" i="5"/>
  <c r="E1961" i="5"/>
  <c r="E1962" i="5"/>
  <c r="E1963" i="5"/>
  <c r="E1964" i="5"/>
  <c r="E1965" i="5"/>
  <c r="E1966" i="5"/>
  <c r="E1967" i="5"/>
  <c r="E1968" i="5"/>
  <c r="E1969" i="5"/>
  <c r="E1970" i="5"/>
  <c r="E1971" i="5"/>
  <c r="E1972" i="5"/>
  <c r="E1973" i="5"/>
  <c r="E1974" i="5"/>
  <c r="E1975" i="5"/>
  <c r="E1976" i="5"/>
  <c r="E1977" i="5"/>
  <c r="E1978" i="5"/>
  <c r="E1979" i="5"/>
  <c r="E1980" i="5"/>
  <c r="E1981" i="5"/>
  <c r="E1982" i="5"/>
  <c r="E1983" i="5"/>
  <c r="E1984" i="5"/>
  <c r="E1985" i="5"/>
  <c r="E1986" i="5"/>
  <c r="E1987" i="5"/>
  <c r="E1988" i="5"/>
  <c r="E1989" i="5"/>
  <c r="E1990" i="5"/>
  <c r="E1991" i="5"/>
  <c r="E1992" i="5"/>
  <c r="E1993" i="5"/>
  <c r="E1994" i="5"/>
  <c r="E1995" i="5"/>
  <c r="E1996" i="5"/>
  <c r="E1997" i="5"/>
  <c r="E1998" i="5"/>
  <c r="E1999" i="5"/>
  <c r="E2000" i="5"/>
  <c r="E2001" i="5"/>
  <c r="E2002" i="5"/>
  <c r="E2003" i="5"/>
  <c r="E2004" i="5"/>
  <c r="E2005" i="5"/>
  <c r="E2006" i="5"/>
  <c r="E2007" i="5"/>
  <c r="E2008" i="5"/>
  <c r="E2009" i="5"/>
  <c r="E2010" i="5"/>
  <c r="E2011" i="5"/>
  <c r="E2012" i="5"/>
  <c r="E2013" i="5"/>
  <c r="E2014" i="5"/>
  <c r="E2015" i="5"/>
  <c r="E2016" i="5"/>
  <c r="E2017" i="5"/>
  <c r="E2018" i="5"/>
  <c r="E2019" i="5"/>
  <c r="E2020" i="5"/>
  <c r="E2021" i="5"/>
  <c r="E2022" i="5"/>
  <c r="E2023" i="5"/>
  <c r="E2024" i="5"/>
  <c r="E2025" i="5"/>
  <c r="E2026" i="5"/>
  <c r="E2027" i="5"/>
  <c r="E2028" i="5"/>
  <c r="E2029" i="5"/>
  <c r="E2030" i="5"/>
  <c r="E2031" i="5"/>
  <c r="E2032" i="5"/>
  <c r="E2033" i="5"/>
  <c r="E2034" i="5"/>
  <c r="E2035" i="5"/>
  <c r="E2036" i="5"/>
  <c r="E2037" i="5"/>
  <c r="E2038" i="5"/>
  <c r="E2039" i="5"/>
  <c r="E2040" i="5"/>
  <c r="E2041" i="5"/>
  <c r="E2042" i="5"/>
  <c r="E2043" i="5"/>
  <c r="E2044" i="5"/>
  <c r="E2045" i="5"/>
  <c r="E2046" i="5"/>
  <c r="E2047" i="5"/>
  <c r="E2048" i="5"/>
  <c r="E2049" i="5"/>
  <c r="E2050" i="5"/>
  <c r="E2051" i="5"/>
  <c r="E2052" i="5"/>
  <c r="E2053" i="5"/>
  <c r="E2054" i="5"/>
  <c r="E2055" i="5"/>
  <c r="E2056" i="5"/>
  <c r="E2057" i="5"/>
  <c r="E2058" i="5"/>
  <c r="E2059" i="5"/>
  <c r="E2060" i="5"/>
  <c r="E2061" i="5"/>
  <c r="E2062" i="5"/>
  <c r="E2063" i="5"/>
  <c r="E2064" i="5"/>
  <c r="E2065" i="5"/>
  <c r="E2066" i="5"/>
  <c r="E2067" i="5"/>
  <c r="E2068" i="5"/>
  <c r="E2069" i="5"/>
  <c r="E2070" i="5"/>
  <c r="E2071" i="5"/>
  <c r="E2072" i="5"/>
  <c r="E2073" i="5"/>
  <c r="E2074" i="5"/>
  <c r="E2075" i="5"/>
  <c r="E2076" i="5"/>
  <c r="E2077" i="5"/>
  <c r="E2078" i="5"/>
  <c r="E2079" i="5"/>
  <c r="E2080" i="5"/>
  <c r="E2081" i="5"/>
  <c r="E2082" i="5"/>
  <c r="E2083" i="5"/>
  <c r="E2084" i="5"/>
  <c r="E2085" i="5"/>
  <c r="E2086" i="5"/>
  <c r="E2087" i="5"/>
  <c r="E2088" i="5"/>
  <c r="E2089" i="5"/>
  <c r="E2090" i="5"/>
  <c r="E2091" i="5"/>
  <c r="E2092" i="5"/>
  <c r="E2093" i="5"/>
  <c r="E2094" i="5"/>
  <c r="E2095" i="5"/>
  <c r="E2096" i="5"/>
  <c r="E2097" i="5"/>
  <c r="E2098" i="5"/>
  <c r="E2099" i="5"/>
  <c r="E2100" i="5"/>
  <c r="E2101" i="5"/>
  <c r="E2102" i="5"/>
  <c r="E2103" i="5"/>
  <c r="E2104" i="5"/>
  <c r="E2105" i="5"/>
  <c r="E2106" i="5"/>
  <c r="E2107" i="5"/>
  <c r="E2108" i="5"/>
  <c r="E2109" i="5"/>
  <c r="E2110" i="5"/>
  <c r="E2111" i="5"/>
  <c r="E2112" i="5"/>
  <c r="E2113" i="5"/>
  <c r="E2114" i="5"/>
  <c r="E2115" i="5"/>
  <c r="E2116" i="5"/>
  <c r="E2117" i="5"/>
  <c r="E2118" i="5"/>
  <c r="E2119" i="5"/>
  <c r="E2120" i="5"/>
  <c r="E2121" i="5"/>
  <c r="E2122" i="5"/>
  <c r="E2123" i="5"/>
  <c r="E2124" i="5"/>
  <c r="E2125" i="5"/>
  <c r="E2126" i="5"/>
  <c r="E2127" i="5"/>
  <c r="E2128" i="5"/>
  <c r="E2129" i="5"/>
  <c r="E2130" i="5"/>
  <c r="E2131" i="5"/>
  <c r="E2132" i="5"/>
  <c r="E2133" i="5"/>
  <c r="E2134" i="5"/>
  <c r="E2135" i="5"/>
  <c r="E2136" i="5"/>
  <c r="E2137" i="5"/>
  <c r="E2138" i="5"/>
  <c r="E2139" i="5"/>
  <c r="E2140" i="5"/>
  <c r="E2141" i="5"/>
  <c r="E2142" i="5"/>
  <c r="E2143" i="5"/>
  <c r="E2144" i="5"/>
  <c r="E2145" i="5"/>
  <c r="E2146" i="5"/>
  <c r="E2147" i="5"/>
  <c r="E2148" i="5"/>
  <c r="E2149" i="5"/>
  <c r="E2150" i="5"/>
  <c r="E2151" i="5"/>
  <c r="E2152" i="5"/>
  <c r="E2153" i="5"/>
  <c r="E2154" i="5"/>
  <c r="E2155" i="5"/>
  <c r="E2156" i="5"/>
  <c r="E2157" i="5"/>
  <c r="E2158" i="5"/>
  <c r="E2159" i="5"/>
  <c r="E2160" i="5"/>
  <c r="E2161" i="5"/>
  <c r="E2162" i="5"/>
  <c r="E2163" i="5"/>
  <c r="E2164" i="5"/>
  <c r="E2165" i="5"/>
  <c r="E2166" i="5"/>
  <c r="E2167" i="5"/>
  <c r="E2168" i="5"/>
  <c r="E2169" i="5"/>
  <c r="E2170" i="5"/>
  <c r="E2171" i="5"/>
  <c r="E2172" i="5"/>
  <c r="E2173" i="5"/>
  <c r="E2174" i="5"/>
  <c r="E2175" i="5"/>
  <c r="E2176" i="5"/>
  <c r="E2177" i="5"/>
  <c r="E2178" i="5"/>
  <c r="E2179" i="5"/>
  <c r="E2180" i="5"/>
  <c r="E2181" i="5"/>
  <c r="E2182" i="5"/>
  <c r="E2183" i="5"/>
  <c r="E2184" i="5"/>
  <c r="E2185" i="5"/>
  <c r="E2186" i="5"/>
  <c r="E2187" i="5"/>
  <c r="E2188" i="5"/>
  <c r="E2189" i="5"/>
  <c r="E2190" i="5"/>
  <c r="E2191" i="5"/>
  <c r="E2192" i="5"/>
  <c r="E2193" i="5"/>
  <c r="E2194" i="5"/>
  <c r="E2195" i="5"/>
  <c r="E2196" i="5"/>
  <c r="E2197" i="5"/>
  <c r="E2198" i="5"/>
  <c r="E2199" i="5"/>
  <c r="E2200" i="5"/>
  <c r="E2201" i="5"/>
  <c r="E2202" i="5"/>
  <c r="E2203" i="5"/>
  <c r="E2204" i="5"/>
  <c r="E2205" i="5"/>
  <c r="E2206" i="5"/>
  <c r="E2207" i="5"/>
  <c r="E2208" i="5"/>
  <c r="E2209" i="5"/>
  <c r="E2210" i="5"/>
  <c r="E2211" i="5"/>
  <c r="E2212" i="5"/>
  <c r="E2213" i="5"/>
  <c r="E2214" i="5"/>
  <c r="E2215" i="5"/>
  <c r="E2216" i="5"/>
  <c r="E2217" i="5"/>
  <c r="E2218" i="5"/>
  <c r="E2219" i="5"/>
  <c r="E2220" i="5"/>
  <c r="E2221" i="5"/>
  <c r="E2222" i="5"/>
  <c r="E2223" i="5"/>
  <c r="E2224" i="5"/>
  <c r="E2225" i="5"/>
  <c r="E2226" i="5"/>
  <c r="E2227" i="5"/>
  <c r="E2228" i="5"/>
  <c r="E2229" i="5"/>
  <c r="E2230" i="5"/>
  <c r="E2231" i="5"/>
  <c r="E2232" i="5"/>
  <c r="E2233" i="5"/>
  <c r="E2234" i="5"/>
  <c r="E2235" i="5"/>
  <c r="E2236" i="5"/>
  <c r="E2237" i="5"/>
  <c r="E2238" i="5"/>
  <c r="E2239" i="5"/>
  <c r="E2240" i="5"/>
  <c r="E2241" i="5"/>
  <c r="E2242" i="5"/>
  <c r="E2243" i="5"/>
  <c r="E2244" i="5"/>
  <c r="E2245" i="5"/>
  <c r="E2246" i="5"/>
  <c r="E2247" i="5"/>
  <c r="E2248" i="5"/>
  <c r="E2249" i="5"/>
  <c r="E2250" i="5"/>
  <c r="E2251" i="5"/>
  <c r="E2252" i="5"/>
  <c r="E2253" i="5"/>
  <c r="E2254" i="5"/>
  <c r="E2255" i="5"/>
  <c r="E2256" i="5"/>
  <c r="E2257" i="5"/>
  <c r="E2258" i="5"/>
  <c r="E2259" i="5"/>
  <c r="E2260" i="5"/>
  <c r="E2261" i="5"/>
  <c r="E2262" i="5"/>
  <c r="E2263" i="5"/>
  <c r="E2264" i="5"/>
  <c r="E2265" i="5"/>
  <c r="E2266" i="5"/>
  <c r="E2267" i="5"/>
  <c r="E2268" i="5"/>
  <c r="E2269" i="5"/>
  <c r="E2270" i="5"/>
  <c r="E2271" i="5"/>
  <c r="E2272" i="5"/>
  <c r="E2273" i="5"/>
  <c r="E2274" i="5"/>
  <c r="E2275" i="5"/>
  <c r="E2276" i="5"/>
  <c r="E2277" i="5"/>
  <c r="E2278" i="5"/>
  <c r="E2279" i="5"/>
  <c r="E2280" i="5"/>
  <c r="E2281" i="5"/>
  <c r="E2282" i="5"/>
  <c r="E2283" i="5"/>
  <c r="E2284" i="5"/>
  <c r="E2285" i="5"/>
  <c r="E2286" i="5"/>
  <c r="E2287" i="5"/>
  <c r="E2288" i="5"/>
  <c r="E2289" i="5"/>
  <c r="E2290" i="5"/>
  <c r="E2291" i="5"/>
  <c r="E2292" i="5"/>
  <c r="E2293" i="5"/>
  <c r="E2294" i="5"/>
  <c r="E2295" i="5"/>
  <c r="E2296" i="5"/>
  <c r="E2297" i="5"/>
  <c r="E2298" i="5"/>
  <c r="E2299" i="5"/>
  <c r="E2300" i="5"/>
  <c r="E2301" i="5"/>
  <c r="E2302" i="5"/>
  <c r="E2303" i="5"/>
  <c r="E2304" i="5"/>
  <c r="E2305" i="5"/>
  <c r="E2306" i="5"/>
  <c r="E2307" i="5"/>
  <c r="E2308" i="5"/>
  <c r="E2309" i="5"/>
  <c r="E2310" i="5"/>
  <c r="E2311" i="5"/>
  <c r="E2312" i="5"/>
  <c r="E2313" i="5"/>
  <c r="E2314" i="5"/>
  <c r="E2315" i="5"/>
  <c r="E2316" i="5"/>
  <c r="E2317" i="5"/>
  <c r="E2318" i="5"/>
  <c r="E2319" i="5"/>
  <c r="E2320" i="5"/>
  <c r="E2321" i="5"/>
  <c r="E2322" i="5"/>
  <c r="E2323" i="5"/>
  <c r="E2324" i="5"/>
  <c r="E2325" i="5"/>
  <c r="E2326" i="5"/>
  <c r="E2327" i="5"/>
  <c r="E2328" i="5"/>
  <c r="E2329" i="5"/>
  <c r="E2330" i="5"/>
  <c r="E2331" i="5"/>
  <c r="E2332" i="5"/>
  <c r="E2333" i="5"/>
  <c r="E2334" i="5"/>
  <c r="E2335" i="5"/>
  <c r="E2336" i="5"/>
  <c r="E2337" i="5"/>
  <c r="E2338" i="5"/>
  <c r="E2339" i="5"/>
  <c r="E2340" i="5"/>
  <c r="E2341" i="5"/>
  <c r="E2342" i="5"/>
  <c r="E2343" i="5"/>
  <c r="E2344" i="5"/>
  <c r="E2345" i="5"/>
  <c r="E2346" i="5"/>
  <c r="E2347" i="5"/>
  <c r="E2348" i="5"/>
  <c r="E2349" i="5"/>
  <c r="E2350" i="5"/>
  <c r="E2351" i="5"/>
  <c r="E2352" i="5"/>
  <c r="E2353" i="5"/>
  <c r="E2354" i="5"/>
  <c r="E2355" i="5"/>
  <c r="E2356" i="5"/>
  <c r="E2357" i="5"/>
  <c r="E2358" i="5"/>
  <c r="E2359" i="5"/>
  <c r="E2360" i="5"/>
  <c r="E2361" i="5"/>
  <c r="E2362" i="5"/>
  <c r="E2363" i="5"/>
  <c r="E2364" i="5"/>
  <c r="E2365" i="5"/>
  <c r="E2366" i="5"/>
  <c r="E2367" i="5"/>
  <c r="E2368" i="5"/>
  <c r="E2369" i="5"/>
  <c r="E2370" i="5"/>
  <c r="E2371" i="5"/>
  <c r="E2372" i="5"/>
  <c r="E2373" i="5"/>
  <c r="E2374" i="5"/>
  <c r="E2375" i="5"/>
  <c r="E2376" i="5"/>
  <c r="E2377" i="5"/>
  <c r="E2378" i="5"/>
  <c r="E2379" i="5"/>
  <c r="E2380" i="5"/>
  <c r="E2381" i="5"/>
  <c r="E2382" i="5"/>
  <c r="E2383" i="5"/>
  <c r="E2384" i="5"/>
  <c r="E2385" i="5"/>
  <c r="E2386" i="5"/>
  <c r="E2387" i="5"/>
  <c r="E2388" i="5"/>
  <c r="E2389" i="5"/>
  <c r="E2390" i="5"/>
  <c r="E2391" i="5"/>
  <c r="E2392" i="5"/>
  <c r="E2393" i="5"/>
  <c r="E2394" i="5"/>
  <c r="E2395" i="5"/>
  <c r="E2396" i="5"/>
  <c r="E2397" i="5"/>
  <c r="E2398" i="5"/>
  <c r="E2399" i="5"/>
  <c r="E2400" i="5"/>
  <c r="E2401" i="5"/>
  <c r="E2402" i="5"/>
  <c r="E2403" i="5"/>
  <c r="E2404" i="5"/>
  <c r="E2405" i="5"/>
  <c r="E2406" i="5"/>
  <c r="E2407" i="5"/>
  <c r="E2408" i="5"/>
  <c r="E2409" i="5"/>
  <c r="E2410" i="5"/>
  <c r="E2411" i="5"/>
  <c r="E2412" i="5"/>
  <c r="E2413" i="5"/>
  <c r="E2414" i="5"/>
  <c r="E2415" i="5"/>
  <c r="E2416" i="5"/>
  <c r="E2417" i="5"/>
  <c r="E2418" i="5"/>
  <c r="E2419" i="5"/>
  <c r="E2420" i="5"/>
  <c r="E2421" i="5"/>
  <c r="E2422" i="5"/>
  <c r="E2423" i="5"/>
  <c r="E2424" i="5"/>
  <c r="E2425" i="5"/>
  <c r="E2426" i="5"/>
  <c r="E2427" i="5"/>
  <c r="E2428" i="5"/>
  <c r="E2429" i="5"/>
  <c r="E2430" i="5"/>
  <c r="E2431" i="5"/>
  <c r="E2432" i="5"/>
  <c r="E2433" i="5"/>
  <c r="E2434" i="5"/>
  <c r="E2435" i="5"/>
  <c r="E2436" i="5"/>
  <c r="E2437" i="5"/>
  <c r="E2438" i="5"/>
  <c r="E2439" i="5"/>
  <c r="E2440" i="5"/>
  <c r="E2441" i="5"/>
  <c r="E2442" i="5"/>
  <c r="E2443" i="5"/>
  <c r="E2444" i="5"/>
  <c r="E2445" i="5"/>
  <c r="E2446" i="5"/>
  <c r="E2447" i="5"/>
  <c r="E2448" i="5"/>
  <c r="E2449" i="5"/>
  <c r="E2450" i="5"/>
  <c r="E2451" i="5"/>
  <c r="E2452" i="5"/>
  <c r="E2453" i="5"/>
  <c r="E2454" i="5"/>
  <c r="E2455" i="5"/>
  <c r="E2456" i="5"/>
  <c r="E2457" i="5"/>
  <c r="E2458" i="5"/>
  <c r="E2459" i="5"/>
  <c r="E2460" i="5"/>
  <c r="E2461" i="5"/>
  <c r="E2462" i="5"/>
  <c r="E2463" i="5"/>
  <c r="E2464" i="5"/>
  <c r="E2465" i="5"/>
  <c r="E2466" i="5"/>
  <c r="E2467" i="5"/>
  <c r="E2468" i="5"/>
  <c r="E2469" i="5"/>
  <c r="E2470" i="5"/>
  <c r="E2471" i="5"/>
  <c r="E2472" i="5"/>
  <c r="E2473" i="5"/>
  <c r="E2474" i="5"/>
  <c r="E2475" i="5"/>
  <c r="E2476" i="5"/>
  <c r="E2477" i="5"/>
  <c r="E2478" i="5"/>
  <c r="E2479" i="5"/>
  <c r="E2480" i="5"/>
  <c r="E2481" i="5"/>
  <c r="E2482" i="5"/>
  <c r="E2483" i="5"/>
  <c r="E2484" i="5"/>
  <c r="E2485" i="5"/>
  <c r="E2486" i="5"/>
  <c r="E2487" i="5"/>
  <c r="E2488" i="5"/>
  <c r="E2489" i="5"/>
  <c r="E2490" i="5"/>
  <c r="E2491" i="5"/>
  <c r="E2492" i="5"/>
  <c r="E2493" i="5"/>
  <c r="E2494" i="5"/>
  <c r="E2495" i="5"/>
  <c r="E2496" i="5"/>
  <c r="E2497" i="5"/>
  <c r="E2498" i="5"/>
  <c r="E2499" i="5"/>
  <c r="E2500" i="5"/>
  <c r="E2501" i="5"/>
  <c r="E2502" i="5"/>
  <c r="E2503" i="5"/>
  <c r="E2504" i="5"/>
  <c r="E2505" i="5"/>
  <c r="E2506" i="5"/>
  <c r="E2507" i="5"/>
  <c r="E2508" i="5"/>
  <c r="E2509" i="5"/>
  <c r="E2510" i="5"/>
  <c r="E2511" i="5"/>
  <c r="E2512" i="5"/>
  <c r="E2513" i="5"/>
  <c r="E2514" i="5"/>
  <c r="E2515" i="5"/>
  <c r="E2516" i="5"/>
  <c r="E2517" i="5"/>
  <c r="E2" i="5"/>
  <c r="I13" i="3" s="1"/>
  <c r="G11" i="6" l="1"/>
  <c r="I12" i="3"/>
  <c r="C71" i="5"/>
  <c r="C157" i="5"/>
  <c r="B177" i="5"/>
  <c r="D330" i="5"/>
  <c r="D289" i="5"/>
  <c r="D277" i="5"/>
  <c r="D248" i="5"/>
  <c r="D236" i="5"/>
  <c r="D161" i="5"/>
  <c r="D380" i="5"/>
  <c r="D268" i="5"/>
  <c r="D346" i="5"/>
  <c r="D362" i="5"/>
  <c r="D387" i="5"/>
  <c r="B11" i="5"/>
  <c r="C17" i="5"/>
  <c r="B27" i="5"/>
  <c r="C33" i="5"/>
  <c r="B43" i="5"/>
  <c r="C49" i="5"/>
  <c r="B59" i="5"/>
  <c r="C65" i="5"/>
  <c r="B75" i="5"/>
  <c r="C81" i="5"/>
  <c r="B91" i="5"/>
  <c r="C97" i="5"/>
  <c r="B107" i="5"/>
  <c r="C113" i="5"/>
  <c r="B123" i="5"/>
  <c r="C562" i="5"/>
  <c r="B5" i="5"/>
  <c r="C11" i="5"/>
  <c r="B21" i="5"/>
  <c r="C27" i="5"/>
  <c r="C43" i="5"/>
  <c r="B53" i="5"/>
  <c r="C59" i="5"/>
  <c r="B69" i="5"/>
  <c r="C75" i="5"/>
  <c r="B85" i="5"/>
  <c r="C91" i="5"/>
  <c r="B101" i="5"/>
  <c r="C107" i="5"/>
  <c r="B117" i="5"/>
  <c r="C123" i="5"/>
  <c r="B241" i="5"/>
  <c r="C319" i="5"/>
  <c r="C323" i="5"/>
  <c r="B344" i="5"/>
  <c r="B369" i="5"/>
  <c r="B381" i="5"/>
  <c r="C385" i="5"/>
  <c r="C5" i="5"/>
  <c r="B15" i="5"/>
  <c r="C21" i="5"/>
  <c r="B47" i="5"/>
  <c r="B63" i="5"/>
  <c r="C69" i="5"/>
  <c r="B79" i="5"/>
  <c r="C85" i="5"/>
  <c r="B95" i="5"/>
  <c r="B111" i="5"/>
  <c r="B135" i="5"/>
  <c r="B151" i="5"/>
  <c r="C179" i="5"/>
  <c r="B225" i="5"/>
  <c r="B237" i="5"/>
  <c r="C241" i="5"/>
  <c r="B266" i="5"/>
  <c r="B287" i="5"/>
  <c r="B353" i="5"/>
  <c r="B365" i="5"/>
  <c r="C369" i="5"/>
  <c r="B9" i="5"/>
  <c r="C15" i="5"/>
  <c r="C31" i="5"/>
  <c r="B41" i="5"/>
  <c r="C47" i="5"/>
  <c r="B57" i="5"/>
  <c r="C63" i="5"/>
  <c r="B73" i="5"/>
  <c r="B89" i="5"/>
  <c r="C95" i="5"/>
  <c r="B105" i="5"/>
  <c r="C111" i="5"/>
  <c r="B121" i="5"/>
  <c r="C127" i="5"/>
  <c r="C131" i="5"/>
  <c r="C135" i="5"/>
  <c r="C147" i="5"/>
  <c r="C163" i="5"/>
  <c r="B209" i="5"/>
  <c r="C287" i="5"/>
  <c r="C291" i="5"/>
  <c r="B312" i="5"/>
  <c r="B337" i="5"/>
  <c r="B349" i="5"/>
  <c r="C353" i="5"/>
  <c r="B390" i="5"/>
  <c r="C9" i="5"/>
  <c r="B19" i="5"/>
  <c r="C25" i="5"/>
  <c r="B35" i="5"/>
  <c r="C41" i="5"/>
  <c r="B51" i="5"/>
  <c r="C57" i="5"/>
  <c r="C73" i="5"/>
  <c r="B83" i="5"/>
  <c r="C89" i="5"/>
  <c r="B99" i="5"/>
  <c r="C105" i="5"/>
  <c r="B115" i="5"/>
  <c r="C121" i="5"/>
  <c r="B193" i="5"/>
  <c r="C209" i="5"/>
  <c r="B255" i="5"/>
  <c r="C271" i="5"/>
  <c r="B383" i="5"/>
  <c r="D127" i="5"/>
  <c r="D129" i="5"/>
  <c r="D131" i="5"/>
  <c r="D133" i="5"/>
  <c r="D137" i="5"/>
  <c r="D141" i="5"/>
  <c r="D143" i="5"/>
  <c r="D145" i="5"/>
  <c r="D147" i="5"/>
  <c r="D155" i="5"/>
  <c r="C173" i="5"/>
  <c r="C189" i="5"/>
  <c r="C221" i="5"/>
  <c r="D442" i="5"/>
  <c r="B469" i="5"/>
  <c r="D472" i="5"/>
  <c r="C480" i="5"/>
  <c r="D189" i="5"/>
  <c r="B217" i="5"/>
  <c r="B477" i="5"/>
  <c r="D480" i="5"/>
  <c r="B2512" i="5"/>
  <c r="B2484" i="5"/>
  <c r="B2408" i="5"/>
  <c r="B2418" i="5"/>
  <c r="B2340" i="5"/>
  <c r="B2315" i="5"/>
  <c r="B2277" i="5"/>
  <c r="B2380" i="5"/>
  <c r="B2370" i="5"/>
  <c r="B2317" i="5"/>
  <c r="B2360" i="5"/>
  <c r="B2102" i="5"/>
  <c r="B2009" i="5"/>
  <c r="B2329" i="5"/>
  <c r="B2212" i="5"/>
  <c r="B2203" i="5"/>
  <c r="B2182" i="5"/>
  <c r="B1894" i="5"/>
  <c r="B2022" i="5"/>
  <c r="B1937" i="5"/>
  <c r="B1885" i="5"/>
  <c r="B1835" i="5"/>
  <c r="B2084" i="5"/>
  <c r="B1615" i="5"/>
  <c r="B1925" i="5"/>
  <c r="B1747" i="5"/>
  <c r="B1930" i="5"/>
  <c r="B1489" i="5"/>
  <c r="B1451" i="5"/>
  <c r="B1649" i="5"/>
  <c r="B1312" i="5"/>
  <c r="B956" i="5"/>
  <c r="B1184" i="5"/>
  <c r="B1226" i="5"/>
  <c r="B760" i="5"/>
  <c r="B728" i="5"/>
  <c r="B1274" i="5"/>
  <c r="B1193" i="5"/>
  <c r="B1189" i="5"/>
  <c r="B1009" i="5"/>
  <c r="B1196" i="5"/>
  <c r="B466" i="5"/>
  <c r="B447" i="5"/>
  <c r="B431" i="5"/>
  <c r="B415" i="5"/>
  <c r="B410" i="5"/>
  <c r="B449" i="5"/>
  <c r="B425" i="5"/>
  <c r="B397" i="5"/>
  <c r="B983" i="5"/>
  <c r="B927" i="5"/>
  <c r="B547" i="5"/>
  <c r="B539" i="5"/>
  <c r="B531" i="5"/>
  <c r="B510" i="5"/>
  <c r="B494" i="5"/>
  <c r="B594" i="5"/>
  <c r="B544" i="5"/>
  <c r="B528" i="5"/>
  <c r="B509" i="5"/>
  <c r="B2" i="5"/>
  <c r="B4" i="5"/>
  <c r="B6" i="5"/>
  <c r="B8" i="5"/>
  <c r="B10" i="5"/>
  <c r="B12" i="5"/>
  <c r="B16" i="5"/>
  <c r="B18" i="5"/>
  <c r="B20" i="5"/>
  <c r="B22" i="5"/>
  <c r="B24" i="5"/>
  <c r="B26" i="5"/>
  <c r="B28" i="5"/>
  <c r="B32" i="5"/>
  <c r="B34" i="5"/>
  <c r="B36" i="5"/>
  <c r="B38" i="5"/>
  <c r="B40" i="5"/>
  <c r="B42" i="5"/>
  <c r="B44" i="5"/>
  <c r="B48" i="5"/>
  <c r="B50" i="5"/>
  <c r="B52" i="5"/>
  <c r="B54" i="5"/>
  <c r="B56" i="5"/>
  <c r="B58" i="5"/>
  <c r="B60" i="5"/>
  <c r="B64" i="5"/>
  <c r="B66" i="5"/>
  <c r="B68" i="5"/>
  <c r="B70" i="5"/>
  <c r="B72" i="5"/>
  <c r="B74" i="5"/>
  <c r="B76" i="5"/>
  <c r="B80" i="5"/>
  <c r="B82" i="5"/>
  <c r="B84" i="5"/>
  <c r="B86" i="5"/>
  <c r="B88" i="5"/>
  <c r="B90" i="5"/>
  <c r="B92" i="5"/>
  <c r="B94" i="5"/>
  <c r="B96" i="5"/>
  <c r="B98" i="5"/>
  <c r="B100" i="5"/>
  <c r="B102" i="5"/>
  <c r="B104" i="5"/>
  <c r="B106" i="5"/>
  <c r="B108" i="5"/>
  <c r="B110" i="5"/>
  <c r="B112" i="5"/>
  <c r="B114" i="5"/>
  <c r="B116" i="5"/>
  <c r="B118" i="5"/>
  <c r="B120" i="5"/>
  <c r="B122" i="5"/>
  <c r="B124" i="5"/>
  <c r="B126" i="5"/>
  <c r="B128" i="5"/>
  <c r="B130" i="5"/>
  <c r="B132" i="5"/>
  <c r="B134" i="5"/>
  <c r="B136" i="5"/>
  <c r="B138" i="5"/>
  <c r="B140" i="5"/>
  <c r="B142" i="5"/>
  <c r="B144" i="5"/>
  <c r="B146" i="5"/>
  <c r="B148" i="5"/>
  <c r="B150" i="5"/>
  <c r="B152" i="5"/>
  <c r="B154" i="5"/>
  <c r="B158" i="5"/>
  <c r="B160" i="5"/>
  <c r="B167" i="5"/>
  <c r="D171" i="5"/>
  <c r="B183" i="5"/>
  <c r="D187" i="5"/>
  <c r="C201" i="5"/>
  <c r="C217" i="5"/>
  <c r="D410" i="5"/>
  <c r="B440" i="5"/>
  <c r="C466" i="5"/>
  <c r="D660" i="5"/>
  <c r="C2456" i="5"/>
  <c r="C2502" i="5"/>
  <c r="C2486" i="5"/>
  <c r="C2275" i="5"/>
  <c r="C2272" i="5"/>
  <c r="C2256" i="5"/>
  <c r="C2388" i="5"/>
  <c r="C2045" i="5"/>
  <c r="C2249" i="5"/>
  <c r="C2152" i="5"/>
  <c r="C2161" i="5"/>
  <c r="C1927" i="5"/>
  <c r="C1943" i="5"/>
  <c r="C2177" i="5"/>
  <c r="C2182" i="5"/>
  <c r="C1745" i="5"/>
  <c r="C1925" i="5"/>
  <c r="C1916" i="5"/>
  <c r="C1871" i="5"/>
  <c r="C1830" i="5"/>
  <c r="C1743" i="5"/>
  <c r="C1487" i="5"/>
  <c r="C1930" i="5"/>
  <c r="C1471" i="5"/>
  <c r="C1531" i="5"/>
  <c r="C1855" i="5"/>
  <c r="C1491" i="5"/>
  <c r="C1234" i="5"/>
  <c r="C1212" i="5"/>
  <c r="C1007" i="5"/>
  <c r="C1821" i="5"/>
  <c r="C1414" i="5"/>
  <c r="C931" i="5"/>
  <c r="C461" i="5"/>
  <c r="C451" i="5"/>
  <c r="C449" i="5"/>
  <c r="C447" i="5"/>
  <c r="C445" i="5"/>
  <c r="C443" i="5"/>
  <c r="C431" i="5"/>
  <c r="C429" i="5"/>
  <c r="C419" i="5"/>
  <c r="C415" i="5"/>
  <c r="C1003" i="5"/>
  <c r="C960" i="5"/>
  <c r="C719" i="5"/>
  <c r="C1211" i="5"/>
  <c r="C721" i="5"/>
  <c r="C1326" i="5"/>
  <c r="C1214" i="5"/>
  <c r="C978" i="5"/>
  <c r="C962" i="5"/>
  <c r="C946" i="5"/>
  <c r="C734" i="5"/>
  <c r="C476" i="5"/>
  <c r="C725" i="5"/>
  <c r="C983" i="5"/>
  <c r="C782" i="5"/>
  <c r="C930" i="5"/>
  <c r="C748" i="5"/>
  <c r="C610" i="5"/>
  <c r="C536" i="5"/>
  <c r="C520" i="5"/>
  <c r="C584" i="5"/>
  <c r="C2" i="5"/>
  <c r="C4" i="5"/>
  <c r="C6" i="5"/>
  <c r="C8" i="5"/>
  <c r="C10" i="5"/>
  <c r="C14" i="5"/>
  <c r="C16" i="5"/>
  <c r="C18" i="5"/>
  <c r="C20" i="5"/>
  <c r="C22" i="5"/>
  <c r="C24" i="5"/>
  <c r="C26" i="5"/>
  <c r="C30" i="5"/>
  <c r="C32" i="5"/>
  <c r="C34" i="5"/>
  <c r="C36" i="5"/>
  <c r="C38" i="5"/>
  <c r="C44" i="5"/>
  <c r="C46" i="5"/>
  <c r="C48" i="5"/>
  <c r="C50" i="5"/>
  <c r="C52" i="5"/>
  <c r="C54" i="5"/>
  <c r="C56" i="5"/>
  <c r="C58" i="5"/>
  <c r="C60" i="5"/>
  <c r="C62" i="5"/>
  <c r="C64" i="5"/>
  <c r="C66" i="5"/>
  <c r="C68" i="5"/>
  <c r="C70" i="5"/>
  <c r="C72" i="5"/>
  <c r="C76" i="5"/>
  <c r="C78" i="5"/>
  <c r="C80" i="5"/>
  <c r="C82" i="5"/>
  <c r="C84" i="5"/>
  <c r="C86" i="5"/>
  <c r="C88" i="5"/>
  <c r="C92" i="5"/>
  <c r="C94" i="5"/>
  <c r="C96" i="5"/>
  <c r="C98" i="5"/>
  <c r="C100" i="5"/>
  <c r="C102" i="5"/>
  <c r="C104" i="5"/>
  <c r="C108" i="5"/>
  <c r="C110" i="5"/>
  <c r="C112" i="5"/>
  <c r="C114" i="5"/>
  <c r="C116" i="5"/>
  <c r="C118" i="5"/>
  <c r="C120" i="5"/>
  <c r="C124" i="5"/>
  <c r="C126" i="5"/>
  <c r="C128" i="5"/>
  <c r="C130" i="5"/>
  <c r="C132" i="5"/>
  <c r="C134" i="5"/>
  <c r="C136" i="5"/>
  <c r="C140" i="5"/>
  <c r="C142" i="5"/>
  <c r="C144" i="5"/>
  <c r="C146" i="5"/>
  <c r="C148" i="5"/>
  <c r="C150" i="5"/>
  <c r="C158" i="5"/>
  <c r="B181" i="5"/>
  <c r="C183" i="5"/>
  <c r="B197" i="5"/>
  <c r="D201" i="5"/>
  <c r="B206" i="5"/>
  <c r="B213" i="5"/>
  <c r="C215" i="5"/>
  <c r="B394" i="5"/>
  <c r="C418" i="5"/>
  <c r="D466" i="5"/>
  <c r="C474" i="5"/>
  <c r="C502" i="5"/>
  <c r="C654" i="5"/>
  <c r="D708" i="5"/>
  <c r="D2424" i="5"/>
  <c r="D2403" i="5"/>
  <c r="D2442" i="5"/>
  <c r="D2302" i="5"/>
  <c r="D2373" i="5"/>
  <c r="D2022" i="5"/>
  <c r="D2296" i="5"/>
  <c r="D1982" i="5"/>
  <c r="D1642" i="5"/>
  <c r="D1610" i="5"/>
  <c r="D1594" i="5"/>
  <c r="D2008" i="5"/>
  <c r="D1741" i="5"/>
  <c r="D1639" i="5"/>
  <c r="D1623" i="5"/>
  <c r="D1607" i="5"/>
  <c r="D1591" i="5"/>
  <c r="D1738" i="5"/>
  <c r="D1473" i="5"/>
  <c r="D1784" i="5"/>
  <c r="D1437" i="5"/>
  <c r="D756" i="5"/>
  <c r="D740" i="5"/>
  <c r="D1585" i="5"/>
  <c r="D1442" i="5"/>
  <c r="D1462" i="5"/>
  <c r="D453" i="5"/>
  <c r="D451" i="5"/>
  <c r="D449" i="5"/>
  <c r="D447" i="5"/>
  <c r="D445" i="5"/>
  <c r="D441" i="5"/>
  <c r="D437" i="5"/>
  <c r="D433" i="5"/>
  <c r="D421" i="5"/>
  <c r="D419" i="5"/>
  <c r="D417" i="5"/>
  <c r="D405" i="5"/>
  <c r="D403" i="5"/>
  <c r="D401" i="5"/>
  <c r="D399" i="5"/>
  <c r="D987" i="5"/>
  <c r="D735" i="5"/>
  <c r="D1274" i="5"/>
  <c r="D1242" i="5"/>
  <c r="D993" i="5"/>
  <c r="D925" i="5"/>
  <c r="D943" i="5"/>
  <c r="D1268" i="5"/>
  <c r="D1236" i="5"/>
  <c r="D1043" i="5"/>
  <c r="D1220" i="5"/>
  <c r="D444" i="5"/>
  <c r="D428" i="5"/>
  <c r="D412" i="5"/>
  <c r="D725" i="5"/>
  <c r="D927" i="5"/>
  <c r="D462" i="5"/>
  <c r="D406" i="5"/>
  <c r="D392" i="5"/>
  <c r="D873" i="5"/>
  <c r="D745" i="5"/>
  <c r="D536" i="5"/>
  <c r="D528" i="5"/>
  <c r="D520" i="5"/>
  <c r="D512" i="5"/>
  <c r="D743" i="5"/>
  <c r="D606" i="5"/>
  <c r="D546" i="5"/>
  <c r="D522" i="5"/>
  <c r="D498" i="5"/>
  <c r="D490" i="5"/>
  <c r="D2" i="5"/>
  <c r="D4" i="5"/>
  <c r="D8" i="5"/>
  <c r="D10" i="5"/>
  <c r="D12" i="5"/>
  <c r="D14" i="5"/>
  <c r="D16" i="5"/>
  <c r="D18" i="5"/>
  <c r="D20" i="5"/>
  <c r="D22" i="5"/>
  <c r="D28" i="5"/>
  <c r="D32" i="5"/>
  <c r="D34" i="5"/>
  <c r="D36" i="5"/>
  <c r="D38" i="5"/>
  <c r="D44" i="5"/>
  <c r="D46" i="5"/>
  <c r="D48" i="5"/>
  <c r="D50" i="5"/>
  <c r="D52" i="5"/>
  <c r="D54" i="5"/>
  <c r="D58" i="5"/>
  <c r="D60" i="5"/>
  <c r="D62" i="5"/>
  <c r="D64" i="5"/>
  <c r="D68" i="5"/>
  <c r="D76" i="5"/>
  <c r="D80" i="5"/>
  <c r="D84" i="5"/>
  <c r="D86" i="5"/>
  <c r="D90" i="5"/>
  <c r="D92" i="5"/>
  <c r="D94" i="5"/>
  <c r="D96" i="5"/>
  <c r="D100" i="5"/>
  <c r="D102" i="5"/>
  <c r="D108" i="5"/>
  <c r="D110" i="5"/>
  <c r="D112" i="5"/>
  <c r="D116" i="5"/>
  <c r="D118" i="5"/>
  <c r="D124" i="5"/>
  <c r="D126" i="5"/>
  <c r="D128" i="5"/>
  <c r="D130" i="5"/>
  <c r="D140" i="5"/>
  <c r="D142" i="5"/>
  <c r="D144" i="5"/>
  <c r="D146" i="5"/>
  <c r="D158" i="5"/>
  <c r="B163" i="5"/>
  <c r="D167" i="5"/>
  <c r="D183" i="5"/>
  <c r="B195" i="5"/>
  <c r="C197" i="5"/>
  <c r="C213" i="5"/>
  <c r="C394" i="5"/>
  <c r="D396" i="5"/>
  <c r="B399" i="5"/>
  <c r="C404" i="5"/>
  <c r="B408" i="5"/>
  <c r="B422" i="5"/>
  <c r="B456" i="5"/>
  <c r="B648" i="5"/>
  <c r="C702" i="5"/>
  <c r="G12" i="6" l="1"/>
  <c r="H12" i="6" s="1"/>
  <c r="H11" i="6"/>
  <c r="I10" i="6"/>
  <c r="B127" i="5"/>
  <c r="D337" i="5"/>
  <c r="D88" i="5"/>
  <c r="D40" i="5"/>
  <c r="D134" i="5"/>
  <c r="D72" i="5"/>
  <c r="D1809" i="5"/>
  <c r="D30" i="5"/>
  <c r="C626" i="5"/>
  <c r="D149" i="5"/>
  <c r="C544" i="5"/>
  <c r="C869" i="5"/>
  <c r="C40" i="5"/>
  <c r="B156" i="5"/>
  <c r="D436" i="5"/>
  <c r="B145" i="5"/>
  <c r="D199" i="5"/>
  <c r="D314" i="5"/>
  <c r="C83" i="5"/>
  <c r="B187" i="5"/>
  <c r="C490" i="5"/>
  <c r="D215" i="5"/>
  <c r="D415" i="5"/>
  <c r="B333" i="5"/>
  <c r="D114" i="5"/>
  <c r="C152" i="5"/>
  <c r="D70" i="5"/>
  <c r="D148" i="5"/>
  <c r="D325" i="5"/>
  <c r="B179" i="5"/>
  <c r="C141" i="5"/>
  <c r="D474" i="5"/>
  <c r="C484" i="5"/>
  <c r="C427" i="5"/>
  <c r="C275" i="5"/>
  <c r="B155" i="5"/>
  <c r="D309" i="5"/>
  <c r="D371" i="5"/>
  <c r="D227" i="5"/>
  <c r="D376" i="5"/>
  <c r="B411" i="5"/>
  <c r="B204" i="5"/>
  <c r="D514" i="5"/>
  <c r="B478" i="5"/>
  <c r="B429" i="5"/>
  <c r="C459" i="5"/>
  <c r="B470" i="5"/>
  <c r="B442" i="5"/>
  <c r="B171" i="5"/>
  <c r="C139" i="5"/>
  <c r="B253" i="5"/>
  <c r="B801" i="5"/>
  <c r="B496" i="5"/>
  <c r="C154" i="5"/>
  <c r="D42" i="5"/>
  <c r="D544" i="5"/>
  <c r="D422" i="5"/>
  <c r="D411" i="5"/>
  <c r="C401" i="5"/>
  <c r="D420" i="5"/>
  <c r="D78" i="5"/>
  <c r="C37" i="5"/>
  <c r="C7" i="5"/>
  <c r="D496" i="5"/>
  <c r="B31" i="5"/>
  <c r="D552" i="5"/>
  <c r="D397" i="5"/>
  <c r="D157" i="5"/>
  <c r="B378" i="5"/>
  <c r="B262" i="5"/>
  <c r="C155" i="5"/>
  <c r="C28" i="5"/>
  <c r="D139" i="5"/>
  <c r="D185" i="5"/>
  <c r="D175" i="5"/>
  <c r="D153" i="5"/>
  <c r="B205" i="5"/>
  <c r="C225" i="5"/>
  <c r="D181" i="5"/>
  <c r="D151" i="5"/>
  <c r="C257" i="5"/>
  <c r="C750" i="5"/>
  <c r="D6" i="5"/>
  <c r="D56" i="5"/>
  <c r="D150" i="5"/>
  <c r="C138" i="5"/>
  <c r="B37" i="5"/>
  <c r="D169" i="5"/>
  <c r="D458" i="5"/>
  <c r="B199" i="5"/>
  <c r="B362" i="5"/>
  <c r="B246" i="5"/>
  <c r="B271" i="5"/>
  <c r="B3" i="5"/>
  <c r="C156" i="5"/>
  <c r="B78" i="5"/>
  <c r="B62" i="5"/>
  <c r="C417" i="5"/>
  <c r="D1626" i="5"/>
  <c r="D724" i="5"/>
  <c r="C470" i="5"/>
  <c r="C488" i="5"/>
  <c r="C910" i="5"/>
  <c r="B420" i="5"/>
  <c r="B374" i="5"/>
  <c r="D296" i="5"/>
  <c r="D132" i="5"/>
  <c r="D138" i="5"/>
  <c r="C486" i="5"/>
  <c r="B328" i="5"/>
  <c r="B67" i="5"/>
  <c r="C117" i="5"/>
  <c r="B851" i="5"/>
  <c r="D440" i="5"/>
  <c r="D413" i="5"/>
  <c r="D217" i="5"/>
  <c r="C167" i="5"/>
  <c r="C435" i="5"/>
  <c r="C337" i="5"/>
  <c r="B234" i="5"/>
  <c r="C307" i="5"/>
  <c r="B25" i="5"/>
  <c r="D1186" i="5"/>
  <c r="D106" i="5"/>
  <c r="B483" i="5"/>
  <c r="D98" i="5"/>
  <c r="D82" i="5"/>
  <c r="C122" i="5"/>
  <c r="C106" i="5"/>
  <c r="C90" i="5"/>
  <c r="C74" i="5"/>
  <c r="C42" i="5"/>
  <c r="D26" i="5"/>
  <c r="C53" i="5"/>
  <c r="B459" i="5"/>
  <c r="B424" i="5"/>
  <c r="D154" i="5"/>
  <c r="D761" i="5"/>
  <c r="D729" i="5"/>
  <c r="D1465" i="5"/>
  <c r="C616" i="5"/>
  <c r="C892" i="5"/>
  <c r="C767" i="5"/>
  <c r="C1536" i="5"/>
  <c r="B626" i="5"/>
  <c r="B812" i="5"/>
  <c r="B628" i="5"/>
  <c r="B1721" i="5"/>
  <c r="B1695" i="5"/>
  <c r="B1495" i="5"/>
  <c r="B1673" i="5"/>
  <c r="B2141" i="5"/>
  <c r="B1751" i="5"/>
  <c r="B1921" i="5"/>
  <c r="B1484" i="5"/>
  <c r="B2302" i="5"/>
  <c r="B1949" i="5"/>
  <c r="B1945" i="5"/>
  <c r="B1934" i="5"/>
  <c r="B2508" i="5"/>
  <c r="C506" i="5"/>
  <c r="B55" i="5"/>
  <c r="B65" i="5"/>
  <c r="C87" i="5"/>
  <c r="D1228" i="5"/>
  <c r="C1186" i="5"/>
  <c r="C2266" i="5"/>
  <c r="D74" i="5"/>
  <c r="D24" i="5"/>
  <c r="D120" i="5"/>
  <c r="D104" i="5"/>
  <c r="D1011" i="5"/>
  <c r="D1065" i="5"/>
  <c r="D959" i="5"/>
  <c r="D1015" i="5"/>
  <c r="D1041" i="5"/>
  <c r="D1887" i="5"/>
  <c r="D1761" i="5"/>
  <c r="D1557" i="5"/>
  <c r="D1791" i="5"/>
  <c r="D2274" i="5"/>
  <c r="D2429" i="5"/>
  <c r="C634" i="5"/>
  <c r="C1236" i="5"/>
  <c r="C957" i="5"/>
  <c r="C1242" i="5"/>
  <c r="C1230" i="5"/>
  <c r="C411" i="5"/>
  <c r="C1959" i="5"/>
  <c r="C1582" i="5"/>
  <c r="C2104" i="5"/>
  <c r="C1626" i="5"/>
  <c r="B208" i="5"/>
  <c r="B1214" i="5"/>
  <c r="B1035" i="5"/>
  <c r="B1334" i="5"/>
  <c r="B976" i="5"/>
  <c r="B1247" i="5"/>
  <c r="B1501" i="5"/>
  <c r="B1951" i="5"/>
  <c r="B2180" i="5"/>
  <c r="B2304" i="5"/>
  <c r="B2100" i="5"/>
  <c r="B2247" i="5"/>
  <c r="B2432" i="5"/>
  <c r="B2369" i="5"/>
  <c r="B2385" i="5"/>
  <c r="D156" i="5"/>
  <c r="D174" i="5"/>
  <c r="D632" i="5"/>
  <c r="D1206" i="5"/>
  <c r="D1059" i="5"/>
  <c r="D737" i="5"/>
  <c r="D957" i="5"/>
  <c r="D997" i="5"/>
  <c r="D1452" i="5"/>
  <c r="D1196" i="5"/>
  <c r="D754" i="5"/>
  <c r="D1716" i="5"/>
  <c r="D1489" i="5"/>
  <c r="D1700" i="5"/>
  <c r="D1436" i="5"/>
  <c r="D1484" i="5"/>
  <c r="D1601" i="5"/>
  <c r="D1554" i="5"/>
  <c r="D1615" i="5"/>
  <c r="D1902" i="5"/>
  <c r="D1443" i="5"/>
  <c r="D1816" i="5"/>
  <c r="D1739" i="5"/>
  <c r="D1744" i="5"/>
  <c r="D2058" i="5"/>
  <c r="D1928" i="5"/>
  <c r="D1972" i="5"/>
  <c r="D2120" i="5"/>
  <c r="D2361" i="5"/>
  <c r="D2096" i="5"/>
  <c r="D2324" i="5"/>
  <c r="D2414" i="5"/>
  <c r="D2371" i="5"/>
  <c r="D2458" i="5"/>
  <c r="D2375" i="5"/>
  <c r="D2253" i="5"/>
  <c r="D2269" i="5"/>
  <c r="D2285" i="5"/>
  <c r="D2301" i="5"/>
  <c r="D2431" i="5"/>
  <c r="C632" i="5"/>
  <c r="C814" i="5"/>
  <c r="C860" i="5"/>
  <c r="C510" i="5"/>
  <c r="C428" i="5"/>
  <c r="C800" i="5"/>
  <c r="C755" i="5"/>
  <c r="C1268" i="5"/>
  <c r="C1047" i="5"/>
  <c r="C1418" i="5"/>
  <c r="C965" i="5"/>
  <c r="C776" i="5"/>
  <c r="C1252" i="5"/>
  <c r="C1198" i="5"/>
  <c r="C1033" i="5"/>
  <c r="C1244" i="5"/>
  <c r="C1453" i="5"/>
  <c r="C1768" i="5"/>
  <c r="C1436" i="5"/>
  <c r="C1506" i="5"/>
  <c r="C1568" i="5"/>
  <c r="C1798" i="5"/>
  <c r="C2093" i="5"/>
  <c r="C1955" i="5"/>
  <c r="C1645" i="5"/>
  <c r="C1753" i="5"/>
  <c r="C2244" i="5"/>
  <c r="C1786" i="5"/>
  <c r="C2098" i="5"/>
  <c r="C2281" i="5"/>
  <c r="C2277" i="5"/>
  <c r="C2470" i="5"/>
  <c r="C2458" i="5"/>
  <c r="B533" i="5"/>
  <c r="C187" i="5"/>
  <c r="D409" i="5"/>
  <c r="D425" i="5"/>
  <c r="B906" i="5"/>
  <c r="B452" i="5"/>
  <c r="D427" i="5"/>
  <c r="B680" i="5"/>
  <c r="B443" i="5"/>
  <c r="B401" i="5"/>
  <c r="D259" i="5"/>
  <c r="C79" i="5"/>
  <c r="C403" i="5"/>
  <c r="C199" i="5"/>
  <c r="C399" i="5"/>
  <c r="B303" i="5"/>
  <c r="C101" i="5"/>
  <c r="C165" i="5"/>
  <c r="D429" i="5"/>
  <c r="B830" i="5"/>
  <c r="B188" i="5"/>
  <c r="D404" i="5"/>
  <c r="D431" i="5"/>
  <c r="B165" i="5"/>
  <c r="C586" i="5"/>
  <c r="B526" i="5"/>
  <c r="B201" i="5"/>
  <c r="D173" i="5"/>
  <c r="C205" i="5"/>
  <c r="B250" i="5"/>
  <c r="C151" i="5"/>
  <c r="C303" i="5"/>
  <c r="B294" i="5"/>
  <c r="B172" i="5"/>
  <c r="D452" i="5"/>
  <c r="C550" i="5"/>
  <c r="B282" i="5"/>
  <c r="D454" i="5"/>
  <c r="D435" i="5"/>
  <c r="C832" i="5"/>
  <c r="C618" i="5"/>
  <c r="D424" i="5"/>
  <c r="B221" i="5"/>
  <c r="B278" i="5"/>
  <c r="C773" i="5"/>
  <c r="B29" i="5"/>
  <c r="B380" i="5"/>
  <c r="B355" i="5"/>
  <c r="D327" i="5"/>
  <c r="D302" i="5"/>
  <c r="C277" i="5"/>
  <c r="B252" i="5"/>
  <c r="B227" i="5"/>
  <c r="D716" i="5"/>
  <c r="D666" i="5"/>
  <c r="D937" i="5"/>
  <c r="D1081" i="5"/>
  <c r="D1069" i="5"/>
  <c r="D835" i="5"/>
  <c r="D1159" i="5"/>
  <c r="D865" i="5"/>
  <c r="D1057" i="5"/>
  <c r="D121" i="5"/>
  <c r="D35" i="5"/>
  <c r="D55" i="5"/>
  <c r="D266" i="5"/>
  <c r="C35" i="5"/>
  <c r="B23" i="5"/>
  <c r="B418" i="5"/>
  <c r="D252" i="5"/>
  <c r="B157" i="5"/>
  <c r="B7" i="5"/>
  <c r="C29" i="5"/>
  <c r="B17" i="5"/>
  <c r="C45" i="5"/>
  <c r="D152" i="5"/>
  <c r="D321" i="5"/>
  <c r="C578" i="5"/>
  <c r="B109" i="5"/>
  <c r="C119" i="5"/>
  <c r="D777" i="5"/>
  <c r="D439" i="5"/>
  <c r="D1314" i="5"/>
  <c r="D1568" i="5"/>
  <c r="D1239" i="5"/>
  <c r="D1889" i="5"/>
  <c r="D1564" i="5"/>
  <c r="D2052" i="5"/>
  <c r="D2304" i="5"/>
  <c r="D1974" i="5"/>
  <c r="D2138" i="5"/>
  <c r="D1938" i="5"/>
  <c r="D2054" i="5"/>
  <c r="D1921" i="5"/>
  <c r="D2456" i="5"/>
  <c r="C772" i="5"/>
  <c r="C945" i="5"/>
  <c r="C1016" i="5"/>
  <c r="C1267" i="5"/>
  <c r="C2005" i="5"/>
  <c r="C2387" i="5"/>
  <c r="C2339" i="5"/>
  <c r="C2370" i="5"/>
  <c r="D177" i="5"/>
  <c r="C51" i="5"/>
  <c r="D136" i="5"/>
  <c r="B437" i="5"/>
  <c r="C803" i="5"/>
  <c r="B203" i="5"/>
  <c r="B525" i="5"/>
  <c r="D799" i="5"/>
  <c r="D1115" i="5"/>
  <c r="C640" i="5"/>
  <c r="C1184" i="5"/>
  <c r="C998" i="5"/>
  <c r="C1232" i="5"/>
  <c r="C1525" i="5"/>
  <c r="C1571" i="5"/>
  <c r="C1985" i="5"/>
  <c r="C2241" i="5"/>
  <c r="C2259" i="5"/>
  <c r="C1913" i="5"/>
  <c r="C2442" i="5"/>
  <c r="B803" i="5"/>
  <c r="B817" i="5"/>
  <c r="B965" i="5"/>
  <c r="B591" i="5"/>
  <c r="B623" i="5"/>
  <c r="B1465" i="5"/>
  <c r="B1210" i="5"/>
  <c r="B960" i="5"/>
  <c r="B1481" i="5"/>
  <c r="B1955" i="5"/>
  <c r="B2069" i="5"/>
  <c r="B1595" i="5"/>
  <c r="B1900" i="5"/>
  <c r="B2121" i="5"/>
  <c r="B2058" i="5"/>
  <c r="B2053" i="5"/>
  <c r="B2130" i="5"/>
  <c r="B2276" i="5"/>
  <c r="B2510" i="5"/>
  <c r="B2476" i="5"/>
  <c r="D797" i="5"/>
  <c r="D1125" i="5"/>
  <c r="D859" i="5"/>
  <c r="D1055" i="5"/>
  <c r="D1210" i="5"/>
  <c r="D738" i="5"/>
  <c r="D1694" i="5"/>
  <c r="D1718" i="5"/>
  <c r="D1705" i="5"/>
  <c r="D1596" i="5"/>
  <c r="D1439" i="5"/>
  <c r="D1729" i="5"/>
  <c r="D1613" i="5"/>
  <c r="D2132" i="5"/>
  <c r="D2042" i="5"/>
  <c r="D2114" i="5"/>
  <c r="D2242" i="5"/>
  <c r="D2224" i="5"/>
  <c r="D2357" i="5"/>
  <c r="D2158" i="5"/>
  <c r="D1905" i="5"/>
  <c r="D2108" i="5"/>
  <c r="D2236" i="5"/>
  <c r="D2398" i="5"/>
  <c r="D2356" i="5"/>
  <c r="B382" i="5"/>
  <c r="B357" i="5"/>
  <c r="D329" i="5"/>
  <c r="D304" i="5"/>
  <c r="C279" i="5"/>
  <c r="B254" i="5"/>
  <c r="B229" i="5"/>
  <c r="C588" i="5"/>
  <c r="C716" i="5"/>
  <c r="C694" i="5"/>
  <c r="C162" i="5"/>
  <c r="C178" i="5"/>
  <c r="C194" i="5"/>
  <c r="C210" i="5"/>
  <c r="C656" i="5"/>
  <c r="C650" i="5"/>
  <c r="C1091" i="5"/>
  <c r="C1394" i="5"/>
  <c r="C1117" i="5"/>
  <c r="C1175" i="5"/>
  <c r="C1073" i="5"/>
  <c r="C1067" i="5"/>
  <c r="C1402" i="5"/>
  <c r="C1093" i="5"/>
  <c r="C1071" i="5"/>
  <c r="C1366" i="5"/>
  <c r="C1161" i="5"/>
  <c r="C1272" i="5"/>
  <c r="C1219" i="5"/>
  <c r="C1000" i="5"/>
  <c r="C1328" i="5"/>
  <c r="C1435" i="5"/>
  <c r="C1579" i="5"/>
  <c r="C1251" i="5"/>
  <c r="C1583" i="5"/>
  <c r="C1467" i="5"/>
  <c r="C2114" i="5"/>
  <c r="C1749" i="5"/>
  <c r="C2125" i="5"/>
  <c r="C2284" i="5"/>
  <c r="C1935" i="5"/>
  <c r="C2012" i="5"/>
  <c r="C2440" i="5"/>
  <c r="C2411" i="5"/>
  <c r="B384" i="5"/>
  <c r="B359" i="5"/>
  <c r="D331" i="5"/>
  <c r="D306" i="5"/>
  <c r="C281" i="5"/>
  <c r="B256" i="5"/>
  <c r="B231" i="5"/>
  <c r="D203" i="5"/>
  <c r="B814" i="5"/>
  <c r="B678" i="5"/>
  <c r="B844" i="5"/>
  <c r="B682" i="5"/>
  <c r="B686" i="5"/>
  <c r="B846" i="5"/>
  <c r="B1773" i="5"/>
  <c r="B2223" i="5"/>
  <c r="D1644" i="5"/>
  <c r="D1262" i="5"/>
  <c r="D1194" i="5"/>
  <c r="D736" i="5"/>
  <c r="D1684" i="5"/>
  <c r="D1312" i="5"/>
  <c r="D1543" i="5"/>
  <c r="D1795" i="5"/>
  <c r="D1434" i="5"/>
  <c r="D1794" i="5"/>
  <c r="D1958" i="5"/>
  <c r="D2046" i="5"/>
  <c r="D2342" i="5"/>
  <c r="D1903" i="5"/>
  <c r="D2389" i="5"/>
  <c r="D2405" i="5"/>
  <c r="D2484" i="5"/>
  <c r="C2364" i="5"/>
  <c r="B1839" i="5"/>
  <c r="B2279" i="5"/>
  <c r="B1912" i="5"/>
  <c r="B2228" i="5"/>
  <c r="D731" i="5"/>
  <c r="D1577" i="5"/>
  <c r="D1590" i="5"/>
  <c r="D1634" i="5"/>
  <c r="D1807" i="5"/>
  <c r="C752" i="5"/>
  <c r="C917" i="5"/>
  <c r="C769" i="5"/>
  <c r="C1213" i="5"/>
  <c r="C1196" i="5"/>
  <c r="C1566" i="5"/>
  <c r="C1048" i="5"/>
  <c r="C1809" i="5"/>
  <c r="C1563" i="5"/>
  <c r="C1498" i="5"/>
  <c r="C1900" i="5"/>
  <c r="C1479" i="5"/>
  <c r="C1878" i="5"/>
  <c r="C2274" i="5"/>
  <c r="C1998" i="5"/>
  <c r="C1928" i="5"/>
  <c r="C2081" i="5"/>
  <c r="C2254" i="5"/>
  <c r="C1979" i="5"/>
  <c r="C2046" i="5"/>
  <c r="C2194" i="5"/>
  <c r="C2307" i="5"/>
  <c r="C2064" i="5"/>
  <c r="C2424" i="5"/>
  <c r="C2450" i="5"/>
  <c r="C2508" i="5"/>
  <c r="B757" i="5"/>
  <c r="B725" i="5"/>
  <c r="B1149" i="5"/>
  <c r="B1127" i="5"/>
  <c r="B1246" i="5"/>
  <c r="B1390" i="5"/>
  <c r="B1089" i="5"/>
  <c r="B1051" i="5"/>
  <c r="B1386" i="5"/>
  <c r="B593" i="5"/>
  <c r="B625" i="5"/>
  <c r="B923" i="5"/>
  <c r="B997" i="5"/>
  <c r="B1125" i="5"/>
  <c r="B1087" i="5"/>
  <c r="B1350" i="5"/>
  <c r="B729" i="5"/>
  <c r="B1113" i="5"/>
  <c r="B1123" i="5"/>
  <c r="B1394" i="5"/>
  <c r="B1219" i="5"/>
  <c r="B1249" i="5"/>
  <c r="B1523" i="5"/>
  <c r="B1567" i="5"/>
  <c r="B1923" i="5"/>
  <c r="B1829" i="5"/>
  <c r="B1932" i="5"/>
  <c r="B1928" i="5"/>
  <c r="B1905" i="5"/>
  <c r="B2146" i="5"/>
  <c r="B2362" i="5"/>
  <c r="B2355" i="5"/>
  <c r="B2403" i="5"/>
  <c r="D530" i="5"/>
  <c r="D772" i="5"/>
  <c r="B536" i="5"/>
  <c r="B450" i="5"/>
  <c r="B1617" i="5"/>
  <c r="B776" i="5"/>
  <c r="C494" i="5"/>
  <c r="D1430" i="5"/>
  <c r="C467" i="5"/>
  <c r="C169" i="5"/>
  <c r="B426" i="5"/>
  <c r="B404" i="5"/>
  <c r="B837" i="5"/>
  <c r="B1021" i="5"/>
  <c r="B973" i="5"/>
  <c r="B733" i="5"/>
  <c r="B779" i="5"/>
  <c r="B1198" i="5"/>
  <c r="B736" i="5"/>
  <c r="B962" i="5"/>
  <c r="B1217" i="5"/>
  <c r="B1284" i="5"/>
  <c r="B1181" i="5"/>
  <c r="B1264" i="5"/>
  <c r="B1855" i="5"/>
  <c r="B1426" i="5"/>
  <c r="B1671" i="5"/>
  <c r="B1727" i="5"/>
  <c r="B1509" i="5"/>
  <c r="B1705" i="5"/>
  <c r="B1233" i="5"/>
  <c r="B1265" i="5"/>
  <c r="B1515" i="5"/>
  <c r="B1633" i="5"/>
  <c r="B1613" i="5"/>
  <c r="B2075" i="5"/>
  <c r="B2064" i="5"/>
  <c r="B1904" i="5"/>
  <c r="B2067" i="5"/>
  <c r="B1486" i="5"/>
  <c r="B1777" i="5"/>
  <c r="B2252" i="5"/>
  <c r="B2320" i="5"/>
  <c r="B1963" i="5"/>
  <c r="B1952" i="5"/>
  <c r="B2114" i="5"/>
  <c r="B2434" i="5"/>
  <c r="B2257" i="5"/>
  <c r="B2283" i="5"/>
  <c r="B2115" i="5"/>
  <c r="B2331" i="5"/>
  <c r="B2402" i="5"/>
  <c r="B2323" i="5"/>
  <c r="B2337" i="5"/>
  <c r="B2358" i="5"/>
  <c r="B2480" i="5"/>
  <c r="D365" i="5"/>
  <c r="D340" i="5"/>
  <c r="C315" i="5"/>
  <c r="B290" i="5"/>
  <c r="B265" i="5"/>
  <c r="D237" i="5"/>
  <c r="B372" i="5"/>
  <c r="B347" i="5"/>
  <c r="D319" i="5"/>
  <c r="D294" i="5"/>
  <c r="C269" i="5"/>
  <c r="B244" i="5"/>
  <c r="C1290" i="5"/>
  <c r="C2223" i="5"/>
  <c r="C2129" i="5"/>
  <c r="B1433" i="5"/>
  <c r="D594" i="5"/>
  <c r="D903" i="5"/>
  <c r="D721" i="5"/>
  <c r="D949" i="5"/>
  <c r="D979" i="5"/>
  <c r="D1039" i="5"/>
  <c r="D1180" i="5"/>
  <c r="D752" i="5"/>
  <c r="D1556" i="5"/>
  <c r="D1280" i="5"/>
  <c r="D1476" i="5"/>
  <c r="D1668" i="5"/>
  <c r="D1481" i="5"/>
  <c r="D1818" i="5"/>
  <c r="D1205" i="5"/>
  <c r="D1605" i="5"/>
  <c r="D1624" i="5"/>
  <c r="D1627" i="5"/>
  <c r="D1749" i="5"/>
  <c r="D2198" i="5"/>
  <c r="D2084" i="5"/>
  <c r="D1935" i="5"/>
  <c r="D2251" i="5"/>
  <c r="D2267" i="5"/>
  <c r="D2283" i="5"/>
  <c r="D2299" i="5"/>
  <c r="D2500" i="5"/>
  <c r="D2461" i="5"/>
  <c r="D2477" i="5"/>
  <c r="C727" i="5"/>
  <c r="C1011" i="5"/>
  <c r="C1005" i="5"/>
  <c r="C160" i="5"/>
  <c r="C176" i="5"/>
  <c r="C192" i="5"/>
  <c r="C208" i="5"/>
  <c r="C775" i="5"/>
  <c r="C596" i="5"/>
  <c r="C938" i="5"/>
  <c r="C774" i="5"/>
  <c r="C1017" i="5"/>
  <c r="C1210" i="5"/>
  <c r="C1324" i="5"/>
  <c r="C1549" i="5"/>
  <c r="C1708" i="5"/>
  <c r="C1249" i="5"/>
  <c r="C1281" i="5"/>
  <c r="C1297" i="5"/>
  <c r="C1469" i="5"/>
  <c r="C1561" i="5"/>
  <c r="C1996" i="5"/>
  <c r="C1860" i="5"/>
  <c r="C1751" i="5"/>
  <c r="C2070" i="5"/>
  <c r="C2088" i="5"/>
  <c r="C1970" i="5"/>
  <c r="C2052" i="5"/>
  <c r="C2057" i="5"/>
  <c r="C2247" i="5"/>
  <c r="C2103" i="5"/>
  <c r="C2399" i="5"/>
  <c r="C2454" i="5"/>
  <c r="C2441" i="5"/>
  <c r="C2473" i="5"/>
  <c r="B755" i="5"/>
  <c r="B1871" i="5"/>
  <c r="B1605" i="5"/>
  <c r="B2031" i="5"/>
  <c r="B2289" i="5"/>
  <c r="B2226" i="5"/>
  <c r="B2328" i="5"/>
  <c r="B395" i="5"/>
  <c r="D109" i="5"/>
  <c r="D2486" i="5"/>
  <c r="D2415" i="5"/>
  <c r="C1235" i="5"/>
  <c r="C1586" i="5"/>
  <c r="C2091" i="5"/>
  <c r="C1920" i="5"/>
  <c r="C2408" i="5"/>
  <c r="D17" i="5"/>
  <c r="D43" i="5"/>
  <c r="D85" i="5"/>
  <c r="D111" i="5"/>
  <c r="C125" i="5"/>
  <c r="B189" i="5"/>
  <c r="B49" i="5"/>
  <c r="B13" i="5"/>
  <c r="D622" i="5"/>
  <c r="B220" i="5"/>
  <c r="D889" i="5"/>
  <c r="D769" i="5"/>
  <c r="D395" i="5"/>
  <c r="D1676" i="5"/>
  <c r="D758" i="5"/>
  <c r="D1302" i="5"/>
  <c r="D1622" i="5"/>
  <c r="D1584" i="5"/>
  <c r="D1815" i="5"/>
  <c r="D2391" i="5"/>
  <c r="D1925" i="5"/>
  <c r="D2258" i="5"/>
  <c r="D2352" i="5"/>
  <c r="D2359" i="5"/>
  <c r="D2419" i="5"/>
  <c r="D2451" i="5"/>
  <c r="C496" i="5"/>
  <c r="C732" i="5"/>
  <c r="C444" i="5"/>
  <c r="C1298" i="5"/>
  <c r="C1020" i="5"/>
  <c r="C1574" i="5"/>
  <c r="C1476" i="5"/>
  <c r="C1764" i="5"/>
  <c r="C1530" i="5"/>
  <c r="C1915" i="5"/>
  <c r="C1896" i="5"/>
  <c r="C1738" i="5"/>
  <c r="C2130" i="5"/>
  <c r="C2299" i="5"/>
  <c r="C2356" i="5"/>
  <c r="C2257" i="5"/>
  <c r="C2397" i="5"/>
  <c r="C2516" i="5"/>
  <c r="C2386" i="5"/>
  <c r="C2447" i="5"/>
  <c r="B798" i="5"/>
  <c r="B731" i="5"/>
  <c r="B1027" i="5"/>
  <c r="B1298" i="5"/>
  <c r="B1435" i="5"/>
  <c r="B966" i="5"/>
  <c r="B1483" i="5"/>
  <c r="B2061" i="5"/>
  <c r="B1819" i="5"/>
  <c r="B2089" i="5"/>
  <c r="B2297" i="5"/>
  <c r="B1752" i="5"/>
  <c r="B1768" i="5"/>
  <c r="B1784" i="5"/>
  <c r="B1800" i="5"/>
  <c r="B2187" i="5"/>
  <c r="B2132" i="5"/>
  <c r="B2253" i="5"/>
  <c r="B143" i="5"/>
  <c r="D264" i="5"/>
  <c r="C456" i="5"/>
  <c r="B141" i="5"/>
  <c r="D393" i="5"/>
  <c r="D190" i="5"/>
  <c r="D638" i="5"/>
  <c r="D1519" i="5"/>
  <c r="D776" i="5"/>
  <c r="D1320" i="5"/>
  <c r="D1525" i="5"/>
  <c r="D1638" i="5"/>
  <c r="D1802" i="5"/>
  <c r="D2152" i="5"/>
  <c r="D2407" i="5"/>
  <c r="C396" i="5"/>
  <c r="C830" i="5"/>
  <c r="D219" i="5"/>
  <c r="B989" i="5"/>
  <c r="D2440" i="5"/>
  <c r="D206" i="5"/>
  <c r="D1027" i="5"/>
  <c r="D1588" i="5"/>
  <c r="D941" i="5"/>
  <c r="D767" i="5"/>
  <c r="D1272" i="5"/>
  <c r="D1178" i="5"/>
  <c r="D1875" i="5"/>
  <c r="D1471" i="5"/>
  <c r="D1800" i="5"/>
  <c r="D1916" i="5"/>
  <c r="D2286" i="5"/>
  <c r="D2328" i="5"/>
  <c r="D2056" i="5"/>
  <c r="C528" i="5"/>
  <c r="C883" i="5"/>
  <c r="C1880" i="5"/>
  <c r="C1218" i="5"/>
  <c r="C409" i="5"/>
  <c r="C441" i="5"/>
  <c r="C457" i="5"/>
  <c r="C950" i="5"/>
  <c r="C1202" i="5"/>
  <c r="B502" i="5"/>
  <c r="B967" i="5"/>
  <c r="B853" i="5"/>
  <c r="B441" i="5"/>
  <c r="B957" i="5"/>
  <c r="B1179" i="5"/>
  <c r="B1019" i="5"/>
  <c r="B1180" i="5"/>
  <c r="B1318" i="5"/>
  <c r="B1340" i="5"/>
  <c r="B1607" i="5"/>
  <c r="B1663" i="5"/>
  <c r="B1719" i="5"/>
  <c r="B1597" i="5"/>
  <c r="B1651" i="5"/>
  <c r="B2124" i="5"/>
  <c r="B2306" i="5"/>
  <c r="B2416" i="5"/>
  <c r="B2367" i="5"/>
  <c r="B169" i="5"/>
  <c r="D135" i="5"/>
  <c r="B296" i="5"/>
  <c r="D25" i="5"/>
  <c r="D364" i="5"/>
  <c r="D122" i="5"/>
  <c r="C12" i="5"/>
  <c r="B46" i="5"/>
  <c r="B30" i="5"/>
  <c r="B14" i="5"/>
  <c r="C642" i="5"/>
  <c r="C612" i="5"/>
  <c r="C912" i="5"/>
  <c r="C1294" i="5"/>
  <c r="C1274" i="5"/>
  <c r="C413" i="5"/>
  <c r="C971" i="5"/>
  <c r="C1420" i="5"/>
  <c r="C966" i="5"/>
  <c r="C1296" i="5"/>
  <c r="C1478" i="5"/>
  <c r="C1750" i="5"/>
  <c r="C1545" i="5"/>
  <c r="C1634" i="5"/>
  <c r="C1885" i="5"/>
  <c r="C1532" i="5"/>
  <c r="C1600" i="5"/>
  <c r="C1578" i="5"/>
  <c r="C1441" i="5"/>
  <c r="C1810" i="5"/>
  <c r="C1613" i="5"/>
  <c r="C1629" i="5"/>
  <c r="C1820" i="5"/>
  <c r="C2239" i="5"/>
  <c r="C1957" i="5"/>
  <c r="C2134" i="5"/>
  <c r="C2060" i="5"/>
  <c r="C2262" i="5"/>
  <c r="C2349" i="5"/>
  <c r="C2295" i="5"/>
  <c r="C2313" i="5"/>
  <c r="C2331" i="5"/>
  <c r="C2380" i="5"/>
  <c r="C2498" i="5"/>
  <c r="C2305" i="5"/>
  <c r="C2381" i="5"/>
  <c r="C2427" i="5"/>
  <c r="C2459" i="5"/>
  <c r="B642" i="5"/>
  <c r="B935" i="5"/>
  <c r="B417" i="5"/>
  <c r="B644" i="5"/>
  <c r="B1581" i="5"/>
  <c r="B1252" i="5"/>
  <c r="B1205" i="5"/>
  <c r="B995" i="5"/>
  <c r="B930" i="5"/>
  <c r="B1647" i="5"/>
  <c r="B1739" i="5"/>
  <c r="B1603" i="5"/>
  <c r="B1801" i="5"/>
  <c r="B1767" i="5"/>
  <c r="B2107" i="5"/>
  <c r="B1958" i="5"/>
  <c r="B2034" i="5"/>
  <c r="B2150" i="5"/>
  <c r="B2091" i="5"/>
  <c r="B2029" i="5"/>
  <c r="B2021" i="5"/>
  <c r="B2312" i="5"/>
  <c r="B2192" i="5"/>
  <c r="B2265" i="5"/>
  <c r="B488" i="5"/>
  <c r="C462" i="5"/>
  <c r="B981" i="5"/>
  <c r="C518" i="5"/>
  <c r="C975" i="5"/>
  <c r="C538" i="5"/>
  <c r="C448" i="5"/>
  <c r="C373" i="5"/>
  <c r="B348" i="5"/>
  <c r="B323" i="5"/>
  <c r="D295" i="5"/>
  <c r="D270" i="5"/>
  <c r="C245" i="5"/>
  <c r="D664" i="5"/>
  <c r="D905" i="5"/>
  <c r="D757" i="5"/>
  <c r="D646" i="5"/>
  <c r="D857" i="5"/>
  <c r="D640" i="5"/>
  <c r="D698" i="5"/>
  <c r="D1113" i="5"/>
  <c r="D1254" i="5"/>
  <c r="D1091" i="5"/>
  <c r="D1101" i="5"/>
  <c r="D739" i="5"/>
  <c r="D867" i="5"/>
  <c r="D1063" i="5"/>
  <c r="D1200" i="5"/>
  <c r="D897" i="5"/>
  <c r="D1089" i="5"/>
  <c r="D1204" i="5"/>
  <c r="D1750" i="5"/>
  <c r="D831" i="5"/>
  <c r="D1019" i="5"/>
  <c r="D1147" i="5"/>
  <c r="D443" i="5"/>
  <c r="D829" i="5"/>
  <c r="D939" i="5"/>
  <c r="D1029" i="5"/>
  <c r="D1157" i="5"/>
  <c r="D891" i="5"/>
  <c r="D1087" i="5"/>
  <c r="D1226" i="5"/>
  <c r="D1472" i="5"/>
  <c r="D742" i="5"/>
  <c r="D1276" i="5"/>
  <c r="D2000" i="5"/>
  <c r="D1513" i="5"/>
  <c r="D1598" i="5"/>
  <c r="D1726" i="5"/>
  <c r="D1286" i="5"/>
  <c r="D1747" i="5"/>
  <c r="D1195" i="5"/>
  <c r="D1633" i="5"/>
  <c r="D1570" i="5"/>
  <c r="D1650" i="5"/>
  <c r="D1798" i="5"/>
  <c r="D1502" i="5"/>
  <c r="D1873" i="5"/>
  <c r="D1920" i="5"/>
  <c r="D1932" i="5"/>
  <c r="D2078" i="5"/>
  <c r="D1960" i="5"/>
  <c r="D2232" i="5"/>
  <c r="D2006" i="5"/>
  <c r="D2004" i="5"/>
  <c r="D1970" i="5"/>
  <c r="D2212" i="5"/>
  <c r="D2018" i="5"/>
  <c r="D2146" i="5"/>
  <c r="D2128" i="5"/>
  <c r="D2190" i="5"/>
  <c r="D1893" i="5"/>
  <c r="D2140" i="5"/>
  <c r="D2430" i="5"/>
  <c r="D2446" i="5"/>
  <c r="D2362" i="5"/>
  <c r="D2434" i="5"/>
  <c r="D2399" i="5"/>
  <c r="D2448" i="5"/>
  <c r="D2490" i="5"/>
  <c r="D2506" i="5"/>
  <c r="C375" i="5"/>
  <c r="B350" i="5"/>
  <c r="B325" i="5"/>
  <c r="D297" i="5"/>
  <c r="D272" i="5"/>
  <c r="C247" i="5"/>
  <c r="B222" i="5"/>
  <c r="C664" i="5"/>
  <c r="C789" i="5"/>
  <c r="C674" i="5"/>
  <c r="C839" i="5"/>
  <c r="C526" i="5"/>
  <c r="C741" i="5"/>
  <c r="C688" i="5"/>
  <c r="C682" i="5"/>
  <c r="C784" i="5"/>
  <c r="C1123" i="5"/>
  <c r="C1149" i="5"/>
  <c r="C1079" i="5"/>
  <c r="C1200" i="5"/>
  <c r="C1105" i="5"/>
  <c r="C1197" i="5"/>
  <c r="C1099" i="5"/>
  <c r="C433" i="5"/>
  <c r="C997" i="5"/>
  <c r="C1125" i="5"/>
  <c r="C982" i="5"/>
  <c r="C1103" i="5"/>
  <c r="C1398" i="5"/>
  <c r="C1065" i="5"/>
  <c r="C1488" i="5"/>
  <c r="C1304" i="5"/>
  <c r="C1556" i="5"/>
  <c r="C1445" i="5"/>
  <c r="C1502" i="5"/>
  <c r="C1604" i="5"/>
  <c r="C1846" i="5"/>
  <c r="C1451" i="5"/>
  <c r="C1628" i="5"/>
  <c r="C1255" i="5"/>
  <c r="C1501" i="5"/>
  <c r="C1477" i="5"/>
  <c r="C1864" i="5"/>
  <c r="C1616" i="5"/>
  <c r="C1975" i="5"/>
  <c r="C1759" i="5"/>
  <c r="C1934" i="5"/>
  <c r="C2261" i="5"/>
  <c r="C1601" i="5"/>
  <c r="C1617" i="5"/>
  <c r="C1769" i="5"/>
  <c r="C2047" i="5"/>
  <c r="B604" i="5"/>
  <c r="D1184" i="5"/>
  <c r="D871" i="5"/>
  <c r="D901" i="5"/>
  <c r="D636" i="5"/>
  <c r="D430" i="5"/>
  <c r="D919" i="5"/>
  <c r="D985" i="5"/>
  <c r="D989" i="5"/>
  <c r="D755" i="5"/>
  <c r="D1470" i="5"/>
  <c r="D719" i="5"/>
  <c r="D1035" i="5"/>
  <c r="D1182" i="5"/>
  <c r="D1477" i="5"/>
  <c r="D760" i="5"/>
  <c r="D1521" i="5"/>
  <c r="D1288" i="5"/>
  <c r="D1304" i="5"/>
  <c r="D1336" i="5"/>
  <c r="D1433" i="5"/>
  <c r="D1531" i="5"/>
  <c r="D1768" i="5"/>
  <c r="D1775" i="5"/>
  <c r="D1535" i="5"/>
  <c r="D1692" i="5"/>
  <c r="D1197" i="5"/>
  <c r="D1511" i="5"/>
  <c r="D1637" i="5"/>
  <c r="D1770" i="5"/>
  <c r="D1592" i="5"/>
  <c r="D1466" i="5"/>
  <c r="D1878" i="5"/>
  <c r="D1789" i="5"/>
  <c r="D1934" i="5"/>
  <c r="D1904" i="5"/>
  <c r="D1822" i="5"/>
  <c r="D1962" i="5"/>
  <c r="D2246" i="5"/>
  <c r="D2144" i="5"/>
  <c r="D1895" i="5"/>
  <c r="D2358" i="5"/>
  <c r="D2409" i="5"/>
  <c r="D2408" i="5"/>
  <c r="D2243" i="5"/>
  <c r="D2259" i="5"/>
  <c r="D2275" i="5"/>
  <c r="D2291" i="5"/>
  <c r="D2492" i="5"/>
  <c r="D2437" i="5"/>
  <c r="C757" i="5"/>
  <c r="C935" i="5"/>
  <c r="C534" i="5"/>
  <c r="C168" i="5"/>
  <c r="C184" i="5"/>
  <c r="C200" i="5"/>
  <c r="C216" i="5"/>
  <c r="C452" i="5"/>
  <c r="C1037" i="5"/>
  <c r="C970" i="5"/>
  <c r="C730" i="5"/>
  <c r="C735" i="5"/>
  <c r="C1322" i="5"/>
  <c r="C1460" i="5"/>
  <c r="C1221" i="5"/>
  <c r="C1178" i="5"/>
  <c r="C1038" i="5"/>
  <c r="C1201" i="5"/>
  <c r="C1199" i="5"/>
  <c r="C1270" i="5"/>
  <c r="C1508" i="5"/>
  <c r="C1581" i="5"/>
  <c r="C1660" i="5"/>
  <c r="C1241" i="5"/>
  <c r="C1504" i="5"/>
  <c r="C1652" i="5"/>
  <c r="C1748" i="5"/>
  <c r="C1962" i="5"/>
  <c r="C1493" i="5"/>
  <c r="C1766" i="5"/>
  <c r="C1791" i="5"/>
  <c r="C1987" i="5"/>
  <c r="C1775" i="5"/>
  <c r="C1946" i="5"/>
  <c r="C1895" i="5"/>
  <c r="D1545" i="5"/>
  <c r="D923" i="5"/>
  <c r="B174" i="5"/>
  <c r="B600" i="5"/>
  <c r="B448" i="5"/>
  <c r="B190" i="5"/>
  <c r="C876" i="5"/>
  <c r="C1302" i="5"/>
  <c r="C1226" i="5"/>
  <c r="C1461" i="5"/>
  <c r="C1807" i="5"/>
  <c r="C2050" i="5"/>
  <c r="C1800" i="5"/>
  <c r="C1923" i="5"/>
  <c r="D1859" i="5"/>
  <c r="D2383" i="5"/>
  <c r="D945" i="5"/>
  <c r="D438" i="5"/>
  <c r="D1505" i="5"/>
  <c r="D1850" i="5"/>
  <c r="D1771" i="5"/>
  <c r="D2214" i="5"/>
  <c r="D1945" i="5"/>
  <c r="C780" i="5"/>
  <c r="C482" i="5"/>
  <c r="B211" i="5"/>
  <c r="D885" i="5"/>
  <c r="C478" i="5"/>
  <c r="D418" i="5"/>
  <c r="C181" i="5"/>
  <c r="D506" i="5"/>
  <c r="D600" i="5"/>
  <c r="D1188" i="5"/>
  <c r="D951" i="5"/>
  <c r="D1636" i="5"/>
  <c r="D1444" i="5"/>
  <c r="D2230" i="5"/>
  <c r="D2136" i="5"/>
  <c r="D2014" i="5"/>
  <c r="D1896" i="5"/>
  <c r="D2312" i="5"/>
  <c r="D2260" i="5"/>
  <c r="D1901" i="5"/>
  <c r="D2367" i="5"/>
  <c r="D2482" i="5"/>
  <c r="D2427" i="5"/>
  <c r="D432" i="5"/>
  <c r="C823" i="5"/>
  <c r="C558" i="5"/>
  <c r="C932" i="5"/>
  <c r="C1246" i="5"/>
  <c r="C949" i="5"/>
  <c r="C1041" i="5"/>
  <c r="C425" i="5"/>
  <c r="C1513" i="5"/>
  <c r="C1012" i="5"/>
  <c r="C1428" i="5"/>
  <c r="C1676" i="5"/>
  <c r="C1732" i="5"/>
  <c r="C1558" i="5"/>
  <c r="C1247" i="5"/>
  <c r="C1848" i="5"/>
  <c r="C1844" i="5"/>
  <c r="C1614" i="5"/>
  <c r="C2148" i="5"/>
  <c r="C1794" i="5"/>
  <c r="C2075" i="5"/>
  <c r="C1641" i="5"/>
  <c r="C1770" i="5"/>
  <c r="C2118" i="5"/>
  <c r="C2232" i="5"/>
  <c r="C2289" i="5"/>
  <c r="C2351" i="5"/>
  <c r="C2500" i="5"/>
  <c r="C2354" i="5"/>
  <c r="C2471" i="5"/>
  <c r="C185" i="5"/>
  <c r="B610" i="5"/>
  <c r="B885" i="5"/>
  <c r="C2030" i="5"/>
  <c r="C2398" i="5"/>
  <c r="C2141" i="5"/>
  <c r="C2379" i="5"/>
  <c r="C2031" i="5"/>
  <c r="C1965" i="5"/>
  <c r="C2102" i="5"/>
  <c r="C2079" i="5"/>
  <c r="C2286" i="5"/>
  <c r="C2016" i="5"/>
  <c r="C2300" i="5"/>
  <c r="C2255" i="5"/>
  <c r="C2278" i="5"/>
  <c r="C2327" i="5"/>
  <c r="C2343" i="5"/>
  <c r="C2368" i="5"/>
  <c r="C2415" i="5"/>
  <c r="C377" i="5"/>
  <c r="B352" i="5"/>
  <c r="B327" i="5"/>
  <c r="D299" i="5"/>
  <c r="D274" i="5"/>
  <c r="C249" i="5"/>
  <c r="B224" i="5"/>
  <c r="B541" i="5"/>
  <c r="B674" i="5"/>
  <c r="B835" i="5"/>
  <c r="B652" i="5"/>
  <c r="B1005" i="5"/>
  <c r="B518" i="5"/>
  <c r="B710" i="5"/>
  <c r="B766" i="5"/>
  <c r="B457" i="5"/>
  <c r="B714" i="5"/>
  <c r="B676" i="5"/>
  <c r="B833" i="5"/>
  <c r="B590" i="5"/>
  <c r="B718" i="5"/>
  <c r="B1031" i="5"/>
  <c r="B1159" i="5"/>
  <c r="B1294" i="5"/>
  <c r="B1475" i="5"/>
  <c r="B993" i="5"/>
  <c r="B1121" i="5"/>
  <c r="B1207" i="5"/>
  <c r="B1083" i="5"/>
  <c r="B1290" i="5"/>
  <c r="B613" i="5"/>
  <c r="B645" i="5"/>
  <c r="B749" i="5"/>
  <c r="B939" i="5"/>
  <c r="B1157" i="5"/>
  <c r="B991" i="5"/>
  <c r="B1119" i="5"/>
  <c r="B1382" i="5"/>
  <c r="B745" i="5"/>
  <c r="B1017" i="5"/>
  <c r="B1145" i="5"/>
  <c r="B1155" i="5"/>
  <c r="B934" i="5"/>
  <c r="B1215" i="5"/>
  <c r="B1292" i="5"/>
  <c r="B1324" i="5"/>
  <c r="B1443" i="5"/>
  <c r="B1591" i="5"/>
  <c r="B1555" i="5"/>
  <c r="B1743" i="5"/>
  <c r="B1833" i="5"/>
  <c r="B1948" i="5"/>
  <c r="B1861" i="5"/>
  <c r="B1973" i="5"/>
  <c r="B1859" i="5"/>
  <c r="B1809" i="5"/>
  <c r="B2059" i="5"/>
  <c r="B2191" i="5"/>
  <c r="B2341" i="5"/>
  <c r="B1979" i="5"/>
  <c r="B2054" i="5"/>
  <c r="B2275" i="5"/>
  <c r="B2462" i="5"/>
  <c r="B2394" i="5"/>
  <c r="D159" i="5"/>
  <c r="D284" i="5"/>
  <c r="D275" i="5"/>
  <c r="C193" i="5"/>
  <c r="C1651" i="5"/>
  <c r="C1918" i="5"/>
  <c r="C1781" i="5"/>
  <c r="C2044" i="5"/>
  <c r="C2271" i="5"/>
  <c r="C1953" i="5"/>
  <c r="C2020" i="5"/>
  <c r="C1972" i="5"/>
  <c r="C2109" i="5"/>
  <c r="C2329" i="5"/>
  <c r="C2401" i="5"/>
  <c r="C2135" i="5"/>
  <c r="C2085" i="5"/>
  <c r="C2340" i="5"/>
  <c r="C2460" i="5"/>
  <c r="C2406" i="5"/>
  <c r="C2417" i="5"/>
  <c r="B491" i="5"/>
  <c r="B1593" i="5"/>
  <c r="B1314" i="5"/>
  <c r="B1178" i="5"/>
  <c r="B139" i="5"/>
  <c r="B517" i="5"/>
  <c r="B787" i="5"/>
  <c r="B433" i="5"/>
  <c r="B739" i="5"/>
  <c r="B1459" i="5"/>
  <c r="B1926" i="5"/>
  <c r="B2446" i="5"/>
  <c r="C686" i="5"/>
  <c r="D234" i="5"/>
  <c r="C530" i="5"/>
  <c r="C522" i="5"/>
  <c r="B215" i="5"/>
  <c r="B552" i="5"/>
  <c r="B913" i="5"/>
  <c r="B499" i="5"/>
  <c r="B672" i="5"/>
  <c r="B436" i="5"/>
  <c r="B762" i="5"/>
  <c r="B434" i="5"/>
  <c r="B1079" i="5"/>
  <c r="B1077" i="5"/>
  <c r="B1167" i="5"/>
  <c r="B1302" i="5"/>
  <c r="B1236" i="5"/>
  <c r="B1549" i="5"/>
  <c r="B1980" i="5"/>
  <c r="B2219" i="5"/>
  <c r="B2025" i="5"/>
  <c r="C171" i="5"/>
  <c r="B406" i="5"/>
  <c r="B321" i="5"/>
  <c r="D61" i="5"/>
  <c r="D355" i="5"/>
  <c r="D293" i="5"/>
  <c r="B409" i="5"/>
  <c r="B771" i="5"/>
  <c r="B612" i="5"/>
  <c r="B1203" i="5"/>
  <c r="B1270" i="5"/>
  <c r="B1909" i="5"/>
  <c r="B1907" i="5"/>
  <c r="B1910" i="5"/>
  <c r="B1942" i="5"/>
  <c r="B2096" i="5"/>
  <c r="B2250" i="5"/>
  <c r="B2350" i="5"/>
  <c r="B2494" i="5"/>
  <c r="B2399" i="5"/>
  <c r="D280" i="5"/>
  <c r="D165" i="5"/>
  <c r="D382" i="5"/>
  <c r="C357" i="5"/>
  <c r="B332" i="5"/>
  <c r="B307" i="5"/>
  <c r="D279" i="5"/>
  <c r="D254" i="5"/>
  <c r="C229" i="5"/>
  <c r="D702" i="5"/>
  <c r="D616" i="5"/>
  <c r="D700" i="5"/>
  <c r="D650" i="5"/>
  <c r="D1202" i="5"/>
  <c r="D1171" i="5"/>
  <c r="D1053" i="5"/>
  <c r="D1264" i="5"/>
  <c r="D819" i="5"/>
  <c r="D1143" i="5"/>
  <c r="D849" i="5"/>
  <c r="D1169" i="5"/>
  <c r="D783" i="5"/>
  <c r="D911" i="5"/>
  <c r="D1099" i="5"/>
  <c r="D781" i="5"/>
  <c r="D909" i="5"/>
  <c r="D1109" i="5"/>
  <c r="D843" i="5"/>
  <c r="D1167" i="5"/>
  <c r="D1432" i="5"/>
  <c r="D1485" i="5"/>
  <c r="D1689" i="5"/>
  <c r="D1483" i="5"/>
  <c r="D1567" i="5"/>
  <c r="D2118" i="5"/>
  <c r="D1880" i="5"/>
  <c r="D2218" i="5"/>
  <c r="D2024" i="5"/>
  <c r="D2090" i="5"/>
  <c r="D2349" i="5"/>
  <c r="B1268" i="5"/>
  <c r="B1601" i="5"/>
  <c r="B2042" i="5"/>
  <c r="B370" i="5"/>
  <c r="B345" i="5"/>
  <c r="D317" i="5"/>
  <c r="D292" i="5"/>
  <c r="C267" i="5"/>
  <c r="B242" i="5"/>
  <c r="D374" i="5"/>
  <c r="C349" i="5"/>
  <c r="B324" i="5"/>
  <c r="B299" i="5"/>
  <c r="D271" i="5"/>
  <c r="D246" i="5"/>
  <c r="D51" i="5"/>
  <c r="D39" i="5"/>
  <c r="D27" i="5"/>
  <c r="C103" i="5"/>
  <c r="B620" i="5"/>
  <c r="B592" i="5"/>
  <c r="B796" i="5"/>
  <c r="B767" i="5"/>
  <c r="B1272" i="5"/>
  <c r="B946" i="5"/>
  <c r="B978" i="5"/>
  <c r="B1199" i="5"/>
  <c r="B1906" i="5"/>
  <c r="B1853" i="5"/>
  <c r="B1439" i="5"/>
  <c r="B2047" i="5"/>
  <c r="B2244" i="5"/>
  <c r="B1827" i="5"/>
  <c r="B1748" i="5"/>
  <c r="B1764" i="5"/>
  <c r="B1780" i="5"/>
  <c r="B1796" i="5"/>
  <c r="B2143" i="5"/>
  <c r="B2013" i="5"/>
  <c r="B2274" i="5"/>
  <c r="B2281" i="5"/>
  <c r="B2392" i="5"/>
  <c r="B2448" i="5"/>
  <c r="B2400" i="5"/>
  <c r="B2371" i="5"/>
  <c r="C2011" i="5"/>
  <c r="B1541" i="5"/>
  <c r="B2041" i="5"/>
  <c r="D1966" i="5"/>
  <c r="D1763" i="5"/>
  <c r="D2036" i="5"/>
  <c r="C922" i="5"/>
  <c r="C927" i="5"/>
  <c r="C1021" i="5"/>
  <c r="C1306" i="5"/>
  <c r="C1190" i="5"/>
  <c r="C1526" i="5"/>
  <c r="C1971" i="5"/>
  <c r="C1739" i="5"/>
  <c r="C1457" i="5"/>
  <c r="C2294" i="5"/>
  <c r="C2366" i="5"/>
  <c r="C2360" i="5"/>
  <c r="C2484" i="5"/>
  <c r="C2463" i="5"/>
  <c r="B881" i="5"/>
  <c r="B624" i="5"/>
  <c r="B586" i="5"/>
  <c r="B455" i="5"/>
  <c r="B867" i="5"/>
  <c r="B719" i="5"/>
  <c r="B1511" i="5"/>
  <c r="B1029" i="5"/>
  <c r="B1216" i="5"/>
  <c r="B1266" i="5"/>
  <c r="B1232" i="5"/>
  <c r="B1463" i="5"/>
  <c r="B1851" i="5"/>
  <c r="B1561" i="5"/>
  <c r="B2292" i="5"/>
  <c r="B1964" i="5"/>
  <c r="B2364" i="5"/>
  <c r="B2198" i="5"/>
  <c r="B1474" i="5"/>
  <c r="B1974" i="5"/>
  <c r="B2482" i="5"/>
  <c r="B2299" i="5"/>
  <c r="B2164" i="5"/>
  <c r="B1895" i="5"/>
  <c r="B2144" i="5"/>
  <c r="B2386" i="5"/>
  <c r="B2291" i="5"/>
  <c r="B2442" i="5"/>
  <c r="B2436" i="5"/>
  <c r="D205" i="5"/>
  <c r="B951" i="5"/>
  <c r="B1577" i="5"/>
  <c r="B1065" i="5"/>
  <c r="B1194" i="5"/>
  <c r="B2235" i="5"/>
  <c r="B1857" i="5"/>
  <c r="B2486" i="5"/>
  <c r="C175" i="5"/>
  <c r="B87" i="5"/>
  <c r="C115" i="5"/>
  <c r="D718" i="5"/>
  <c r="D1294" i="5"/>
  <c r="D1914" i="5"/>
  <c r="D1597" i="5"/>
  <c r="D1792" i="5"/>
  <c r="D2308" i="5"/>
  <c r="D2402" i="5"/>
  <c r="D2249" i="5"/>
  <c r="D2265" i="5"/>
  <c r="D2281" i="5"/>
  <c r="D2297" i="5"/>
  <c r="C723" i="5"/>
  <c r="C995" i="5"/>
  <c r="C771" i="5"/>
  <c r="C1911" i="5"/>
  <c r="C2036" i="5"/>
  <c r="B2050" i="5"/>
  <c r="B2249" i="5"/>
  <c r="D598" i="5"/>
  <c r="D592" i="5"/>
  <c r="D1270" i="5"/>
  <c r="D1561" i="5"/>
  <c r="D1757" i="5"/>
  <c r="D1948" i="5"/>
  <c r="D2106" i="5"/>
  <c r="D2164" i="5"/>
  <c r="D2326" i="5"/>
  <c r="D2142" i="5"/>
  <c r="D2412" i="5"/>
  <c r="D500" i="5"/>
  <c r="D914" i="5"/>
  <c r="D2463" i="5"/>
  <c r="D375" i="5"/>
  <c r="D350" i="5"/>
  <c r="C325" i="5"/>
  <c r="B300" i="5"/>
  <c r="B275" i="5"/>
  <c r="D247" i="5"/>
  <c r="D222" i="5"/>
  <c r="D648" i="5"/>
  <c r="D626" i="5"/>
  <c r="D604" i="5"/>
  <c r="D682" i="5"/>
  <c r="D1097" i="5"/>
  <c r="D1085" i="5"/>
  <c r="D851" i="5"/>
  <c r="D1175" i="5"/>
  <c r="D753" i="5"/>
  <c r="D881" i="5"/>
  <c r="D1073" i="5"/>
  <c r="D805" i="5"/>
  <c r="D853" i="5"/>
  <c r="D1503" i="5"/>
  <c r="D917" i="5"/>
  <c r="D586" i="5"/>
  <c r="D1258" i="5"/>
  <c r="D1218" i="5"/>
  <c r="D573" i="5"/>
  <c r="D589" i="5"/>
  <c r="D779" i="5"/>
  <c r="D1234" i="5"/>
  <c r="D1625" i="5"/>
  <c r="D1458" i="5"/>
  <c r="D1451" i="5"/>
  <c r="D1512" i="5"/>
  <c r="D1614" i="5"/>
  <c r="D1213" i="5"/>
  <c r="D1759" i="5"/>
  <c r="D1579" i="5"/>
  <c r="D1827" i="5"/>
  <c r="D1762" i="5"/>
  <c r="D2202" i="5"/>
  <c r="D2322" i="5"/>
  <c r="D2186" i="5"/>
  <c r="D1781" i="5"/>
  <c r="D2170" i="5"/>
  <c r="D1976" i="5"/>
  <c r="D2284" i="5"/>
  <c r="D2276" i="5"/>
  <c r="D1986" i="5"/>
  <c r="B486" i="5"/>
  <c r="D566" i="5"/>
  <c r="D468" i="5"/>
  <c r="D1017" i="5"/>
  <c r="D1435" i="5"/>
  <c r="D759" i="5"/>
  <c r="D727" i="5"/>
  <c r="D1001" i="5"/>
  <c r="D1025" i="5"/>
  <c r="D1445" i="5"/>
  <c r="D734" i="5"/>
  <c r="D1278" i="5"/>
  <c r="D1203" i="5"/>
  <c r="D1783" i="5"/>
  <c r="D2401" i="5"/>
  <c r="D2516" i="5"/>
  <c r="C848" i="5"/>
  <c r="C1777" i="5"/>
  <c r="B2012" i="5"/>
  <c r="B2221" i="5"/>
  <c r="B1943" i="5"/>
  <c r="B2140" i="5"/>
  <c r="D815" i="5"/>
  <c r="D1131" i="5"/>
  <c r="D813" i="5"/>
  <c r="D1141" i="5"/>
  <c r="D875" i="5"/>
  <c r="D1071" i="5"/>
  <c r="D1457" i="5"/>
  <c r="D1212" i="5"/>
  <c r="D1721" i="5"/>
  <c r="D1316" i="5"/>
  <c r="D1441" i="5"/>
  <c r="D1710" i="5"/>
  <c r="D1504" i="5"/>
  <c r="D1734" i="5"/>
  <c r="D1495" i="5"/>
  <c r="D1745" i="5"/>
  <c r="D2168" i="5"/>
  <c r="D1910" i="5"/>
  <c r="D1990" i="5"/>
  <c r="D1988" i="5"/>
  <c r="D2074" i="5"/>
  <c r="D2370" i="5"/>
  <c r="D2130" i="5"/>
  <c r="D2252" i="5"/>
  <c r="D2240" i="5"/>
  <c r="D2366" i="5"/>
  <c r="D2174" i="5"/>
  <c r="D1907" i="5"/>
  <c r="D1955" i="5"/>
  <c r="D2124" i="5"/>
  <c r="D2488" i="5"/>
  <c r="D2449" i="5"/>
  <c r="C743" i="5"/>
  <c r="D377" i="5"/>
  <c r="D352" i="5"/>
  <c r="C327" i="5"/>
  <c r="B302" i="5"/>
  <c r="B277" i="5"/>
  <c r="D249" i="5"/>
  <c r="D224" i="5"/>
  <c r="C648" i="5"/>
  <c r="C658" i="5"/>
  <c r="C710" i="5"/>
  <c r="C672" i="5"/>
  <c r="C666" i="5"/>
  <c r="C759" i="5"/>
  <c r="C1107" i="5"/>
  <c r="C1410" i="5"/>
  <c r="C1133" i="5"/>
  <c r="C1063" i="5"/>
  <c r="C1089" i="5"/>
  <c r="C1083" i="5"/>
  <c r="C1485" i="5"/>
  <c r="C1109" i="5"/>
  <c r="C1087" i="5"/>
  <c r="C1382" i="5"/>
  <c r="C1049" i="5"/>
  <c r="C1177" i="5"/>
  <c r="C1497" i="5"/>
  <c r="C1780" i="5"/>
  <c r="C1237" i="5"/>
  <c r="C1608" i="5"/>
  <c r="C2038" i="5"/>
  <c r="C1767" i="5"/>
  <c r="C2276" i="5"/>
  <c r="C2290" i="5"/>
  <c r="C2357" i="5"/>
  <c r="C2133" i="5"/>
  <c r="C2334" i="5"/>
  <c r="C2466" i="5"/>
  <c r="C2480" i="5"/>
  <c r="C2512" i="5"/>
  <c r="C2477" i="5"/>
  <c r="B764" i="5"/>
  <c r="D379" i="5"/>
  <c r="D354" i="5"/>
  <c r="C329" i="5"/>
  <c r="B304" i="5"/>
  <c r="B279" i="5"/>
  <c r="D251" i="5"/>
  <c r="D226" i="5"/>
  <c r="B658" i="5"/>
  <c r="B826" i="5"/>
  <c r="B694" i="5"/>
  <c r="B869" i="5"/>
  <c r="B1471" i="5"/>
  <c r="B2290" i="5"/>
  <c r="B2298" i="5"/>
  <c r="D2228" i="5"/>
  <c r="D2034" i="5"/>
  <c r="D2162" i="5"/>
  <c r="D2272" i="5"/>
  <c r="D2290" i="5"/>
  <c r="D2206" i="5"/>
  <c r="D1911" i="5"/>
  <c r="D1943" i="5"/>
  <c r="D2028" i="5"/>
  <c r="D2156" i="5"/>
  <c r="D2268" i="5"/>
  <c r="D2374" i="5"/>
  <c r="D2318" i="5"/>
  <c r="D2381" i="5"/>
  <c r="D2369" i="5"/>
  <c r="D2450" i="5"/>
  <c r="D2379" i="5"/>
  <c r="D2464" i="5"/>
  <c r="D2508" i="5"/>
  <c r="B373" i="5"/>
  <c r="D345" i="5"/>
  <c r="D320" i="5"/>
  <c r="C295" i="5"/>
  <c r="B270" i="5"/>
  <c r="B245" i="5"/>
  <c r="C680" i="5"/>
  <c r="C504" i="5"/>
  <c r="C690" i="5"/>
  <c r="C636" i="5"/>
  <c r="C614" i="5"/>
  <c r="C951" i="5"/>
  <c r="C704" i="5"/>
  <c r="C698" i="5"/>
  <c r="C660" i="5"/>
  <c r="C980" i="5"/>
  <c r="C1139" i="5"/>
  <c r="C1314" i="5"/>
  <c r="C1165" i="5"/>
  <c r="C1095" i="5"/>
  <c r="C1342" i="5"/>
  <c r="C925" i="5"/>
  <c r="C993" i="5"/>
  <c r="C1121" i="5"/>
  <c r="C1204" i="5"/>
  <c r="C987" i="5"/>
  <c r="C1115" i="5"/>
  <c r="C1533" i="5"/>
  <c r="C1141" i="5"/>
  <c r="C731" i="5"/>
  <c r="C926" i="5"/>
  <c r="C1119" i="5"/>
  <c r="C1286" i="5"/>
  <c r="C777" i="5"/>
  <c r="C1081" i="5"/>
  <c r="C1188" i="5"/>
  <c r="C1231" i="5"/>
  <c r="C1266" i="5"/>
  <c r="C1006" i="5"/>
  <c r="C1022" i="5"/>
  <c r="C1567" i="5"/>
  <c r="C1636" i="5"/>
  <c r="C1887" i="5"/>
  <c r="C1547" i="5"/>
  <c r="C1431" i="5"/>
  <c r="C1535" i="5"/>
  <c r="C1257" i="5"/>
  <c r="C1439" i="5"/>
  <c r="C2013" i="5"/>
  <c r="C1594" i="5"/>
  <c r="C1876" i="5"/>
  <c r="C1624" i="5"/>
  <c r="C1771" i="5"/>
  <c r="C2033" i="5"/>
  <c r="C2301" i="5"/>
  <c r="C1619" i="5"/>
  <c r="C1635" i="5"/>
  <c r="C1776" i="5"/>
  <c r="C2132" i="5"/>
  <c r="C1783" i="5"/>
  <c r="C1907" i="5"/>
  <c r="C2166" i="5"/>
  <c r="C2034" i="5"/>
  <c r="C2150" i="5"/>
  <c r="C2311" i="5"/>
  <c r="C2040" i="5"/>
  <c r="C2200" i="5"/>
  <c r="C2082" i="5"/>
  <c r="C2282" i="5"/>
  <c r="C2025" i="5"/>
  <c r="C2310" i="5"/>
  <c r="C2418" i="5"/>
  <c r="C2478" i="5"/>
  <c r="C2394" i="5"/>
  <c r="C2367" i="5"/>
  <c r="C2432" i="5"/>
  <c r="B375" i="5"/>
  <c r="D347" i="5"/>
  <c r="D322" i="5"/>
  <c r="C297" i="5"/>
  <c r="B272" i="5"/>
  <c r="B247" i="5"/>
  <c r="B690" i="5"/>
  <c r="B876" i="5"/>
  <c r="B668" i="5"/>
  <c r="B810" i="5"/>
  <c r="B598" i="5"/>
  <c r="B741" i="5"/>
  <c r="B460" i="5"/>
  <c r="B602" i="5"/>
  <c r="B890" i="5"/>
  <c r="D1524" i="5"/>
  <c r="D746" i="5"/>
  <c r="D1468" i="5"/>
  <c r="D1517" i="5"/>
  <c r="D1199" i="5"/>
  <c r="D1645" i="5"/>
  <c r="D1600" i="5"/>
  <c r="D1796" i="5"/>
  <c r="D2094" i="5"/>
  <c r="D1913" i="5"/>
  <c r="D2380" i="5"/>
  <c r="D2378" i="5"/>
  <c r="C967" i="5"/>
  <c r="C899" i="5"/>
  <c r="C1027" i="5"/>
  <c r="C939" i="5"/>
  <c r="C1191" i="5"/>
  <c r="C1258" i="5"/>
  <c r="C1008" i="5"/>
  <c r="C1437" i="5"/>
  <c r="C1280" i="5"/>
  <c r="C1892" i="5"/>
  <c r="C1444" i="5"/>
  <c r="C1538" i="5"/>
  <c r="C1259" i="5"/>
  <c r="C1275" i="5"/>
  <c r="C1605" i="5"/>
  <c r="C1637" i="5"/>
  <c r="C1788" i="5"/>
  <c r="C2279" i="5"/>
  <c r="C2378" i="5"/>
  <c r="C2416" i="5"/>
  <c r="B943" i="5"/>
  <c r="B1713" i="5"/>
  <c r="B2261" i="5"/>
  <c r="B2011" i="5"/>
  <c r="D1906" i="5"/>
  <c r="D2032" i="5"/>
  <c r="D2320" i="5"/>
  <c r="D2126" i="5"/>
  <c r="D1933" i="5"/>
  <c r="D2459" i="5"/>
  <c r="C908" i="5"/>
  <c r="C1228" i="5"/>
  <c r="C753" i="5"/>
  <c r="C955" i="5"/>
  <c r="C1248" i="5"/>
  <c r="C756" i="5"/>
  <c r="C1941" i="5"/>
  <c r="C1438" i="5"/>
  <c r="C1511" i="5"/>
  <c r="C1793" i="5"/>
  <c r="C1279" i="5"/>
  <c r="C1518" i="5"/>
  <c r="C1825" i="5"/>
  <c r="C1618" i="5"/>
  <c r="C1991" i="5"/>
  <c r="C1853" i="5"/>
  <c r="C1593" i="5"/>
  <c r="C2319" i="5"/>
  <c r="C2053" i="5"/>
  <c r="C2216" i="5"/>
  <c r="C2123" i="5"/>
  <c r="C2184" i="5"/>
  <c r="C2297" i="5"/>
  <c r="C2385" i="5"/>
  <c r="C2362" i="5"/>
  <c r="C2506" i="5"/>
  <c r="C2438" i="5"/>
  <c r="C2423" i="5"/>
  <c r="B773" i="5"/>
  <c r="B1200" i="5"/>
  <c r="B1445" i="5"/>
  <c r="C514" i="5"/>
  <c r="B219" i="5"/>
  <c r="B660" i="5"/>
  <c r="B702" i="5"/>
  <c r="B1165" i="5"/>
  <c r="B1143" i="5"/>
  <c r="B1406" i="5"/>
  <c r="B1105" i="5"/>
  <c r="B1067" i="5"/>
  <c r="B1256" i="5"/>
  <c r="B1402" i="5"/>
  <c r="B1212" i="5"/>
  <c r="B1139" i="5"/>
  <c r="B1410" i="5"/>
  <c r="B1453" i="5"/>
  <c r="B1583" i="5"/>
  <c r="B2083" i="5"/>
  <c r="B2080" i="5"/>
  <c r="B2314" i="5"/>
  <c r="B1845" i="5"/>
  <c r="B1843" i="5"/>
  <c r="B1916" i="5"/>
  <c r="B2162" i="5"/>
  <c r="B2414" i="5"/>
  <c r="B2264" i="5"/>
  <c r="B1950" i="5"/>
  <c r="B2282" i="5"/>
  <c r="B2288" i="5"/>
  <c r="B2382" i="5"/>
  <c r="B2248" i="5"/>
  <c r="B2357" i="5"/>
  <c r="D388" i="5"/>
  <c r="C363" i="5"/>
  <c r="B338" i="5"/>
  <c r="B313" i="5"/>
  <c r="D285" i="5"/>
  <c r="D260" i="5"/>
  <c r="C235" i="5"/>
  <c r="D367" i="5"/>
  <c r="D342" i="5"/>
  <c r="C317" i="5"/>
  <c r="B292" i="5"/>
  <c r="B267" i="5"/>
  <c r="D239" i="5"/>
  <c r="B147" i="5"/>
  <c r="D105" i="5"/>
  <c r="D71" i="5"/>
  <c r="D33" i="5"/>
  <c r="D59" i="5"/>
  <c r="D101" i="5"/>
  <c r="D307" i="5"/>
  <c r="C13" i="5"/>
  <c r="B2278" i="5"/>
  <c r="B2488" i="5"/>
  <c r="B2359" i="5"/>
  <c r="B2375" i="5"/>
  <c r="B2391" i="5"/>
  <c r="B386" i="5"/>
  <c r="B361" i="5"/>
  <c r="D333" i="5"/>
  <c r="D308" i="5"/>
  <c r="C283" i="5"/>
  <c r="B258" i="5"/>
  <c r="B233" i="5"/>
  <c r="D390" i="5"/>
  <c r="C365" i="5"/>
  <c r="B340" i="5"/>
  <c r="B315" i="5"/>
  <c r="D287" i="5"/>
  <c r="D262" i="5"/>
  <c r="C237" i="5"/>
  <c r="C159" i="5"/>
  <c r="D89" i="5"/>
  <c r="D3" i="5"/>
  <c r="D87" i="5"/>
  <c r="D49" i="5"/>
  <c r="D75" i="5"/>
  <c r="D408" i="5"/>
  <c r="D117" i="5"/>
  <c r="D316" i="5"/>
  <c r="D93" i="5"/>
  <c r="D15" i="5"/>
  <c r="B103" i="5"/>
  <c r="C67" i="5"/>
  <c r="C23" i="5"/>
  <c r="C39" i="5"/>
  <c r="B692" i="5"/>
  <c r="B730" i="5"/>
  <c r="B1047" i="5"/>
  <c r="B1175" i="5"/>
  <c r="B1137" i="5"/>
  <c r="B1211" i="5"/>
  <c r="B1099" i="5"/>
  <c r="B1306" i="5"/>
  <c r="B599" i="5"/>
  <c r="B631" i="5"/>
  <c r="B758" i="5"/>
  <c r="B947" i="5"/>
  <c r="B1045" i="5"/>
  <c r="B1173" i="5"/>
  <c r="B1007" i="5"/>
  <c r="B1135" i="5"/>
  <c r="B1398" i="5"/>
  <c r="B1033" i="5"/>
  <c r="B1161" i="5"/>
  <c r="B1258" i="5"/>
  <c r="B1171" i="5"/>
  <c r="B1625" i="5"/>
  <c r="B936" i="5"/>
  <c r="B968" i="5"/>
  <c r="B1244" i="5"/>
  <c r="B1525" i="5"/>
  <c r="B1204" i="5"/>
  <c r="B1416" i="5"/>
  <c r="B1497" i="5"/>
  <c r="B1897" i="5"/>
  <c r="B1557" i="5"/>
  <c r="B1565" i="5"/>
  <c r="B1805" i="5"/>
  <c r="B1255" i="5"/>
  <c r="B1449" i="5"/>
  <c r="B1623" i="5"/>
  <c r="B1467" i="5"/>
  <c r="B1729" i="5"/>
  <c r="B1789" i="5"/>
  <c r="B1823" i="5"/>
  <c r="B1637" i="5"/>
  <c r="B1571" i="5"/>
  <c r="B1922" i="5"/>
  <c r="B1787" i="5"/>
  <c r="B1763" i="5"/>
  <c r="B2166" i="5"/>
  <c r="B1849" i="5"/>
  <c r="B1976" i="5"/>
  <c r="B2173" i="5"/>
  <c r="B1815" i="5"/>
  <c r="B1960" i="5"/>
  <c r="B1749" i="5"/>
  <c r="B1877" i="5"/>
  <c r="B1985" i="5"/>
  <c r="B2239" i="5"/>
  <c r="B1875" i="5"/>
  <c r="B1978" i="5"/>
  <c r="B1460" i="5"/>
  <c r="B1492" i="5"/>
  <c r="B1825" i="5"/>
  <c r="B1953" i="5"/>
  <c r="B1983" i="5"/>
  <c r="B2070" i="5"/>
  <c r="B1738" i="5"/>
  <c r="B1754" i="5"/>
  <c r="B1770" i="5"/>
  <c r="B1786" i="5"/>
  <c r="B2048" i="5"/>
  <c r="B2105" i="5"/>
  <c r="B2079" i="5"/>
  <c r="B2052" i="5"/>
  <c r="B1902" i="5"/>
  <c r="B2063" i="5"/>
  <c r="B2332" i="5"/>
  <c r="B2300" i="5"/>
  <c r="B2138" i="5"/>
  <c r="B2502" i="5"/>
  <c r="B2472" i="5"/>
  <c r="B2346" i="5"/>
  <c r="B2452" i="5"/>
  <c r="B2377" i="5"/>
  <c r="C203" i="5"/>
  <c r="B97" i="5"/>
  <c r="C61" i="5"/>
  <c r="B125" i="5"/>
  <c r="B1182" i="5"/>
  <c r="B1025" i="5"/>
  <c r="B765" i="5"/>
  <c r="B955" i="5"/>
  <c r="B1228" i="5"/>
  <c r="B1505" i="5"/>
  <c r="B1971" i="5"/>
  <c r="B1599" i="5"/>
  <c r="B1920" i="5"/>
  <c r="B2309" i="5"/>
  <c r="B2057" i="5"/>
  <c r="B2468" i="5"/>
  <c r="B413" i="5"/>
  <c r="B93" i="5"/>
  <c r="D305" i="5"/>
  <c r="D578" i="5"/>
  <c r="D526" i="5"/>
  <c r="D492" i="5"/>
  <c r="D556" i="5"/>
  <c r="D469" i="5"/>
  <c r="D485" i="5"/>
  <c r="D501" i="5"/>
  <c r="D517" i="5"/>
  <c r="D533" i="5"/>
  <c r="D549" i="5"/>
  <c r="D565" i="5"/>
  <c r="D581" i="5"/>
  <c r="D597" i="5"/>
  <c r="D613" i="5"/>
  <c r="D629" i="5"/>
  <c r="D645" i="5"/>
  <c r="D661" i="5"/>
  <c r="D677" i="5"/>
  <c r="D693" i="5"/>
  <c r="D709" i="5"/>
  <c r="D720" i="5"/>
  <c r="D768" i="5"/>
  <c r="D784" i="5"/>
  <c r="D800" i="5"/>
  <c r="D816" i="5"/>
  <c r="D832" i="5"/>
  <c r="D848" i="5"/>
  <c r="D864" i="5"/>
  <c r="D880" i="5"/>
  <c r="D896" i="5"/>
  <c r="D912" i="5"/>
  <c r="D928" i="5"/>
  <c r="D944" i="5"/>
  <c r="D960" i="5"/>
  <c r="D976" i="5"/>
  <c r="D992" i="5"/>
  <c r="D1008" i="5"/>
  <c r="D1024" i="5"/>
  <c r="D1040" i="5"/>
  <c r="D1056" i="5"/>
  <c r="D1072" i="5"/>
  <c r="D1088" i="5"/>
  <c r="D1104" i="5"/>
  <c r="D1120" i="5"/>
  <c r="D1136" i="5"/>
  <c r="D1152" i="5"/>
  <c r="D1168" i="5"/>
  <c r="D1232" i="5"/>
  <c r="D1296" i="5"/>
  <c r="D1328" i="5"/>
  <c r="D1344" i="5"/>
  <c r="D1360" i="5"/>
  <c r="D1376" i="5"/>
  <c r="D1392" i="5"/>
  <c r="D1408" i="5"/>
  <c r="D1424" i="5"/>
  <c r="D1713" i="5"/>
  <c r="D1678" i="5"/>
  <c r="D1464" i="5"/>
  <c r="D1576" i="5"/>
  <c r="D1189" i="5"/>
  <c r="D1221" i="5"/>
  <c r="D1237" i="5"/>
  <c r="D1253" i="5"/>
  <c r="D1269" i="5"/>
  <c r="D789" i="5"/>
  <c r="D614" i="5"/>
  <c r="D741" i="5"/>
  <c r="D608" i="5"/>
  <c r="D791" i="5"/>
  <c r="D967" i="5"/>
  <c r="D391" i="5"/>
  <c r="D407" i="5"/>
  <c r="D471" i="5"/>
  <c r="D519" i="5"/>
  <c r="D567" i="5"/>
  <c r="D599" i="5"/>
  <c r="D615" i="5"/>
  <c r="D631" i="5"/>
  <c r="D663" i="5"/>
  <c r="D711" i="5"/>
  <c r="D722" i="5"/>
  <c r="D770" i="5"/>
  <c r="D786" i="5"/>
  <c r="D802" i="5"/>
  <c r="D818" i="5"/>
  <c r="D834" i="5"/>
  <c r="D850" i="5"/>
  <c r="D866" i="5"/>
  <c r="D882" i="5"/>
  <c r="D898" i="5"/>
  <c r="D930" i="5"/>
  <c r="D946" i="5"/>
  <c r="D962" i="5"/>
  <c r="D978" i="5"/>
  <c r="D994" i="5"/>
  <c r="D1010" i="5"/>
  <c r="D1026" i="5"/>
  <c r="D1042" i="5"/>
  <c r="D1058" i="5"/>
  <c r="D1074" i="5"/>
  <c r="D1090" i="5"/>
  <c r="D1106" i="5"/>
  <c r="D1122" i="5"/>
  <c r="D1138" i="5"/>
  <c r="D1154" i="5"/>
  <c r="D1170" i="5"/>
  <c r="D1244" i="5"/>
  <c r="D1488" i="5"/>
  <c r="D1282" i="5"/>
  <c r="D1298" i="5"/>
  <c r="D1330" i="5"/>
  <c r="D1346" i="5"/>
  <c r="D1362" i="5"/>
  <c r="D1378" i="5"/>
  <c r="D1394" i="5"/>
  <c r="D1410" i="5"/>
  <c r="D1426" i="5"/>
  <c r="D1497" i="5"/>
  <c r="D590" i="5"/>
  <c r="D610" i="5"/>
  <c r="D773" i="5"/>
  <c r="D588" i="5"/>
  <c r="D470" i="5"/>
  <c r="D534" i="5"/>
  <c r="D564" i="5"/>
  <c r="D1031" i="5"/>
  <c r="D423" i="5"/>
  <c r="D455" i="5"/>
  <c r="D487" i="5"/>
  <c r="D503" i="5"/>
  <c r="D535" i="5"/>
  <c r="D551" i="5"/>
  <c r="D583" i="5"/>
  <c r="D647" i="5"/>
  <c r="D679" i="5"/>
  <c r="D695" i="5"/>
  <c r="D538" i="5"/>
  <c r="D642" i="5"/>
  <c r="D620" i="5"/>
  <c r="D486" i="5"/>
  <c r="D550" i="5"/>
  <c r="D516" i="5"/>
  <c r="D580" i="5"/>
  <c r="D969" i="5"/>
  <c r="D983" i="5"/>
  <c r="D973" i="5"/>
  <c r="D459" i="5"/>
  <c r="D475" i="5"/>
  <c r="D491" i="5"/>
  <c r="D507" i="5"/>
  <c r="D523" i="5"/>
  <c r="D539" i="5"/>
  <c r="D555" i="5"/>
  <c r="D571" i="5"/>
  <c r="D587" i="5"/>
  <c r="D603" i="5"/>
  <c r="D619" i="5"/>
  <c r="D635" i="5"/>
  <c r="D651" i="5"/>
  <c r="D667" i="5"/>
  <c r="D683" i="5"/>
  <c r="D699" i="5"/>
  <c r="D715" i="5"/>
  <c r="D763" i="5"/>
  <c r="D1266" i="5"/>
  <c r="D726" i="5"/>
  <c r="D774" i="5"/>
  <c r="D790" i="5"/>
  <c r="D806" i="5"/>
  <c r="D822" i="5"/>
  <c r="D838" i="5"/>
  <c r="D854" i="5"/>
  <c r="D870" i="5"/>
  <c r="D886" i="5"/>
  <c r="D902" i="5"/>
  <c r="D918" i="5"/>
  <c r="D934" i="5"/>
  <c r="D950" i="5"/>
  <c r="D966" i="5"/>
  <c r="D982" i="5"/>
  <c r="D998" i="5"/>
  <c r="D1014" i="5"/>
  <c r="D1030" i="5"/>
  <c r="D1046" i="5"/>
  <c r="D1062" i="5"/>
  <c r="D1078" i="5"/>
  <c r="D1094" i="5"/>
  <c r="D1110" i="5"/>
  <c r="D1126" i="5"/>
  <c r="D1142" i="5"/>
  <c r="D1158" i="5"/>
  <c r="D1174" i="5"/>
  <c r="D1318" i="5"/>
  <c r="D1334" i="5"/>
  <c r="D1350" i="5"/>
  <c r="D1366" i="5"/>
  <c r="D318" i="5"/>
  <c r="D1107" i="5"/>
  <c r="D1079" i="5"/>
  <c r="D1163" i="5"/>
  <c r="D461" i="5"/>
  <c r="D477" i="5"/>
  <c r="D493" i="5"/>
  <c r="D525" i="5"/>
  <c r="D541" i="5"/>
  <c r="D557" i="5"/>
  <c r="D605" i="5"/>
  <c r="D621" i="5"/>
  <c r="D637" i="5"/>
  <c r="D653" i="5"/>
  <c r="D669" i="5"/>
  <c r="D685" i="5"/>
  <c r="D701" i="5"/>
  <c r="D717" i="5"/>
  <c r="D845" i="5"/>
  <c r="D947" i="5"/>
  <c r="D1045" i="5"/>
  <c r="D1173" i="5"/>
  <c r="D907" i="5"/>
  <c r="D1103" i="5"/>
  <c r="D728" i="5"/>
  <c r="D744" i="5"/>
  <c r="D792" i="5"/>
  <c r="D808" i="5"/>
  <c r="D824" i="5"/>
  <c r="D840" i="5"/>
  <c r="D856" i="5"/>
  <c r="D872" i="5"/>
  <c r="D888" i="5"/>
  <c r="D904" i="5"/>
  <c r="D920" i="5"/>
  <c r="D936" i="5"/>
  <c r="D952" i="5"/>
  <c r="D968" i="5"/>
  <c r="D984" i="5"/>
  <c r="D1000" i="5"/>
  <c r="D1016" i="5"/>
  <c r="D1032" i="5"/>
  <c r="D1048" i="5"/>
  <c r="D1064" i="5"/>
  <c r="D1080" i="5"/>
  <c r="D1096" i="5"/>
  <c r="D1112" i="5"/>
  <c r="D1128" i="5"/>
  <c r="D1144" i="5"/>
  <c r="D1160" i="5"/>
  <c r="D1176" i="5"/>
  <c r="D1516" i="5"/>
  <c r="D1352" i="5"/>
  <c r="D1368" i="5"/>
  <c r="D1384" i="5"/>
  <c r="D1400" i="5"/>
  <c r="D1416" i="5"/>
  <c r="D1649" i="5"/>
  <c r="D1181" i="5"/>
  <c r="D1229" i="5"/>
  <c r="D1245" i="5"/>
  <c r="D1261" i="5"/>
  <c r="D1277" i="5"/>
  <c r="D1293" i="5"/>
  <c r="D1309" i="5"/>
  <c r="D1325" i="5"/>
  <c r="D1341" i="5"/>
  <c r="D1357" i="5"/>
  <c r="D1373" i="5"/>
  <c r="D1389" i="5"/>
  <c r="D1405" i="5"/>
  <c r="D1421" i="5"/>
  <c r="D1469" i="5"/>
  <c r="D1529" i="5"/>
  <c r="D1703" i="5"/>
  <c r="D343" i="5"/>
  <c r="D66" i="5"/>
  <c r="D680" i="5"/>
  <c r="D658" i="5"/>
  <c r="D494" i="5"/>
  <c r="D558" i="5"/>
  <c r="D662" i="5"/>
  <c r="D656" i="5"/>
  <c r="D460" i="5"/>
  <c r="D524" i="5"/>
  <c r="D714" i="5"/>
  <c r="D1129" i="5"/>
  <c r="D1117" i="5"/>
  <c r="D883" i="5"/>
  <c r="D981" i="5"/>
  <c r="D847" i="5"/>
  <c r="D509" i="5"/>
  <c r="B371" i="5"/>
  <c r="C293" i="5"/>
  <c r="B268" i="5"/>
  <c r="B243" i="5"/>
  <c r="D823" i="5"/>
  <c r="D869" i="5"/>
  <c r="D785" i="5"/>
  <c r="D913" i="5"/>
  <c r="D1105" i="5"/>
  <c r="B387" i="5"/>
  <c r="D359" i="5"/>
  <c r="D334" i="5"/>
  <c r="C309" i="5"/>
  <c r="B284" i="5"/>
  <c r="B259" i="5"/>
  <c r="D231" i="5"/>
  <c r="D570" i="5"/>
  <c r="D686" i="5"/>
  <c r="D576" i="5"/>
  <c r="D706" i="5"/>
  <c r="D977" i="5"/>
  <c r="D684" i="5"/>
  <c r="D935" i="5"/>
  <c r="D518" i="5"/>
  <c r="D582" i="5"/>
  <c r="D710" i="5"/>
  <c r="D704" i="5"/>
  <c r="D484" i="5"/>
  <c r="D548" i="5"/>
  <c r="D634" i="5"/>
  <c r="D837" i="5"/>
  <c r="D1049" i="5"/>
  <c r="D1155" i="5"/>
  <c r="D1037" i="5"/>
  <c r="D1165" i="5"/>
  <c r="D803" i="5"/>
  <c r="D999" i="5"/>
  <c r="D1127" i="5"/>
  <c r="D833" i="5"/>
  <c r="D1153" i="5"/>
  <c r="D895" i="5"/>
  <c r="D1083" i="5"/>
  <c r="D467" i="5"/>
  <c r="D483" i="5"/>
  <c r="D499" i="5"/>
  <c r="D515" i="5"/>
  <c r="D531" i="5"/>
  <c r="D547" i="5"/>
  <c r="D563" i="5"/>
  <c r="D579" i="5"/>
  <c r="D595" i="5"/>
  <c r="D611" i="5"/>
  <c r="D627" i="5"/>
  <c r="D643" i="5"/>
  <c r="D659" i="5"/>
  <c r="D675" i="5"/>
  <c r="D691" i="5"/>
  <c r="D707" i="5"/>
  <c r="D765" i="5"/>
  <c r="D893" i="5"/>
  <c r="D971" i="5"/>
  <c r="D1093" i="5"/>
  <c r="D1494" i="5"/>
  <c r="D827" i="5"/>
  <c r="D1023" i="5"/>
  <c r="D1151" i="5"/>
  <c r="D1246" i="5"/>
  <c r="D1708" i="5"/>
  <c r="D750" i="5"/>
  <c r="D766" i="5"/>
  <c r="D782" i="5"/>
  <c r="D798" i="5"/>
  <c r="D814" i="5"/>
  <c r="D830" i="5"/>
  <c r="D846" i="5"/>
  <c r="D862" i="5"/>
  <c r="D878" i="5"/>
  <c r="D894" i="5"/>
  <c r="D910" i="5"/>
  <c r="D926" i="5"/>
  <c r="D942" i="5"/>
  <c r="D958" i="5"/>
  <c r="D974" i="5"/>
  <c r="D990" i="5"/>
  <c r="D1006" i="5"/>
  <c r="D1022" i="5"/>
  <c r="D1038" i="5"/>
  <c r="D1054" i="5"/>
  <c r="D1070" i="5"/>
  <c r="D1086" i="5"/>
  <c r="D1102" i="5"/>
  <c r="D1118" i="5"/>
  <c r="D1134" i="5"/>
  <c r="D1150" i="5"/>
  <c r="D1166" i="5"/>
  <c r="D1224" i="5"/>
  <c r="D1652" i="5"/>
  <c r="D1480" i="5"/>
  <c r="D1285" i="5"/>
  <c r="D1301" i="5"/>
  <c r="D1317" i="5"/>
  <c r="D1333" i="5"/>
  <c r="D1349" i="5"/>
  <c r="D1365" i="5"/>
  <c r="D1381" i="5"/>
  <c r="D1397" i="5"/>
  <c r="D1413" i="5"/>
  <c r="D1429" i="5"/>
  <c r="D1496" i="5"/>
  <c r="D1583" i="5"/>
  <c r="D1702" i="5"/>
  <c r="D1671" i="5"/>
  <c r="D1735" i="5"/>
  <c r="D1690" i="5"/>
  <c r="D1669" i="5"/>
  <c r="D1733" i="5"/>
  <c r="D1848" i="5"/>
  <c r="D1688" i="5"/>
  <c r="D1498" i="5"/>
  <c r="D1562" i="5"/>
  <c r="D1691" i="5"/>
  <c r="D1821" i="5"/>
  <c r="D1885" i="5"/>
  <c r="D1858" i="5"/>
  <c r="D1737" i="5"/>
  <c r="D1801" i="5"/>
  <c r="D1865" i="5"/>
  <c r="D1790" i="5"/>
  <c r="D1854" i="5"/>
  <c r="D1813" i="5"/>
  <c r="D1877" i="5"/>
  <c r="D1912" i="5"/>
  <c r="D2116" i="5"/>
  <c r="D1956" i="5"/>
  <c r="D1922" i="5"/>
  <c r="D2098" i="5"/>
  <c r="D2226" i="5"/>
  <c r="D2208" i="5"/>
  <c r="D2270" i="5"/>
  <c r="D1919" i="5"/>
  <c r="D1951" i="5"/>
  <c r="D1967" i="5"/>
  <c r="D1983" i="5"/>
  <c r="D1999" i="5"/>
  <c r="D2092" i="5"/>
  <c r="D2220" i="5"/>
  <c r="D2340" i="5"/>
  <c r="D2368" i="5"/>
  <c r="D2332" i="5"/>
  <c r="D2015" i="5"/>
  <c r="D2031" i="5"/>
  <c r="D2047" i="5"/>
  <c r="D2063" i="5"/>
  <c r="D2079" i="5"/>
  <c r="D2095" i="5"/>
  <c r="D2111" i="5"/>
  <c r="D2127" i="5"/>
  <c r="D2143" i="5"/>
  <c r="D2159" i="5"/>
  <c r="D2175" i="5"/>
  <c r="D2191" i="5"/>
  <c r="D2207" i="5"/>
  <c r="D2223" i="5"/>
  <c r="D2239" i="5"/>
  <c r="D2346" i="5"/>
  <c r="D2376" i="5"/>
  <c r="D2476" i="5"/>
  <c r="D2315" i="5"/>
  <c r="D2331" i="5"/>
  <c r="D2347" i="5"/>
  <c r="D2411" i="5"/>
  <c r="D2445" i="5"/>
  <c r="D2493" i="5"/>
  <c r="D2509" i="5"/>
  <c r="D887" i="5"/>
  <c r="D384" i="5"/>
  <c r="C359" i="5"/>
  <c r="B334" i="5"/>
  <c r="B309" i="5"/>
  <c r="D281" i="5"/>
  <c r="D256" i="5"/>
  <c r="C231" i="5"/>
  <c r="C700" i="5"/>
  <c r="C566" i="5"/>
  <c r="C678" i="5"/>
  <c r="C844" i="5"/>
  <c r="C224" i="5"/>
  <c r="C240" i="5"/>
  <c r="C256" i="5"/>
  <c r="C272" i="5"/>
  <c r="C288" i="5"/>
  <c r="C304" i="5"/>
  <c r="C320" i="5"/>
  <c r="C336" i="5"/>
  <c r="C352" i="5"/>
  <c r="C368" i="5"/>
  <c r="C384" i="5"/>
  <c r="C791" i="5"/>
  <c r="C989" i="5"/>
  <c r="C548" i="5"/>
  <c r="C887" i="5"/>
  <c r="C1075" i="5"/>
  <c r="C1378" i="5"/>
  <c r="C1101" i="5"/>
  <c r="C1031" i="5"/>
  <c r="C1159" i="5"/>
  <c r="C1278" i="5"/>
  <c r="C1406" i="5"/>
  <c r="C762" i="5"/>
  <c r="C826" i="5"/>
  <c r="C890" i="5"/>
  <c r="C1057" i="5"/>
  <c r="C1179" i="5"/>
  <c r="C831" i="5"/>
  <c r="C895" i="5"/>
  <c r="C1051" i="5"/>
  <c r="C1386" i="5"/>
  <c r="C475" i="5"/>
  <c r="C491" i="5"/>
  <c r="C507" i="5"/>
  <c r="C523" i="5"/>
  <c r="C539" i="5"/>
  <c r="C555" i="5"/>
  <c r="C571" i="5"/>
  <c r="C587" i="5"/>
  <c r="C603" i="5"/>
  <c r="C619" i="5"/>
  <c r="C635" i="5"/>
  <c r="C651" i="5"/>
  <c r="C667" i="5"/>
  <c r="C683" i="5"/>
  <c r="C699" i="5"/>
  <c r="C715" i="5"/>
  <c r="C838" i="5"/>
  <c r="C902" i="5"/>
  <c r="C963" i="5"/>
  <c r="C1077" i="5"/>
  <c r="C763" i="5"/>
  <c r="C827" i="5"/>
  <c r="C891" i="5"/>
  <c r="C958" i="5"/>
  <c r="C1055" i="5"/>
  <c r="C1350" i="5"/>
  <c r="C745" i="5"/>
  <c r="C809" i="5"/>
  <c r="C873" i="5"/>
  <c r="C937" i="5"/>
  <c r="C1145" i="5"/>
  <c r="C1209" i="5"/>
  <c r="C1189" i="5"/>
  <c r="C1256" i="5"/>
  <c r="C1014" i="5"/>
  <c r="C1030" i="5"/>
  <c r="C1046" i="5"/>
  <c r="C1062" i="5"/>
  <c r="C1078" i="5"/>
  <c r="C1094" i="5"/>
  <c r="C1110" i="5"/>
  <c r="C1126" i="5"/>
  <c r="C1142" i="5"/>
  <c r="C1158" i="5"/>
  <c r="C1174" i="5"/>
  <c r="C1543" i="5"/>
  <c r="C1227" i="5"/>
  <c r="C1292" i="5"/>
  <c r="C1356" i="5"/>
  <c r="C1388" i="5"/>
  <c r="C1468" i="5"/>
  <c r="C1430" i="5"/>
  <c r="C1475" i="5"/>
  <c r="C1443" i="5"/>
  <c r="C1514" i="5"/>
  <c r="C1741" i="5"/>
  <c r="C1481" i="5"/>
  <c r="C1495" i="5"/>
  <c r="C1565" i="5"/>
  <c r="C1805" i="5"/>
  <c r="C1265" i="5"/>
  <c r="C1313" i="5"/>
  <c r="C1329" i="5"/>
  <c r="C1345" i="5"/>
  <c r="C1361" i="5"/>
  <c r="C1377" i="5"/>
  <c r="C1393" i="5"/>
  <c r="C1409" i="5"/>
  <c r="C1425" i="5"/>
  <c r="C1551" i="5"/>
  <c r="C1462" i="5"/>
  <c r="C1524" i="5"/>
  <c r="D1474" i="5"/>
  <c r="D1191" i="5"/>
  <c r="D1207" i="5"/>
  <c r="D1223" i="5"/>
  <c r="D1255" i="5"/>
  <c r="D1271" i="5"/>
  <c r="D1287" i="5"/>
  <c r="D1303" i="5"/>
  <c r="D1319" i="5"/>
  <c r="D1335" i="5"/>
  <c r="D1351" i="5"/>
  <c r="D1367" i="5"/>
  <c r="D1383" i="5"/>
  <c r="D1399" i="5"/>
  <c r="D1415" i="5"/>
  <c r="D1501" i="5"/>
  <c r="D1679" i="5"/>
  <c r="D1698" i="5"/>
  <c r="D1777" i="5"/>
  <c r="D1486" i="5"/>
  <c r="D1550" i="5"/>
  <c r="D1677" i="5"/>
  <c r="D1742" i="5"/>
  <c r="D1632" i="5"/>
  <c r="D1696" i="5"/>
  <c r="D1507" i="5"/>
  <c r="D1571" i="5"/>
  <c r="D1635" i="5"/>
  <c r="D1699" i="5"/>
  <c r="D1764" i="5"/>
  <c r="D1828" i="5"/>
  <c r="D1892" i="5"/>
  <c r="D1803" i="5"/>
  <c r="D1867" i="5"/>
  <c r="D1808" i="5"/>
  <c r="D1872" i="5"/>
  <c r="D1799" i="5"/>
  <c r="D1863" i="5"/>
  <c r="D1756" i="5"/>
  <c r="D1820" i="5"/>
  <c r="D1884" i="5"/>
  <c r="D2154" i="5"/>
  <c r="D2180" i="5"/>
  <c r="D1937" i="5"/>
  <c r="D1953" i="5"/>
  <c r="D1969" i="5"/>
  <c r="D1985" i="5"/>
  <c r="D2001" i="5"/>
  <c r="D2354" i="5"/>
  <c r="D2348" i="5"/>
  <c r="D2017" i="5"/>
  <c r="D2033" i="5"/>
  <c r="D2049" i="5"/>
  <c r="D2065" i="5"/>
  <c r="D2081" i="5"/>
  <c r="D2097" i="5"/>
  <c r="D2113" i="5"/>
  <c r="D2129" i="5"/>
  <c r="D2145" i="5"/>
  <c r="D2161" i="5"/>
  <c r="D2177" i="5"/>
  <c r="D2193" i="5"/>
  <c r="D2209" i="5"/>
  <c r="D2225" i="5"/>
  <c r="D2241" i="5"/>
  <c r="D2410" i="5"/>
  <c r="D2438" i="5"/>
  <c r="D2317" i="5"/>
  <c r="D2333" i="5"/>
  <c r="D2416" i="5"/>
  <c r="D2502" i="5"/>
  <c r="D2447" i="5"/>
  <c r="D2479" i="5"/>
  <c r="D2495" i="5"/>
  <c r="D2511" i="5"/>
  <c r="D176" i="5"/>
  <c r="C574" i="5"/>
  <c r="C226" i="5"/>
  <c r="C242" i="5"/>
  <c r="C258" i="5"/>
  <c r="C274" i="5"/>
  <c r="C290" i="5"/>
  <c r="C306" i="5"/>
  <c r="C322" i="5"/>
  <c r="C338" i="5"/>
  <c r="C354" i="5"/>
  <c r="C370" i="5"/>
  <c r="C386" i="5"/>
  <c r="C816" i="5"/>
  <c r="C492" i="5"/>
  <c r="C556" i="5"/>
  <c r="C833" i="5"/>
  <c r="C897" i="5"/>
  <c r="C840" i="5"/>
  <c r="C904" i="5"/>
  <c r="C968" i="5"/>
  <c r="C477" i="5"/>
  <c r="C493" i="5"/>
  <c r="C509" i="5"/>
  <c r="C525" i="5"/>
  <c r="C541" i="5"/>
  <c r="C557" i="5"/>
  <c r="C573" i="5"/>
  <c r="C589" i="5"/>
  <c r="C605" i="5"/>
  <c r="C621" i="5"/>
  <c r="C637" i="5"/>
  <c r="C653" i="5"/>
  <c r="C669" i="5"/>
  <c r="C685" i="5"/>
  <c r="C701" i="5"/>
  <c r="C717" i="5"/>
  <c r="C781" i="5"/>
  <c r="C845" i="5"/>
  <c r="C909" i="5"/>
  <c r="C836" i="5"/>
  <c r="C900" i="5"/>
  <c r="C754" i="5"/>
  <c r="C818" i="5"/>
  <c r="C882" i="5"/>
  <c r="C1032" i="5"/>
  <c r="C1064" i="5"/>
  <c r="C1080" i="5"/>
  <c r="C1096" i="5"/>
  <c r="C1112" i="5"/>
  <c r="C1128" i="5"/>
  <c r="C1144" i="5"/>
  <c r="C1160" i="5"/>
  <c r="C1176" i="5"/>
  <c r="C1360" i="5"/>
  <c r="C1392" i="5"/>
  <c r="C1283" i="5"/>
  <c r="C1299" i="5"/>
  <c r="C1315" i="5"/>
  <c r="C1331" i="5"/>
  <c r="C1347" i="5"/>
  <c r="C1363" i="5"/>
  <c r="C1379" i="5"/>
  <c r="C1395" i="5"/>
  <c r="C1411" i="5"/>
  <c r="C1427" i="5"/>
  <c r="C1698" i="5"/>
  <c r="C1664" i="5"/>
  <c r="C1728" i="5"/>
  <c r="C1873" i="5"/>
  <c r="C1505" i="5"/>
  <c r="C1569" i="5"/>
  <c r="C1630" i="5"/>
  <c r="C1694" i="5"/>
  <c r="C1862" i="5"/>
  <c r="C1874" i="5"/>
  <c r="C1597" i="5"/>
  <c r="C1661" i="5"/>
  <c r="C1677" i="5"/>
  <c r="C1693" i="5"/>
  <c r="C1709" i="5"/>
  <c r="C1725" i="5"/>
  <c r="C1817" i="5"/>
  <c r="C1881" i="5"/>
  <c r="C1758" i="5"/>
  <c r="C1822" i="5"/>
  <c r="C1886" i="5"/>
  <c r="C1884" i="5"/>
  <c r="C1850" i="5"/>
  <c r="C2157" i="5"/>
  <c r="C1992" i="5"/>
  <c r="C1999" i="5"/>
  <c r="C1949" i="5"/>
  <c r="C2221" i="5"/>
  <c r="C1984" i="5"/>
  <c r="D628" i="5"/>
  <c r="D793" i="5"/>
  <c r="D855" i="5"/>
  <c r="D839" i="5"/>
  <c r="D414" i="5"/>
  <c r="D478" i="5"/>
  <c r="D542" i="5"/>
  <c r="D630" i="5"/>
  <c r="D807" i="5"/>
  <c r="D624" i="5"/>
  <c r="D841" i="5"/>
  <c r="D508" i="5"/>
  <c r="D572" i="5"/>
  <c r="D953" i="5"/>
  <c r="D1075" i="5"/>
  <c r="D975" i="5"/>
  <c r="D723" i="5"/>
  <c r="D1047" i="5"/>
  <c r="D965" i="5"/>
  <c r="D1190" i="5"/>
  <c r="D1540" i="5"/>
  <c r="D1003" i="5"/>
  <c r="D457" i="5"/>
  <c r="D473" i="5"/>
  <c r="D489" i="5"/>
  <c r="D505" i="5"/>
  <c r="D521" i="5"/>
  <c r="D537" i="5"/>
  <c r="D553" i="5"/>
  <c r="D569" i="5"/>
  <c r="D585" i="5"/>
  <c r="D601" i="5"/>
  <c r="D617" i="5"/>
  <c r="D633" i="5"/>
  <c r="D649" i="5"/>
  <c r="D665" i="5"/>
  <c r="D681" i="5"/>
  <c r="D697" i="5"/>
  <c r="D713" i="5"/>
  <c r="D931" i="5"/>
  <c r="D1013" i="5"/>
  <c r="D747" i="5"/>
  <c r="D1216" i="5"/>
  <c r="D1467" i="5"/>
  <c r="D1250" i="5"/>
  <c r="D788" i="5"/>
  <c r="D804" i="5"/>
  <c r="D820" i="5"/>
  <c r="D836" i="5"/>
  <c r="D852" i="5"/>
  <c r="D868" i="5"/>
  <c r="D884" i="5"/>
  <c r="D900" i="5"/>
  <c r="D916" i="5"/>
  <c r="D932" i="5"/>
  <c r="D948" i="5"/>
  <c r="D964" i="5"/>
  <c r="D980" i="5"/>
  <c r="D996" i="5"/>
  <c r="D1012" i="5"/>
  <c r="D1028" i="5"/>
  <c r="D1044" i="5"/>
  <c r="D1060" i="5"/>
  <c r="D1076" i="5"/>
  <c r="D1092" i="5"/>
  <c r="D1108" i="5"/>
  <c r="D1124" i="5"/>
  <c r="D1140" i="5"/>
  <c r="D1156" i="5"/>
  <c r="D1172" i="5"/>
  <c r="D1260" i="5"/>
  <c r="D1825" i="5"/>
  <c r="D1499" i="5"/>
  <c r="D1593" i="5"/>
  <c r="D1284" i="5"/>
  <c r="D1300" i="5"/>
  <c r="D1332" i="5"/>
  <c r="D1348" i="5"/>
  <c r="D1364" i="5"/>
  <c r="D1380" i="5"/>
  <c r="D1396" i="5"/>
  <c r="D1412" i="5"/>
  <c r="D1428" i="5"/>
  <c r="D1500" i="5"/>
  <c r="D1617" i="5"/>
  <c r="D1492" i="5"/>
  <c r="D1732" i="5"/>
  <c r="D1506" i="5"/>
  <c r="D1572" i="5"/>
  <c r="D1487" i="5"/>
  <c r="D1628" i="5"/>
  <c r="D1177" i="5"/>
  <c r="D1193" i="5"/>
  <c r="D1209" i="5"/>
  <c r="D1225" i="5"/>
  <c r="D1241" i="5"/>
  <c r="D1257" i="5"/>
  <c r="D1273" i="5"/>
  <c r="D1289" i="5"/>
  <c r="D1305" i="5"/>
  <c r="D1321" i="5"/>
  <c r="D1337" i="5"/>
  <c r="D1353" i="5"/>
  <c r="D1369" i="5"/>
  <c r="D1385" i="5"/>
  <c r="D1401" i="5"/>
  <c r="D1417" i="5"/>
  <c r="D1449" i="5"/>
  <c r="D1606" i="5"/>
  <c r="D1563" i="5"/>
  <c r="D1687" i="5"/>
  <c r="D1754" i="5"/>
  <c r="D1706" i="5"/>
  <c r="D1786" i="5"/>
  <c r="D1559" i="5"/>
  <c r="D1621" i="5"/>
  <c r="D1685" i="5"/>
  <c r="D1950" i="5"/>
  <c r="D1573" i="5"/>
  <c r="D1640" i="5"/>
  <c r="D1704" i="5"/>
  <c r="D1832" i="5"/>
  <c r="D1450" i="5"/>
  <c r="D1514" i="5"/>
  <c r="D1578" i="5"/>
  <c r="D1643" i="5"/>
  <c r="D1707" i="5"/>
  <c r="D1857" i="5"/>
  <c r="D1773" i="5"/>
  <c r="D1837" i="5"/>
  <c r="D1900" i="5"/>
  <c r="D1746" i="5"/>
  <c r="D1810" i="5"/>
  <c r="D1874" i="5"/>
  <c r="D2080" i="5"/>
  <c r="D1753" i="5"/>
  <c r="D1817" i="5"/>
  <c r="D1881" i="5"/>
  <c r="D1806" i="5"/>
  <c r="D1870" i="5"/>
  <c r="D2072" i="5"/>
  <c r="D1765" i="5"/>
  <c r="D1829" i="5"/>
  <c r="D1930" i="5"/>
  <c r="D2064" i="5"/>
  <c r="D1944" i="5"/>
  <c r="D2166" i="5"/>
  <c r="D2150" i="5"/>
  <c r="D2134" i="5"/>
  <c r="D1954" i="5"/>
  <c r="D2196" i="5"/>
  <c r="D2112" i="5"/>
  <c r="D2413" i="5"/>
  <c r="D1923" i="5"/>
  <c r="D1939" i="5"/>
  <c r="D1971" i="5"/>
  <c r="D1987" i="5"/>
  <c r="D2003" i="5"/>
  <c r="D2248" i="5"/>
  <c r="D2382" i="5"/>
  <c r="D2426" i="5"/>
  <c r="D2436" i="5"/>
  <c r="D2390" i="5"/>
  <c r="D2353" i="5"/>
  <c r="D2468" i="5"/>
  <c r="D2019" i="5"/>
  <c r="D2035" i="5"/>
  <c r="D2051" i="5"/>
  <c r="D2067" i="5"/>
  <c r="D2083" i="5"/>
  <c r="D2099" i="5"/>
  <c r="D2115" i="5"/>
  <c r="D2131" i="5"/>
  <c r="D2147" i="5"/>
  <c r="D2163" i="5"/>
  <c r="D2179" i="5"/>
  <c r="D2195" i="5"/>
  <c r="D2211" i="5"/>
  <c r="D2227" i="5"/>
  <c r="D2250" i="5"/>
  <c r="D2397" i="5"/>
  <c r="D2472" i="5"/>
  <c r="D2418" i="5"/>
  <c r="D2392" i="5"/>
  <c r="D2454" i="5"/>
  <c r="D2255" i="5"/>
  <c r="D2271" i="5"/>
  <c r="D2287" i="5"/>
  <c r="D2303" i="5"/>
  <c r="D2319" i="5"/>
  <c r="D2335" i="5"/>
  <c r="D2363" i="5"/>
  <c r="D2432" i="5"/>
  <c r="D2504" i="5"/>
  <c r="D2417" i="5"/>
  <c r="D2433" i="5"/>
  <c r="D2465" i="5"/>
  <c r="D2481" i="5"/>
  <c r="D2497" i="5"/>
  <c r="D2513" i="5"/>
  <c r="C414" i="5"/>
  <c r="C764" i="5"/>
  <c r="C552" i="5"/>
  <c r="C835" i="5"/>
  <c r="C604" i="5"/>
  <c r="C720" i="5"/>
  <c r="C885" i="5"/>
  <c r="C582" i="5"/>
  <c r="C164" i="5"/>
  <c r="C180" i="5"/>
  <c r="C196" i="5"/>
  <c r="C212" i="5"/>
  <c r="C228" i="5"/>
  <c r="C244" i="5"/>
  <c r="C260" i="5"/>
  <c r="C276" i="5"/>
  <c r="C292" i="5"/>
  <c r="C308" i="5"/>
  <c r="C324" i="5"/>
  <c r="C340" i="5"/>
  <c r="C356" i="5"/>
  <c r="C372" i="5"/>
  <c r="C388" i="5"/>
  <c r="C828" i="5"/>
  <c r="C436" i="5"/>
  <c r="C500" i="5"/>
  <c r="C564" i="5"/>
  <c r="C812" i="5"/>
  <c r="C628" i="5"/>
  <c r="C948" i="5"/>
  <c r="C1282" i="5"/>
  <c r="C954" i="5"/>
  <c r="C1182" i="5"/>
  <c r="C1310" i="5"/>
  <c r="C1424" i="5"/>
  <c r="C778" i="5"/>
  <c r="C842" i="5"/>
  <c r="C906" i="5"/>
  <c r="C973" i="5"/>
  <c r="C1193" i="5"/>
  <c r="C783" i="5"/>
  <c r="C847" i="5"/>
  <c r="C911" i="5"/>
  <c r="C976" i="5"/>
  <c r="C463" i="5"/>
  <c r="C479" i="5"/>
  <c r="C495" i="5"/>
  <c r="C511" i="5"/>
  <c r="C527" i="5"/>
  <c r="C543" i="5"/>
  <c r="C559" i="5"/>
  <c r="C575" i="5"/>
  <c r="C591" i="5"/>
  <c r="C607" i="5"/>
  <c r="D1382" i="5"/>
  <c r="D1398" i="5"/>
  <c r="D1414" i="5"/>
  <c r="D1448" i="5"/>
  <c r="D1522" i="5"/>
  <c r="D1446" i="5"/>
  <c r="D1509" i="5"/>
  <c r="D1609" i="5"/>
  <c r="D1526" i="5"/>
  <c r="D1660" i="5"/>
  <c r="D1179" i="5"/>
  <c r="D1211" i="5"/>
  <c r="D1227" i="5"/>
  <c r="D1243" i="5"/>
  <c r="D1259" i="5"/>
  <c r="D1275" i="5"/>
  <c r="D1291" i="5"/>
  <c r="D1307" i="5"/>
  <c r="D1323" i="5"/>
  <c r="D1339" i="5"/>
  <c r="D1355" i="5"/>
  <c r="D1371" i="5"/>
  <c r="D1387" i="5"/>
  <c r="D1403" i="5"/>
  <c r="D1419" i="5"/>
  <c r="D1454" i="5"/>
  <c r="D1515" i="5"/>
  <c r="D1743" i="5"/>
  <c r="D1631" i="5"/>
  <c r="D1695" i="5"/>
  <c r="D1793" i="5"/>
  <c r="D1714" i="5"/>
  <c r="D1566" i="5"/>
  <c r="D1629" i="5"/>
  <c r="D1693" i="5"/>
  <c r="D1748" i="5"/>
  <c r="D1580" i="5"/>
  <c r="D1648" i="5"/>
  <c r="D1712" i="5"/>
  <c r="D1459" i="5"/>
  <c r="D1523" i="5"/>
  <c r="D1587" i="5"/>
  <c r="D1651" i="5"/>
  <c r="D1715" i="5"/>
  <c r="D1866" i="5"/>
  <c r="D1780" i="5"/>
  <c r="D1844" i="5"/>
  <c r="D1755" i="5"/>
  <c r="D1819" i="5"/>
  <c r="D1883" i="5"/>
  <c r="D2100" i="5"/>
  <c r="D1760" i="5"/>
  <c r="D1824" i="5"/>
  <c r="D1888" i="5"/>
  <c r="D1879" i="5"/>
  <c r="D2122" i="5"/>
  <c r="D1772" i="5"/>
  <c r="D1836" i="5"/>
  <c r="D1946" i="5"/>
  <c r="D2216" i="5"/>
  <c r="D2200" i="5"/>
  <c r="D2184" i="5"/>
  <c r="D2262" i="5"/>
  <c r="D2280" i="5"/>
  <c r="D1909" i="5"/>
  <c r="D1941" i="5"/>
  <c r="D1957" i="5"/>
  <c r="D1973" i="5"/>
  <c r="D1989" i="5"/>
  <c r="D2012" i="5"/>
  <c r="D2396" i="5"/>
  <c r="D2005" i="5"/>
  <c r="D2021" i="5"/>
  <c r="D2037" i="5"/>
  <c r="D2053" i="5"/>
  <c r="D2069" i="5"/>
  <c r="D2085" i="5"/>
  <c r="D2101" i="5"/>
  <c r="D2117" i="5"/>
  <c r="D2133" i="5"/>
  <c r="D2149" i="5"/>
  <c r="D2165" i="5"/>
  <c r="D2181" i="5"/>
  <c r="D2197" i="5"/>
  <c r="D2213" i="5"/>
  <c r="D2229" i="5"/>
  <c r="D2266" i="5"/>
  <c r="D2400" i="5"/>
  <c r="D2470" i="5"/>
  <c r="D2257" i="5"/>
  <c r="D2273" i="5"/>
  <c r="D2289" i="5"/>
  <c r="D2305" i="5"/>
  <c r="D2321" i="5"/>
  <c r="D2337" i="5"/>
  <c r="D2372" i="5"/>
  <c r="D2435" i="5"/>
  <c r="D2467" i="5"/>
  <c r="D2483" i="5"/>
  <c r="D2499" i="5"/>
  <c r="D2515" i="5"/>
  <c r="C560" i="5"/>
  <c r="C620" i="5"/>
  <c r="C598" i="5"/>
  <c r="C166" i="5"/>
  <c r="C182" i="5"/>
  <c r="C198" i="5"/>
  <c r="C214" i="5"/>
  <c r="C230" i="5"/>
  <c r="C246" i="5"/>
  <c r="C262" i="5"/>
  <c r="C278" i="5"/>
  <c r="C294" i="5"/>
  <c r="C310" i="5"/>
  <c r="C326" i="5"/>
  <c r="C342" i="5"/>
  <c r="C358" i="5"/>
  <c r="C374" i="5"/>
  <c r="C390" i="5"/>
  <c r="C853" i="5"/>
  <c r="C508" i="5"/>
  <c r="C572" i="5"/>
  <c r="C837" i="5"/>
  <c r="C644" i="5"/>
  <c r="C964" i="5"/>
  <c r="C785" i="5"/>
  <c r="C849" i="5"/>
  <c r="C913" i="5"/>
  <c r="C981" i="5"/>
  <c r="C728" i="5"/>
  <c r="C792" i="5"/>
  <c r="C856" i="5"/>
  <c r="C920" i="5"/>
  <c r="C984" i="5"/>
  <c r="C1499" i="5"/>
  <c r="C465" i="5"/>
  <c r="C481" i="5"/>
  <c r="C497" i="5"/>
  <c r="C513" i="5"/>
  <c r="C529" i="5"/>
  <c r="C545" i="5"/>
  <c r="C561" i="5"/>
  <c r="C577" i="5"/>
  <c r="C593" i="5"/>
  <c r="C609" i="5"/>
  <c r="C625" i="5"/>
  <c r="C641" i="5"/>
  <c r="C657" i="5"/>
  <c r="C673" i="5"/>
  <c r="C689" i="5"/>
  <c r="C705" i="5"/>
  <c r="C733" i="5"/>
  <c r="C797" i="5"/>
  <c r="C861" i="5"/>
  <c r="C923" i="5"/>
  <c r="C724" i="5"/>
  <c r="C788" i="5"/>
  <c r="C852" i="5"/>
  <c r="C916" i="5"/>
  <c r="C1262" i="5"/>
  <c r="C770" i="5"/>
  <c r="C834" i="5"/>
  <c r="C898" i="5"/>
  <c r="C961" i="5"/>
  <c r="C1181" i="5"/>
  <c r="C1223" i="5"/>
  <c r="C1250" i="5"/>
  <c r="C988" i="5"/>
  <c r="C1004" i="5"/>
  <c r="C1036" i="5"/>
  <c r="C1052" i="5"/>
  <c r="C1068" i="5"/>
  <c r="C1084" i="5"/>
  <c r="C1100" i="5"/>
  <c r="C1116" i="5"/>
  <c r="C1132" i="5"/>
  <c r="C1148" i="5"/>
  <c r="C1164" i="5"/>
  <c r="C1192" i="5"/>
  <c r="C1276" i="5"/>
  <c r="C1254" i="5"/>
  <c r="C1336" i="5"/>
  <c r="C1368" i="5"/>
  <c r="C1400" i="5"/>
  <c r="C1814" i="5"/>
  <c r="C1520" i="5"/>
  <c r="C1239" i="5"/>
  <c r="C1271" i="5"/>
  <c r="C1287" i="5"/>
  <c r="C1303" i="5"/>
  <c r="C1319" i="5"/>
  <c r="C1335" i="5"/>
  <c r="C1351" i="5"/>
  <c r="C1367" i="5"/>
  <c r="C1383" i="5"/>
  <c r="C1399" i="5"/>
  <c r="C1415" i="5"/>
  <c r="C1434" i="5"/>
  <c r="C1620" i="5"/>
  <c r="C1584" i="5"/>
  <c r="C1650" i="5"/>
  <c r="C1714" i="5"/>
  <c r="C1950" i="5"/>
  <c r="C1484" i="5"/>
  <c r="C1548" i="5"/>
  <c r="C1680" i="5"/>
  <c r="C1752" i="5"/>
  <c r="C1521" i="5"/>
  <c r="C1585" i="5"/>
  <c r="C1646" i="5"/>
  <c r="C1710" i="5"/>
  <c r="C1762" i="5"/>
  <c r="C1826" i="5"/>
  <c r="C1890" i="5"/>
  <c r="C2014" i="5"/>
  <c r="C1633" i="5"/>
  <c r="D1658" i="5"/>
  <c r="D1722" i="5"/>
  <c r="D1575" i="5"/>
  <c r="D1701" i="5"/>
  <c r="D1656" i="5"/>
  <c r="D1720" i="5"/>
  <c r="D1882" i="5"/>
  <c r="D1530" i="5"/>
  <c r="D1595" i="5"/>
  <c r="D1659" i="5"/>
  <c r="D1723" i="5"/>
  <c r="D1853" i="5"/>
  <c r="D1826" i="5"/>
  <c r="D1890" i="5"/>
  <c r="D1769" i="5"/>
  <c r="D1833" i="5"/>
  <c r="D1886" i="5"/>
  <c r="D1845" i="5"/>
  <c r="D1998" i="5"/>
  <c r="D2026" i="5"/>
  <c r="D2040" i="5"/>
  <c r="D2234" i="5"/>
  <c r="D1927" i="5"/>
  <c r="D1959" i="5"/>
  <c r="D1975" i="5"/>
  <c r="D1991" i="5"/>
  <c r="D2007" i="5"/>
  <c r="D2023" i="5"/>
  <c r="D2039" i="5"/>
  <c r="D2055" i="5"/>
  <c r="D2071" i="5"/>
  <c r="D2087" i="5"/>
  <c r="D2103" i="5"/>
  <c r="D2119" i="5"/>
  <c r="D2135" i="5"/>
  <c r="D2151" i="5"/>
  <c r="D2167" i="5"/>
  <c r="D2183" i="5"/>
  <c r="D2199" i="5"/>
  <c r="D2215" i="5"/>
  <c r="D2231" i="5"/>
  <c r="D2282" i="5"/>
  <c r="D2307" i="5"/>
  <c r="D2323" i="5"/>
  <c r="D2339" i="5"/>
  <c r="D2421" i="5"/>
  <c r="D2453" i="5"/>
  <c r="D2469" i="5"/>
  <c r="D2485" i="5"/>
  <c r="D2501" i="5"/>
  <c r="D2517" i="5"/>
  <c r="B451" i="5"/>
  <c r="D192" i="5"/>
  <c r="C568" i="5"/>
  <c r="C864" i="5"/>
  <c r="C232" i="5"/>
  <c r="C248" i="5"/>
  <c r="C264" i="5"/>
  <c r="C280" i="5"/>
  <c r="C296" i="5"/>
  <c r="C312" i="5"/>
  <c r="C328" i="5"/>
  <c r="C344" i="5"/>
  <c r="C360" i="5"/>
  <c r="C376" i="5"/>
  <c r="C894" i="5"/>
  <c r="C516" i="5"/>
  <c r="C580" i="5"/>
  <c r="C878" i="5"/>
  <c r="C796" i="5"/>
  <c r="C794" i="5"/>
  <c r="C858" i="5"/>
  <c r="C799" i="5"/>
  <c r="C863" i="5"/>
  <c r="C928" i="5"/>
  <c r="C483" i="5"/>
  <c r="C499" i="5"/>
  <c r="C515" i="5"/>
  <c r="C531" i="5"/>
  <c r="C547" i="5"/>
  <c r="C563" i="5"/>
  <c r="C579" i="5"/>
  <c r="C595" i="5"/>
  <c r="C611" i="5"/>
  <c r="C627" i="5"/>
  <c r="C643" i="5"/>
  <c r="C659" i="5"/>
  <c r="C675" i="5"/>
  <c r="C691" i="5"/>
  <c r="C707" i="5"/>
  <c r="C742" i="5"/>
  <c r="C806" i="5"/>
  <c r="C870" i="5"/>
  <c r="C1013" i="5"/>
  <c r="C795" i="5"/>
  <c r="C859" i="5"/>
  <c r="C991" i="5"/>
  <c r="C841" i="5"/>
  <c r="C905" i="5"/>
  <c r="C969" i="5"/>
  <c r="C990" i="5"/>
  <c r="C1054" i="5"/>
  <c r="C1070" i="5"/>
  <c r="C1086" i="5"/>
  <c r="C1102" i="5"/>
  <c r="C1118" i="5"/>
  <c r="C1134" i="5"/>
  <c r="C1150" i="5"/>
  <c r="C1166" i="5"/>
  <c r="C1422" i="5"/>
  <c r="C1308" i="5"/>
  <c r="C1340" i="5"/>
  <c r="C1372" i="5"/>
  <c r="C1404" i="5"/>
  <c r="C1450" i="5"/>
  <c r="C1486" i="5"/>
  <c r="C1456" i="5"/>
  <c r="C1273" i="5"/>
  <c r="C1289" i="5"/>
  <c r="C1305" i="5"/>
  <c r="C1321" i="5"/>
  <c r="C1337" i="5"/>
  <c r="C1353" i="5"/>
  <c r="C1369" i="5"/>
  <c r="C1385" i="5"/>
  <c r="C1401" i="5"/>
  <c r="C1417" i="5"/>
  <c r="C1482" i="5"/>
  <c r="C1658" i="5"/>
  <c r="C1722" i="5"/>
  <c r="C1557" i="5"/>
  <c r="C1688" i="5"/>
  <c r="C1539" i="5"/>
  <c r="C1464" i="5"/>
  <c r="C1528" i="5"/>
  <c r="C1590" i="5"/>
  <c r="C1654" i="5"/>
  <c r="C1718" i="5"/>
  <c r="C1835" i="5"/>
  <c r="C1603" i="5"/>
  <c r="C1667" i="5"/>
  <c r="C1683" i="5"/>
  <c r="C1699" i="5"/>
  <c r="C1715" i="5"/>
  <c r="C1731" i="5"/>
  <c r="C1840" i="5"/>
  <c r="C341" i="5"/>
  <c r="D263" i="5"/>
  <c r="D554" i="5"/>
  <c r="D654" i="5"/>
  <c r="D921" i="5"/>
  <c r="D696" i="5"/>
  <c r="D560" i="5"/>
  <c r="D674" i="5"/>
  <c r="D652" i="5"/>
  <c r="D502" i="5"/>
  <c r="D672" i="5"/>
  <c r="D775" i="5"/>
  <c r="D1145" i="5"/>
  <c r="D1123" i="5"/>
  <c r="D1510" i="5"/>
  <c r="D1005" i="5"/>
  <c r="D771" i="5"/>
  <c r="D899" i="5"/>
  <c r="D1095" i="5"/>
  <c r="D801" i="5"/>
  <c r="D1121" i="5"/>
  <c r="D1222" i="5"/>
  <c r="D863" i="5"/>
  <c r="D1051" i="5"/>
  <c r="D1230" i="5"/>
  <c r="D463" i="5"/>
  <c r="D479" i="5"/>
  <c r="D495" i="5"/>
  <c r="D511" i="5"/>
  <c r="D527" i="5"/>
  <c r="D543" i="5"/>
  <c r="D559" i="5"/>
  <c r="D575" i="5"/>
  <c r="D591" i="5"/>
  <c r="D607" i="5"/>
  <c r="D623" i="5"/>
  <c r="D639" i="5"/>
  <c r="D655" i="5"/>
  <c r="D671" i="5"/>
  <c r="D687" i="5"/>
  <c r="D703" i="5"/>
  <c r="D733" i="5"/>
  <c r="D861" i="5"/>
  <c r="D955" i="5"/>
  <c r="D1061" i="5"/>
  <c r="D1248" i="5"/>
  <c r="D795" i="5"/>
  <c r="D991" i="5"/>
  <c r="D1119" i="5"/>
  <c r="D1198" i="5"/>
  <c r="D1240" i="5"/>
  <c r="D1508" i="5"/>
  <c r="D1620" i="5"/>
  <c r="D730" i="5"/>
  <c r="D762" i="5"/>
  <c r="D778" i="5"/>
  <c r="D794" i="5"/>
  <c r="D810" i="5"/>
  <c r="D826" i="5"/>
  <c r="D842" i="5"/>
  <c r="D858" i="5"/>
  <c r="D874" i="5"/>
  <c r="D890" i="5"/>
  <c r="D906" i="5"/>
  <c r="D922" i="5"/>
  <c r="D938" i="5"/>
  <c r="D954" i="5"/>
  <c r="D970" i="5"/>
  <c r="D986" i="5"/>
  <c r="D1002" i="5"/>
  <c r="D1018" i="5"/>
  <c r="D1034" i="5"/>
  <c r="D1050" i="5"/>
  <c r="D1066" i="5"/>
  <c r="D1082" i="5"/>
  <c r="D1098" i="5"/>
  <c r="D1114" i="5"/>
  <c r="D1130" i="5"/>
  <c r="D1146" i="5"/>
  <c r="D1162" i="5"/>
  <c r="D1192" i="5"/>
  <c r="D1549" i="5"/>
  <c r="D1447" i="5"/>
  <c r="D1533" i="5"/>
  <c r="D1630" i="5"/>
  <c r="D1290" i="5"/>
  <c r="D1306" i="5"/>
  <c r="D1322" i="5"/>
  <c r="D1338" i="5"/>
  <c r="D1354" i="5"/>
  <c r="D1370" i="5"/>
  <c r="D1386" i="5"/>
  <c r="D1402" i="5"/>
  <c r="D1418" i="5"/>
  <c r="D1528" i="5"/>
  <c r="D1654" i="5"/>
  <c r="D1438" i="5"/>
  <c r="D1544" i="5"/>
  <c r="D1834" i="5"/>
  <c r="D1456" i="5"/>
  <c r="D1641" i="5"/>
  <c r="D1841" i="5"/>
  <c r="D1538" i="5"/>
  <c r="D1724" i="5"/>
  <c r="D1183" i="5"/>
  <c r="D1215" i="5"/>
  <c r="D1231" i="5"/>
  <c r="D1247" i="5"/>
  <c r="D1263" i="5"/>
  <c r="D1279" i="5"/>
  <c r="D1295" i="5"/>
  <c r="D1311" i="5"/>
  <c r="D1327" i="5"/>
  <c r="D1343" i="5"/>
  <c r="D1359" i="5"/>
  <c r="D1375" i="5"/>
  <c r="D1391" i="5"/>
  <c r="D1407" i="5"/>
  <c r="D1423" i="5"/>
  <c r="D1479" i="5"/>
  <c r="D1542" i="5"/>
  <c r="D1665" i="5"/>
  <c r="D1830" i="5"/>
  <c r="D1586" i="5"/>
  <c r="D1647" i="5"/>
  <c r="D1711" i="5"/>
  <c r="D1814" i="5"/>
  <c r="D1602" i="5"/>
  <c r="D1666" i="5"/>
  <c r="D1730" i="5"/>
  <c r="D1839" i="5"/>
  <c r="D1518" i="5"/>
  <c r="D1582" i="5"/>
  <c r="D1709" i="5"/>
  <c r="D1782" i="5"/>
  <c r="D1532" i="5"/>
  <c r="D1664" i="5"/>
  <c r="D1728" i="5"/>
  <c r="D1894" i="5"/>
  <c r="D1475" i="5"/>
  <c r="D1539" i="5"/>
  <c r="D1603" i="5"/>
  <c r="D1667" i="5"/>
  <c r="D1731" i="5"/>
  <c r="D1860" i="5"/>
  <c r="D1984" i="5"/>
  <c r="D1835" i="5"/>
  <c r="D1898" i="5"/>
  <c r="D1776" i="5"/>
  <c r="D1840" i="5"/>
  <c r="D1952" i="5"/>
  <c r="D1767" i="5"/>
  <c r="D1831" i="5"/>
  <c r="D1918" i="5"/>
  <c r="D2344" i="5"/>
  <c r="D1788" i="5"/>
  <c r="D1852" i="5"/>
  <c r="D2016" i="5"/>
  <c r="D1978" i="5"/>
  <c r="D2182" i="5"/>
  <c r="D1992" i="5"/>
  <c r="D2048" i="5"/>
  <c r="D2294" i="5"/>
  <c r="D2068" i="5"/>
  <c r="D2264" i="5"/>
  <c r="D2002" i="5"/>
  <c r="D2338" i="5"/>
  <c r="D2244" i="5"/>
  <c r="D2050" i="5"/>
  <c r="D2178" i="5"/>
  <c r="D2292" i="5"/>
  <c r="D2160" i="5"/>
  <c r="D2300" i="5"/>
  <c r="D2222" i="5"/>
  <c r="D1897" i="5"/>
  <c r="D1929" i="5"/>
  <c r="D1961" i="5"/>
  <c r="D1977" i="5"/>
  <c r="D1993" i="5"/>
  <c r="D2044" i="5"/>
  <c r="D2172" i="5"/>
  <c r="D2278" i="5"/>
  <c r="D2364" i="5"/>
  <c r="D2334" i="5"/>
  <c r="D2384" i="5"/>
  <c r="D2009" i="5"/>
  <c r="D2025" i="5"/>
  <c r="D2041" i="5"/>
  <c r="D2057" i="5"/>
  <c r="D2073" i="5"/>
  <c r="D2089" i="5"/>
  <c r="D2105" i="5"/>
  <c r="D2121" i="5"/>
  <c r="D2137" i="5"/>
  <c r="D2153" i="5"/>
  <c r="D2169" i="5"/>
  <c r="D2185" i="5"/>
  <c r="D2201" i="5"/>
  <c r="D2217" i="5"/>
  <c r="D2233" i="5"/>
  <c r="D2298" i="5"/>
  <c r="D2420" i="5"/>
  <c r="D2466" i="5"/>
  <c r="D2428" i="5"/>
  <c r="D2245" i="5"/>
  <c r="D2261" i="5"/>
  <c r="D2277" i="5"/>
  <c r="D2293" i="5"/>
  <c r="D2309" i="5"/>
  <c r="D2325" i="5"/>
  <c r="D2341" i="5"/>
  <c r="D2388" i="5"/>
  <c r="D2478" i="5"/>
  <c r="D2494" i="5"/>
  <c r="D2510" i="5"/>
  <c r="D2423" i="5"/>
  <c r="D2439" i="5"/>
  <c r="D2455" i="5"/>
  <c r="D2471" i="5"/>
  <c r="D2487" i="5"/>
  <c r="D2503" i="5"/>
  <c r="D368" i="5"/>
  <c r="C343" i="5"/>
  <c r="B318" i="5"/>
  <c r="B293" i="5"/>
  <c r="D265" i="5"/>
  <c r="D240" i="5"/>
  <c r="C696" i="5"/>
  <c r="C851" i="5"/>
  <c r="C512" i="5"/>
  <c r="C576" i="5"/>
  <c r="C706" i="5"/>
  <c r="C652" i="5"/>
  <c r="C798" i="5"/>
  <c r="C940" i="5"/>
  <c r="C542" i="5"/>
  <c r="C630" i="5"/>
  <c r="C170" i="5"/>
  <c r="C186" i="5"/>
  <c r="C202" i="5"/>
  <c r="C218" i="5"/>
  <c r="C234" i="5"/>
  <c r="C250" i="5"/>
  <c r="C266" i="5"/>
  <c r="C282" i="5"/>
  <c r="C298" i="5"/>
  <c r="C314" i="5"/>
  <c r="C330" i="5"/>
  <c r="C346" i="5"/>
  <c r="C362" i="5"/>
  <c r="C378" i="5"/>
  <c r="C592" i="5"/>
  <c r="C915" i="5"/>
  <c r="C460" i="5"/>
  <c r="C524" i="5"/>
  <c r="C714" i="5"/>
  <c r="C676" i="5"/>
  <c r="C821" i="5"/>
  <c r="C1155" i="5"/>
  <c r="C1330" i="5"/>
  <c r="C1053" i="5"/>
  <c r="C1264" i="5"/>
  <c r="C1111" i="5"/>
  <c r="C1225" i="5"/>
  <c r="C1358" i="5"/>
  <c r="C737" i="5"/>
  <c r="C801" i="5"/>
  <c r="C865" i="5"/>
  <c r="C933" i="5"/>
  <c r="C1009" i="5"/>
  <c r="C1137" i="5"/>
  <c r="C1207" i="5"/>
  <c r="C744" i="5"/>
  <c r="C808" i="5"/>
  <c r="C872" i="5"/>
  <c r="C936" i="5"/>
  <c r="C1131" i="5"/>
  <c r="C1338" i="5"/>
  <c r="C405" i="5"/>
  <c r="C421" i="5"/>
  <c r="C437" i="5"/>
  <c r="C453" i="5"/>
  <c r="C469" i="5"/>
  <c r="C485" i="5"/>
  <c r="C501" i="5"/>
  <c r="C517" i="5"/>
  <c r="C533" i="5"/>
  <c r="C549" i="5"/>
  <c r="C565" i="5"/>
  <c r="C581" i="5"/>
  <c r="C597" i="5"/>
  <c r="C613" i="5"/>
  <c r="C629" i="5"/>
  <c r="C645" i="5"/>
  <c r="C661" i="5"/>
  <c r="C677" i="5"/>
  <c r="C693" i="5"/>
  <c r="C709" i="5"/>
  <c r="C749" i="5"/>
  <c r="C813" i="5"/>
  <c r="C877" i="5"/>
  <c r="C1029" i="5"/>
  <c r="C1157" i="5"/>
  <c r="C740" i="5"/>
  <c r="C804" i="5"/>
  <c r="C868" i="5"/>
  <c r="C934" i="5"/>
  <c r="C1135" i="5"/>
  <c r="C722" i="5"/>
  <c r="C786" i="5"/>
  <c r="C850" i="5"/>
  <c r="C914" i="5"/>
  <c r="C977" i="5"/>
  <c r="C1097" i="5"/>
  <c r="C1187" i="5"/>
  <c r="C1416" i="5"/>
  <c r="C992" i="5"/>
  <c r="C1024" i="5"/>
  <c r="D366" i="5"/>
  <c r="B316" i="5"/>
  <c r="B291" i="5"/>
  <c r="D238" i="5"/>
  <c r="D678" i="5"/>
  <c r="D532" i="5"/>
  <c r="D602" i="5"/>
  <c r="D1133" i="5"/>
  <c r="C389" i="5"/>
  <c r="B364" i="5"/>
  <c r="B339" i="5"/>
  <c r="D311" i="5"/>
  <c r="D286" i="5"/>
  <c r="C261" i="5"/>
  <c r="B236" i="5"/>
  <c r="D562" i="5"/>
  <c r="D670" i="5"/>
  <c r="D584" i="5"/>
  <c r="D712" i="5"/>
  <c r="D504" i="5"/>
  <c r="D568" i="5"/>
  <c r="D690" i="5"/>
  <c r="D961" i="5"/>
  <c r="D668" i="5"/>
  <c r="D446" i="5"/>
  <c r="D510" i="5"/>
  <c r="D574" i="5"/>
  <c r="D694" i="5"/>
  <c r="D995" i="5"/>
  <c r="D688" i="5"/>
  <c r="D476" i="5"/>
  <c r="D540" i="5"/>
  <c r="D618" i="5"/>
  <c r="D825" i="5"/>
  <c r="D1033" i="5"/>
  <c r="D1161" i="5"/>
  <c r="D1455" i="5"/>
  <c r="D1139" i="5"/>
  <c r="D1021" i="5"/>
  <c r="D1149" i="5"/>
  <c r="D787" i="5"/>
  <c r="D915" i="5"/>
  <c r="D1111" i="5"/>
  <c r="D1581" i="5"/>
  <c r="D817" i="5"/>
  <c r="D933" i="5"/>
  <c r="D1009" i="5"/>
  <c r="D1137" i="5"/>
  <c r="D1238" i="5"/>
  <c r="D751" i="5"/>
  <c r="D879" i="5"/>
  <c r="D1067" i="5"/>
  <c r="D1252" i="5"/>
  <c r="D465" i="5"/>
  <c r="D481" i="5"/>
  <c r="D497" i="5"/>
  <c r="D513" i="5"/>
  <c r="D529" i="5"/>
  <c r="D545" i="5"/>
  <c r="D561" i="5"/>
  <c r="D577" i="5"/>
  <c r="D593" i="5"/>
  <c r="D609" i="5"/>
  <c r="D625" i="5"/>
  <c r="D641" i="5"/>
  <c r="D657" i="5"/>
  <c r="D673" i="5"/>
  <c r="D689" i="5"/>
  <c r="D705" i="5"/>
  <c r="D749" i="5"/>
  <c r="D877" i="5"/>
  <c r="D963" i="5"/>
  <c r="D1077" i="5"/>
  <c r="D1440" i="5"/>
  <c r="D811" i="5"/>
  <c r="D1007" i="5"/>
  <c r="D1135" i="5"/>
  <c r="D1214" i="5"/>
  <c r="D1612" i="5"/>
  <c r="D1256" i="5"/>
  <c r="D1560" i="5"/>
  <c r="D1862" i="5"/>
  <c r="D732" i="5"/>
  <c r="D748" i="5"/>
  <c r="D764" i="5"/>
  <c r="D780" i="5"/>
  <c r="D796" i="5"/>
  <c r="D812" i="5"/>
  <c r="D828" i="5"/>
  <c r="D844" i="5"/>
  <c r="D860" i="5"/>
  <c r="D876" i="5"/>
  <c r="D892" i="5"/>
  <c r="D908" i="5"/>
  <c r="D924" i="5"/>
  <c r="D940" i="5"/>
  <c r="D956" i="5"/>
  <c r="D972" i="5"/>
  <c r="D988" i="5"/>
  <c r="D1004" i="5"/>
  <c r="D1020" i="5"/>
  <c r="D1036" i="5"/>
  <c r="D1052" i="5"/>
  <c r="D1068" i="5"/>
  <c r="D1084" i="5"/>
  <c r="D1100" i="5"/>
  <c r="D1116" i="5"/>
  <c r="D1132" i="5"/>
  <c r="D1148" i="5"/>
  <c r="D1164" i="5"/>
  <c r="D1208" i="5"/>
  <c r="D1574" i="5"/>
  <c r="D1460" i="5"/>
  <c r="D1536" i="5"/>
  <c r="D1657" i="5"/>
  <c r="D1891" i="5"/>
  <c r="D1292" i="5"/>
  <c r="D1308" i="5"/>
  <c r="D1324" i="5"/>
  <c r="D1340" i="5"/>
  <c r="D1356" i="5"/>
  <c r="D1372" i="5"/>
  <c r="D1388" i="5"/>
  <c r="D1404" i="5"/>
  <c r="D1420" i="5"/>
  <c r="D1537" i="5"/>
  <c r="D1681" i="5"/>
  <c r="D1453" i="5"/>
  <c r="D1604" i="5"/>
  <c r="D1846" i="5"/>
  <c r="D1461" i="5"/>
  <c r="D1520" i="5"/>
  <c r="D1646" i="5"/>
  <c r="D1431" i="5"/>
  <c r="D1558" i="5"/>
  <c r="D1185" i="5"/>
  <c r="D1201" i="5"/>
  <c r="D1217" i="5"/>
  <c r="D1233" i="5"/>
  <c r="D1249" i="5"/>
  <c r="D1265" i="5"/>
  <c r="D1281" i="5"/>
  <c r="D1297" i="5"/>
  <c r="D1313" i="5"/>
  <c r="D1329" i="5"/>
  <c r="D1345" i="5"/>
  <c r="D1361" i="5"/>
  <c r="D1377" i="5"/>
  <c r="D1393" i="5"/>
  <c r="D1409" i="5"/>
  <c r="D1425" i="5"/>
  <c r="D1490" i="5"/>
  <c r="D1551" i="5"/>
  <c r="D1670" i="5"/>
  <c r="D1871" i="5"/>
  <c r="D1655" i="5"/>
  <c r="D1719" i="5"/>
  <c r="D1843" i="5"/>
  <c r="D1674" i="5"/>
  <c r="D1751" i="5"/>
  <c r="D1864" i="5"/>
  <c r="D1527" i="5"/>
  <c r="D1589" i="5"/>
  <c r="D1653" i="5"/>
  <c r="D1717" i="5"/>
  <c r="D1811" i="5"/>
  <c r="D1541" i="5"/>
  <c r="D1608" i="5"/>
  <c r="D1672" i="5"/>
  <c r="D1736" i="5"/>
  <c r="D1908" i="5"/>
  <c r="D1482" i="5"/>
  <c r="D1546" i="5"/>
  <c r="D1611" i="5"/>
  <c r="D1675" i="5"/>
  <c r="D1752" i="5"/>
  <c r="D2104" i="5"/>
  <c r="D1805" i="5"/>
  <c r="D1869" i="5"/>
  <c r="D1996" i="5"/>
  <c r="D1778" i="5"/>
  <c r="D1842" i="5"/>
  <c r="D1968" i="5"/>
  <c r="D2256" i="5"/>
  <c r="D1785" i="5"/>
  <c r="D1849" i="5"/>
  <c r="D1964" i="5"/>
  <c r="D1774" i="5"/>
  <c r="D1838" i="5"/>
  <c r="D1924" i="5"/>
  <c r="D2351" i="5"/>
  <c r="D1797" i="5"/>
  <c r="D1861" i="5"/>
  <c r="D2030" i="5"/>
  <c r="D1994" i="5"/>
  <c r="D2306" i="5"/>
  <c r="D2020" i="5"/>
  <c r="D1926" i="5"/>
  <c r="D2062" i="5"/>
  <c r="D2316" i="5"/>
  <c r="D2088" i="5"/>
  <c r="D2355" i="5"/>
  <c r="D2010" i="5"/>
  <c r="D2422" i="5"/>
  <c r="D2254" i="5"/>
  <c r="D2066" i="5"/>
  <c r="D2194" i="5"/>
  <c r="D2176" i="5"/>
  <c r="D2310" i="5"/>
  <c r="D2110" i="5"/>
  <c r="D2238" i="5"/>
  <c r="D1899" i="5"/>
  <c r="D1915" i="5"/>
  <c r="D1931" i="5"/>
  <c r="D1947" i="5"/>
  <c r="D1963" i="5"/>
  <c r="D1979" i="5"/>
  <c r="D1995" i="5"/>
  <c r="D2060" i="5"/>
  <c r="D2188" i="5"/>
  <c r="D2288" i="5"/>
  <c r="D2377" i="5"/>
  <c r="D2393" i="5"/>
  <c r="D2350" i="5"/>
  <c r="D2452" i="5"/>
  <c r="D2387" i="5"/>
  <c r="D2011" i="5"/>
  <c r="D2027" i="5"/>
  <c r="D2043" i="5"/>
  <c r="D2059" i="5"/>
  <c r="D2075" i="5"/>
  <c r="D2091" i="5"/>
  <c r="D2107" i="5"/>
  <c r="D2123" i="5"/>
  <c r="D2139" i="5"/>
  <c r="D2155" i="5"/>
  <c r="D2171" i="5"/>
  <c r="D2187" i="5"/>
  <c r="D2203" i="5"/>
  <c r="D2219" i="5"/>
  <c r="D2235" i="5"/>
  <c r="D2314" i="5"/>
  <c r="D2385" i="5"/>
  <c r="D2360" i="5"/>
  <c r="D2444" i="5"/>
  <c r="D2247" i="5"/>
  <c r="D2263" i="5"/>
  <c r="D2279" i="5"/>
  <c r="D2295" i="5"/>
  <c r="D2311" i="5"/>
  <c r="D2327" i="5"/>
  <c r="D2343" i="5"/>
  <c r="D2395" i="5"/>
  <c r="D2480" i="5"/>
  <c r="D2496" i="5"/>
  <c r="D2512" i="5"/>
  <c r="D2425" i="5"/>
  <c r="D2441" i="5"/>
  <c r="D2457" i="5"/>
  <c r="D2473" i="5"/>
  <c r="D2489" i="5"/>
  <c r="D2505" i="5"/>
  <c r="C959" i="5"/>
  <c r="C440" i="5"/>
  <c r="C391" i="5"/>
  <c r="B366" i="5"/>
  <c r="B341" i="5"/>
  <c r="D313" i="5"/>
  <c r="D288" i="5"/>
  <c r="C263" i="5"/>
  <c r="B238" i="5"/>
  <c r="D160" i="5"/>
  <c r="C712" i="5"/>
  <c r="C855" i="5"/>
  <c r="D1552" i="5"/>
  <c r="D1662" i="5"/>
  <c r="D1310" i="5"/>
  <c r="D1326" i="5"/>
  <c r="D1342" i="5"/>
  <c r="D1358" i="5"/>
  <c r="D1374" i="5"/>
  <c r="D1390" i="5"/>
  <c r="D1406" i="5"/>
  <c r="D1422" i="5"/>
  <c r="D1478" i="5"/>
  <c r="D1553" i="5"/>
  <c r="D1686" i="5"/>
  <c r="D1463" i="5"/>
  <c r="D1547" i="5"/>
  <c r="D1673" i="5"/>
  <c r="D1565" i="5"/>
  <c r="D1187" i="5"/>
  <c r="D1219" i="5"/>
  <c r="D1235" i="5"/>
  <c r="D1251" i="5"/>
  <c r="D1267" i="5"/>
  <c r="D1283" i="5"/>
  <c r="D1299" i="5"/>
  <c r="D1315" i="5"/>
  <c r="D1331" i="5"/>
  <c r="D1347" i="5"/>
  <c r="D1363" i="5"/>
  <c r="D1379" i="5"/>
  <c r="D1395" i="5"/>
  <c r="D1411" i="5"/>
  <c r="D1427" i="5"/>
  <c r="D1493" i="5"/>
  <c r="D1569" i="5"/>
  <c r="D1697" i="5"/>
  <c r="D1599" i="5"/>
  <c r="D1663" i="5"/>
  <c r="D1727" i="5"/>
  <c r="D1855" i="5"/>
  <c r="D1618" i="5"/>
  <c r="D1682" i="5"/>
  <c r="D1758" i="5"/>
  <c r="D1534" i="5"/>
  <c r="D1661" i="5"/>
  <c r="D1725" i="5"/>
  <c r="D1823" i="5"/>
  <c r="D1548" i="5"/>
  <c r="D1616" i="5"/>
  <c r="D1680" i="5"/>
  <c r="D1766" i="5"/>
  <c r="D1491" i="5"/>
  <c r="D1555" i="5"/>
  <c r="D1619" i="5"/>
  <c r="D1683" i="5"/>
  <c r="D1779" i="5"/>
  <c r="D1812" i="5"/>
  <c r="D1876" i="5"/>
  <c r="D1787" i="5"/>
  <c r="D1851" i="5"/>
  <c r="D1980" i="5"/>
  <c r="D1856" i="5"/>
  <c r="D2038" i="5"/>
  <c r="D1847" i="5"/>
  <c r="D1936" i="5"/>
  <c r="D1740" i="5"/>
  <c r="D1804" i="5"/>
  <c r="D1868" i="5"/>
  <c r="D2086" i="5"/>
  <c r="D1942" i="5"/>
  <c r="D2070" i="5"/>
  <c r="D1940" i="5"/>
  <c r="D2102" i="5"/>
  <c r="D2148" i="5"/>
  <c r="D2082" i="5"/>
  <c r="D2210" i="5"/>
  <c r="D2192" i="5"/>
  <c r="D2336" i="5"/>
  <c r="D1917" i="5"/>
  <c r="D1949" i="5"/>
  <c r="D1965" i="5"/>
  <c r="D1981" i="5"/>
  <c r="D1997" i="5"/>
  <c r="D2076" i="5"/>
  <c r="D2204" i="5"/>
  <c r="D2386" i="5"/>
  <c r="D2365" i="5"/>
  <c r="D2462" i="5"/>
  <c r="D2406" i="5"/>
  <c r="D2013" i="5"/>
  <c r="D2029" i="5"/>
  <c r="D2045" i="5"/>
  <c r="D2061" i="5"/>
  <c r="D2077" i="5"/>
  <c r="D2093" i="5"/>
  <c r="D2109" i="5"/>
  <c r="D2125" i="5"/>
  <c r="D2141" i="5"/>
  <c r="D2157" i="5"/>
  <c r="D2173" i="5"/>
  <c r="D2189" i="5"/>
  <c r="D2205" i="5"/>
  <c r="D2221" i="5"/>
  <c r="D2237" i="5"/>
  <c r="D2330" i="5"/>
  <c r="D2474" i="5"/>
  <c r="D2394" i="5"/>
  <c r="D2460" i="5"/>
  <c r="D2313" i="5"/>
  <c r="D2329" i="5"/>
  <c r="D2345" i="5"/>
  <c r="D2404" i="5"/>
  <c r="D2498" i="5"/>
  <c r="D2514" i="5"/>
  <c r="D2443" i="5"/>
  <c r="D2475" i="5"/>
  <c r="D2491" i="5"/>
  <c r="D2507" i="5"/>
  <c r="B389" i="5"/>
  <c r="D361" i="5"/>
  <c r="D336" i="5"/>
  <c r="C311" i="5"/>
  <c r="B286" i="5"/>
  <c r="B261" i="5"/>
  <c r="D233" i="5"/>
  <c r="D208" i="5"/>
  <c r="C600" i="5"/>
  <c r="C880" i="5"/>
  <c r="C684" i="5"/>
  <c r="C972" i="5"/>
  <c r="C662" i="5"/>
  <c r="C174" i="5"/>
  <c r="C190" i="5"/>
  <c r="C206" i="5"/>
  <c r="C222" i="5"/>
  <c r="C238" i="5"/>
  <c r="C254" i="5"/>
  <c r="C270" i="5"/>
  <c r="C286" i="5"/>
  <c r="C302" i="5"/>
  <c r="C318" i="5"/>
  <c r="C334" i="5"/>
  <c r="C350" i="5"/>
  <c r="C366" i="5"/>
  <c r="C382" i="5"/>
  <c r="C624" i="5"/>
  <c r="C787" i="5"/>
  <c r="C540" i="5"/>
  <c r="C924" i="5"/>
  <c r="C708" i="5"/>
  <c r="C1059" i="5"/>
  <c r="C1362" i="5"/>
  <c r="C1085" i="5"/>
  <c r="C1015" i="5"/>
  <c r="C1143" i="5"/>
  <c r="C1390" i="5"/>
  <c r="C817" i="5"/>
  <c r="C881" i="5"/>
  <c r="C1169" i="5"/>
  <c r="C760" i="5"/>
  <c r="C824" i="5"/>
  <c r="C888" i="5"/>
  <c r="C952" i="5"/>
  <c r="C1035" i="5"/>
  <c r="C1163" i="5"/>
  <c r="C1370" i="5"/>
  <c r="C473" i="5"/>
  <c r="C489" i="5"/>
  <c r="C505" i="5"/>
  <c r="C521" i="5"/>
  <c r="C537" i="5"/>
  <c r="C553" i="5"/>
  <c r="C569" i="5"/>
  <c r="C585" i="5"/>
  <c r="C601" i="5"/>
  <c r="C617" i="5"/>
  <c r="C633" i="5"/>
  <c r="C649" i="5"/>
  <c r="C665" i="5"/>
  <c r="C681" i="5"/>
  <c r="C697" i="5"/>
  <c r="C713" i="5"/>
  <c r="C765" i="5"/>
  <c r="C829" i="5"/>
  <c r="C893" i="5"/>
  <c r="C1061" i="5"/>
  <c r="C820" i="5"/>
  <c r="C884" i="5"/>
  <c r="C1039" i="5"/>
  <c r="C1167" i="5"/>
  <c r="C1334" i="5"/>
  <c r="C738" i="5"/>
  <c r="C802" i="5"/>
  <c r="C866" i="5"/>
  <c r="C929" i="5"/>
  <c r="C1001" i="5"/>
  <c r="C1129" i="5"/>
  <c r="C1180" i="5"/>
  <c r="C1240" i="5"/>
  <c r="C1203" i="5"/>
  <c r="C996" i="5"/>
  <c r="C1028" i="5"/>
  <c r="C1044" i="5"/>
  <c r="C1060" i="5"/>
  <c r="C1076" i="5"/>
  <c r="C1092" i="5"/>
  <c r="C1108" i="5"/>
  <c r="C1124" i="5"/>
  <c r="C1140" i="5"/>
  <c r="C1156" i="5"/>
  <c r="C1172" i="5"/>
  <c r="C1224" i="5"/>
  <c r="C1458" i="5"/>
  <c r="C1222" i="5"/>
  <c r="C1288" i="5"/>
  <c r="C1320" i="5"/>
  <c r="C1352" i="5"/>
  <c r="C1384" i="5"/>
  <c r="C1470" i="5"/>
  <c r="C1540" i="5"/>
  <c r="C1575" i="5"/>
  <c r="C1263" i="5"/>
  <c r="C1295" i="5"/>
  <c r="C1311" i="5"/>
  <c r="C1327" i="5"/>
  <c r="C1343" i="5"/>
  <c r="C1359" i="5"/>
  <c r="C1375" i="5"/>
  <c r="C1391" i="5"/>
  <c r="C1407" i="5"/>
  <c r="C1423" i="5"/>
  <c r="C1459" i="5"/>
  <c r="C1542" i="5"/>
  <c r="C1452" i="5"/>
  <c r="C1552" i="5"/>
  <c r="C1682" i="5"/>
  <c r="C1773" i="5"/>
  <c r="C1516" i="5"/>
  <c r="C1580" i="5"/>
  <c r="C1648" i="5"/>
  <c r="C1690" i="5"/>
  <c r="C2055" i="5"/>
  <c r="C1592" i="5"/>
  <c r="C1656" i="5"/>
  <c r="C1720" i="5"/>
  <c r="C1869" i="5"/>
  <c r="C1857" i="5"/>
  <c r="C1432" i="5"/>
  <c r="C1496" i="5"/>
  <c r="C1560" i="5"/>
  <c r="C1622" i="5"/>
  <c r="C1686" i="5"/>
  <c r="C1746" i="5"/>
  <c r="C1841" i="5"/>
  <c r="C2189" i="5"/>
  <c r="C1803" i="5"/>
  <c r="C1867" i="5"/>
  <c r="C2100" i="5"/>
  <c r="C1595" i="5"/>
  <c r="C1611" i="5"/>
  <c r="C1627" i="5"/>
  <c r="C1643" i="5"/>
  <c r="C1659" i="5"/>
  <c r="C1675" i="5"/>
  <c r="C1691" i="5"/>
  <c r="C1707" i="5"/>
  <c r="C1723" i="5"/>
  <c r="C1744" i="5"/>
  <c r="C1808" i="5"/>
  <c r="C1872" i="5"/>
  <c r="C1964" i="5"/>
  <c r="C1815" i="5"/>
  <c r="C1879" i="5"/>
  <c r="C2111" i="5"/>
  <c r="C1813" i="5"/>
  <c r="C1877" i="5"/>
  <c r="C1994" i="5"/>
  <c r="C2198" i="5"/>
  <c r="C1779" i="5"/>
  <c r="C1843" i="5"/>
  <c r="C1902" i="5"/>
  <c r="C2056" i="5"/>
  <c r="C1926" i="5"/>
  <c r="C1990" i="5"/>
  <c r="C1940" i="5"/>
  <c r="C2004" i="5"/>
  <c r="C2127" i="5"/>
  <c r="C2043" i="5"/>
  <c r="C2209" i="5"/>
  <c r="C1977" i="5"/>
  <c r="C2230" i="5"/>
  <c r="C2389" i="5"/>
  <c r="C2187" i="5"/>
  <c r="C2252" i="5"/>
  <c r="C2302" i="5"/>
  <c r="C2395" i="5"/>
  <c r="C2121" i="5"/>
  <c r="C2185" i="5"/>
  <c r="C2345" i="5"/>
  <c r="C2167" i="5"/>
  <c r="C2231" i="5"/>
  <c r="C2285" i="5"/>
  <c r="C2117" i="5"/>
  <c r="C2181" i="5"/>
  <c r="C2245" i="5"/>
  <c r="C2308" i="5"/>
  <c r="C2026" i="5"/>
  <c r="C2090" i="5"/>
  <c r="C2154" i="5"/>
  <c r="C2218" i="5"/>
  <c r="C2316" i="5"/>
  <c r="C2355" i="5"/>
  <c r="C2482" i="5"/>
  <c r="C2472" i="5"/>
  <c r="C2384" i="5"/>
  <c r="C2330" i="5"/>
  <c r="C2420" i="5"/>
  <c r="C2296" i="5"/>
  <c r="C2363" i="5"/>
  <c r="C2434" i="5"/>
  <c r="C2374" i="5"/>
  <c r="C2504" i="5"/>
  <c r="C2361" i="5"/>
  <c r="C2425" i="5"/>
  <c r="C2457" i="5"/>
  <c r="C2489" i="5"/>
  <c r="C2505" i="5"/>
  <c r="C871" i="5"/>
  <c r="B421" i="5"/>
  <c r="D386" i="5"/>
  <c r="C361" i="5"/>
  <c r="B336" i="5"/>
  <c r="B311" i="5"/>
  <c r="D283" i="5"/>
  <c r="D258" i="5"/>
  <c r="C233" i="5"/>
  <c r="B560" i="5"/>
  <c r="B785" i="5"/>
  <c r="B732" i="5"/>
  <c r="B897" i="5"/>
  <c r="B507" i="5"/>
  <c r="B571" i="5"/>
  <c r="B662" i="5"/>
  <c r="B704" i="5"/>
  <c r="C2128" i="5"/>
  <c r="C2192" i="5"/>
  <c r="C2110" i="5"/>
  <c r="C2174" i="5"/>
  <c r="C2238" i="5"/>
  <c r="C2124" i="5"/>
  <c r="C2188" i="5"/>
  <c r="C2258" i="5"/>
  <c r="C2035" i="5"/>
  <c r="C2099" i="5"/>
  <c r="C2163" i="5"/>
  <c r="C2227" i="5"/>
  <c r="C2325" i="5"/>
  <c r="C2369" i="5"/>
  <c r="C2443" i="5"/>
  <c r="C2475" i="5"/>
  <c r="C2491" i="5"/>
  <c r="C2507" i="5"/>
  <c r="D821" i="5"/>
  <c r="B414" i="5"/>
  <c r="D178" i="5"/>
  <c r="B501" i="5"/>
  <c r="B565" i="5"/>
  <c r="B542" i="5"/>
  <c r="B574" i="5"/>
  <c r="B894" i="5"/>
  <c r="B481" i="5"/>
  <c r="B513" i="5"/>
  <c r="B545" i="5"/>
  <c r="B577" i="5"/>
  <c r="B479" i="5"/>
  <c r="B511" i="5"/>
  <c r="B543" i="5"/>
  <c r="B575" i="5"/>
  <c r="B831" i="5"/>
  <c r="B895" i="5"/>
  <c r="B609" i="5"/>
  <c r="B641" i="5"/>
  <c r="B657" i="5"/>
  <c r="B673" i="5"/>
  <c r="B689" i="5"/>
  <c r="B705" i="5"/>
  <c r="B797" i="5"/>
  <c r="B861" i="5"/>
  <c r="B843" i="5"/>
  <c r="B907" i="5"/>
  <c r="B793" i="5"/>
  <c r="B857" i="5"/>
  <c r="B921" i="5"/>
  <c r="B985" i="5"/>
  <c r="B800" i="5"/>
  <c r="B864" i="5"/>
  <c r="B994" i="5"/>
  <c r="B1010" i="5"/>
  <c r="B1026" i="5"/>
  <c r="B1042" i="5"/>
  <c r="B1058" i="5"/>
  <c r="B1074" i="5"/>
  <c r="B1090" i="5"/>
  <c r="B1106" i="5"/>
  <c r="B1122" i="5"/>
  <c r="B1138" i="5"/>
  <c r="B1154" i="5"/>
  <c r="B1170" i="5"/>
  <c r="C623" i="5"/>
  <c r="C639" i="5"/>
  <c r="C655" i="5"/>
  <c r="C671" i="5"/>
  <c r="C687" i="5"/>
  <c r="C703" i="5"/>
  <c r="C726" i="5"/>
  <c r="C790" i="5"/>
  <c r="C854" i="5"/>
  <c r="C918" i="5"/>
  <c r="C979" i="5"/>
  <c r="C779" i="5"/>
  <c r="C843" i="5"/>
  <c r="C907" i="5"/>
  <c r="C974" i="5"/>
  <c r="C1216" i="5"/>
  <c r="C761" i="5"/>
  <c r="C825" i="5"/>
  <c r="C889" i="5"/>
  <c r="C953" i="5"/>
  <c r="C1220" i="5"/>
  <c r="C1205" i="5"/>
  <c r="C1426" i="5"/>
  <c r="C1229" i="5"/>
  <c r="C986" i="5"/>
  <c r="C1002" i="5"/>
  <c r="C1018" i="5"/>
  <c r="C1034" i="5"/>
  <c r="C1050" i="5"/>
  <c r="C1066" i="5"/>
  <c r="C1082" i="5"/>
  <c r="C1098" i="5"/>
  <c r="C1114" i="5"/>
  <c r="C1130" i="5"/>
  <c r="C1146" i="5"/>
  <c r="C1162" i="5"/>
  <c r="C1185" i="5"/>
  <c r="C1260" i="5"/>
  <c r="C1183" i="5"/>
  <c r="C1238" i="5"/>
  <c r="C1300" i="5"/>
  <c r="C1332" i="5"/>
  <c r="C1364" i="5"/>
  <c r="C1396" i="5"/>
  <c r="C1440" i="5"/>
  <c r="C1494" i="5"/>
  <c r="C1570" i="5"/>
  <c r="C1796" i="5"/>
  <c r="C1463" i="5"/>
  <c r="C1534" i="5"/>
  <c r="C1446" i="5"/>
  <c r="C1517" i="5"/>
  <c r="C1757" i="5"/>
  <c r="C1523" i="5"/>
  <c r="C1596" i="5"/>
  <c r="C1253" i="5"/>
  <c r="C1269" i="5"/>
  <c r="C1285" i="5"/>
  <c r="C1301" i="5"/>
  <c r="C1317" i="5"/>
  <c r="C1333" i="5"/>
  <c r="C1349" i="5"/>
  <c r="C1365" i="5"/>
  <c r="C1381" i="5"/>
  <c r="C1397" i="5"/>
  <c r="C1413" i="5"/>
  <c r="C1429" i="5"/>
  <c r="C1490" i="5"/>
  <c r="C1472" i="5"/>
  <c r="C1588" i="5"/>
  <c r="C1966" i="5"/>
  <c r="C1577" i="5"/>
  <c r="C1642" i="5"/>
  <c r="C1706" i="5"/>
  <c r="C1839" i="5"/>
  <c r="C1889" i="5"/>
  <c r="C1541" i="5"/>
  <c r="C1672" i="5"/>
  <c r="C1736" i="5"/>
  <c r="C1908" i="5"/>
  <c r="C1587" i="5"/>
  <c r="C1922" i="5"/>
  <c r="C1448" i="5"/>
  <c r="C1512" i="5"/>
  <c r="C1576" i="5"/>
  <c r="C1638" i="5"/>
  <c r="C1702" i="5"/>
  <c r="C1756" i="5"/>
  <c r="C1914" i="5"/>
  <c r="C1755" i="5"/>
  <c r="C1819" i="5"/>
  <c r="C1883" i="5"/>
  <c r="C1980" i="5"/>
  <c r="C2214" i="5"/>
  <c r="C1599" i="5"/>
  <c r="C1615" i="5"/>
  <c r="C1631" i="5"/>
  <c r="C1647" i="5"/>
  <c r="C1663" i="5"/>
  <c r="C1679" i="5"/>
  <c r="C1695" i="5"/>
  <c r="C1711" i="5"/>
  <c r="C1727" i="5"/>
  <c r="C1760" i="5"/>
  <c r="C1824" i="5"/>
  <c r="C1888" i="5"/>
  <c r="C1831" i="5"/>
  <c r="C1901" i="5"/>
  <c r="C1765" i="5"/>
  <c r="C1829" i="5"/>
  <c r="C1893" i="5"/>
  <c r="C2309" i="5"/>
  <c r="C1795" i="5"/>
  <c r="C1859" i="5"/>
  <c r="C1978" i="5"/>
  <c r="C2338" i="5"/>
  <c r="C1937" i="5"/>
  <c r="C2001" i="5"/>
  <c r="C2084" i="5"/>
  <c r="C2335" i="5"/>
  <c r="C1942" i="5"/>
  <c r="C2006" i="5"/>
  <c r="C2116" i="5"/>
  <c r="C1956" i="5"/>
  <c r="C2023" i="5"/>
  <c r="C2095" i="5"/>
  <c r="C2175" i="5"/>
  <c r="C1986" i="5"/>
  <c r="C2054" i="5"/>
  <c r="C2251" i="5"/>
  <c r="C1929" i="5"/>
  <c r="C1993" i="5"/>
  <c r="C2071" i="5"/>
  <c r="C2269" i="5"/>
  <c r="C2139" i="5"/>
  <c r="C2203" i="5"/>
  <c r="C2267" i="5"/>
  <c r="C2317" i="5"/>
  <c r="C2009" i="5"/>
  <c r="C2073" i="5"/>
  <c r="C2137" i="5"/>
  <c r="C2201" i="5"/>
  <c r="C2119" i="5"/>
  <c r="C2183" i="5"/>
  <c r="C2250" i="5"/>
  <c r="C2324" i="5"/>
  <c r="C2197" i="5"/>
  <c r="C2268" i="5"/>
  <c r="C2318" i="5"/>
  <c r="C2042" i="5"/>
  <c r="C2106" i="5"/>
  <c r="C2170" i="5"/>
  <c r="C2234" i="5"/>
  <c r="C2405" i="5"/>
  <c r="C2514" i="5"/>
  <c r="C2332" i="5"/>
  <c r="C2412" i="5"/>
  <c r="C2346" i="5"/>
  <c r="C2248" i="5"/>
  <c r="C2312" i="5"/>
  <c r="C2372" i="5"/>
  <c r="C2428" i="5"/>
  <c r="C2390" i="5"/>
  <c r="C2377" i="5"/>
  <c r="C2474" i="5"/>
  <c r="C2429" i="5"/>
  <c r="C2445" i="5"/>
  <c r="C2461" i="5"/>
  <c r="C2493" i="5"/>
  <c r="C2509" i="5"/>
  <c r="C1649" i="5"/>
  <c r="C1665" i="5"/>
  <c r="C1681" i="5"/>
  <c r="C1697" i="5"/>
  <c r="C1713" i="5"/>
  <c r="C1729" i="5"/>
  <c r="C1833" i="5"/>
  <c r="C1909" i="5"/>
  <c r="C1774" i="5"/>
  <c r="C1838" i="5"/>
  <c r="C1772" i="5"/>
  <c r="C1836" i="5"/>
  <c r="C1802" i="5"/>
  <c r="C1866" i="5"/>
  <c r="C1982" i="5"/>
  <c r="C1944" i="5"/>
  <c r="C2017" i="5"/>
  <c r="C1951" i="5"/>
  <c r="C2037" i="5"/>
  <c r="C2196" i="5"/>
  <c r="C1931" i="5"/>
  <c r="C1995" i="5"/>
  <c r="C1936" i="5"/>
  <c r="C2000" i="5"/>
  <c r="C2143" i="5"/>
  <c r="C2146" i="5"/>
  <c r="C2210" i="5"/>
  <c r="C2320" i="5"/>
  <c r="C2080" i="5"/>
  <c r="C2144" i="5"/>
  <c r="C2208" i="5"/>
  <c r="C2126" i="5"/>
  <c r="C2190" i="5"/>
  <c r="C2430" i="5"/>
  <c r="C2140" i="5"/>
  <c r="C2204" i="5"/>
  <c r="C2051" i="5"/>
  <c r="C2115" i="5"/>
  <c r="C2179" i="5"/>
  <c r="C2243" i="5"/>
  <c r="C2414" i="5"/>
  <c r="C2341" i="5"/>
  <c r="C2468" i="5"/>
  <c r="C2321" i="5"/>
  <c r="C2391" i="5"/>
  <c r="C2444" i="5"/>
  <c r="C2431" i="5"/>
  <c r="C2479" i="5"/>
  <c r="C2495" i="5"/>
  <c r="C2511" i="5"/>
  <c r="B573" i="5"/>
  <c r="B550" i="5"/>
  <c r="B582" i="5"/>
  <c r="B915" i="5"/>
  <c r="B489" i="5"/>
  <c r="B521" i="5"/>
  <c r="B553" i="5"/>
  <c r="B878" i="5"/>
  <c r="B423" i="5"/>
  <c r="B487" i="5"/>
  <c r="B519" i="5"/>
  <c r="B551" i="5"/>
  <c r="B1053" i="5"/>
  <c r="B783" i="5"/>
  <c r="B847" i="5"/>
  <c r="B911" i="5"/>
  <c r="B597" i="5"/>
  <c r="B629" i="5"/>
  <c r="B661" i="5"/>
  <c r="C1912" i="5"/>
  <c r="C1847" i="5"/>
  <c r="C1845" i="5"/>
  <c r="C2063" i="5"/>
  <c r="C1747" i="5"/>
  <c r="C1811" i="5"/>
  <c r="C1875" i="5"/>
  <c r="C1894" i="5"/>
  <c r="C1958" i="5"/>
  <c r="C1938" i="5"/>
  <c r="C2002" i="5"/>
  <c r="C2326" i="5"/>
  <c r="C1945" i="5"/>
  <c r="C2007" i="5"/>
  <c r="C2164" i="5"/>
  <c r="C2291" i="5"/>
  <c r="C2155" i="5"/>
  <c r="C2219" i="5"/>
  <c r="C2089" i="5"/>
  <c r="C2153" i="5"/>
  <c r="C2217" i="5"/>
  <c r="C2199" i="5"/>
  <c r="C2260" i="5"/>
  <c r="C2149" i="5"/>
  <c r="C2213" i="5"/>
  <c r="C2283" i="5"/>
  <c r="C2058" i="5"/>
  <c r="C2122" i="5"/>
  <c r="C2186" i="5"/>
  <c r="C2253" i="5"/>
  <c r="C2350" i="5"/>
  <c r="C2371" i="5"/>
  <c r="C2348" i="5"/>
  <c r="C2375" i="5"/>
  <c r="C2264" i="5"/>
  <c r="C2328" i="5"/>
  <c r="C2488" i="5"/>
  <c r="C2393" i="5"/>
  <c r="C2433" i="5"/>
  <c r="C2449" i="5"/>
  <c r="C2465" i="5"/>
  <c r="C2481" i="5"/>
  <c r="C2497" i="5"/>
  <c r="C2513" i="5"/>
  <c r="D194" i="5"/>
  <c r="B512" i="5"/>
  <c r="B576" i="5"/>
  <c r="B523" i="5"/>
  <c r="B555" i="5"/>
  <c r="B910" i="5"/>
  <c r="B640" i="5"/>
  <c r="B778" i="5"/>
  <c r="B428" i="5"/>
  <c r="B492" i="5"/>
  <c r="B524" i="5"/>
  <c r="B556" i="5"/>
  <c r="B721" i="5"/>
  <c r="B862" i="5"/>
  <c r="B458" i="5"/>
  <c r="B490" i="5"/>
  <c r="B522" i="5"/>
  <c r="B554" i="5"/>
  <c r="B606" i="5"/>
  <c r="B908" i="5"/>
  <c r="B1069" i="5"/>
  <c r="B1310" i="5"/>
  <c r="C1040" i="5"/>
  <c r="C1056" i="5"/>
  <c r="C1072" i="5"/>
  <c r="C1088" i="5"/>
  <c r="C1104" i="5"/>
  <c r="C1120" i="5"/>
  <c r="C1136" i="5"/>
  <c r="C1152" i="5"/>
  <c r="C1168" i="5"/>
  <c r="C1208" i="5"/>
  <c r="C1206" i="5"/>
  <c r="C1312" i="5"/>
  <c r="C1344" i="5"/>
  <c r="C1376" i="5"/>
  <c r="C1408" i="5"/>
  <c r="C1784" i="5"/>
  <c r="C1455" i="5"/>
  <c r="C1519" i="5"/>
  <c r="C1612" i="5"/>
  <c r="C2008" i="5"/>
  <c r="C1492" i="5"/>
  <c r="C1668" i="5"/>
  <c r="C1550" i="5"/>
  <c r="C1692" i="5"/>
  <c r="C1243" i="5"/>
  <c r="C1291" i="5"/>
  <c r="C1307" i="5"/>
  <c r="C1323" i="5"/>
  <c r="C1339" i="5"/>
  <c r="C1355" i="5"/>
  <c r="C1371" i="5"/>
  <c r="C1387" i="5"/>
  <c r="C1403" i="5"/>
  <c r="C1419" i="5"/>
  <c r="C1449" i="5"/>
  <c r="C1515" i="5"/>
  <c r="C1507" i="5"/>
  <c r="C1684" i="5"/>
  <c r="C2078" i="5"/>
  <c r="C1602" i="5"/>
  <c r="C1666" i="5"/>
  <c r="C1730" i="5"/>
  <c r="C1782" i="5"/>
  <c r="C2003" i="5"/>
  <c r="C1500" i="5"/>
  <c r="C1564" i="5"/>
  <c r="C1632" i="5"/>
  <c r="C1696" i="5"/>
  <c r="C1546" i="5"/>
  <c r="C1816" i="5"/>
  <c r="C1473" i="5"/>
  <c r="C1537" i="5"/>
  <c r="C1598" i="5"/>
  <c r="C1662" i="5"/>
  <c r="C1726" i="5"/>
  <c r="C1778" i="5"/>
  <c r="C1842" i="5"/>
  <c r="C1898" i="5"/>
  <c r="C2061" i="5"/>
  <c r="C1589" i="5"/>
  <c r="C1621" i="5"/>
  <c r="C1653" i="5"/>
  <c r="C1669" i="5"/>
  <c r="C1685" i="5"/>
  <c r="C1701" i="5"/>
  <c r="C1717" i="5"/>
  <c r="C1733" i="5"/>
  <c r="C1785" i="5"/>
  <c r="C1849" i="5"/>
  <c r="C1790" i="5"/>
  <c r="C1854" i="5"/>
  <c r="C1948" i="5"/>
  <c r="C1852" i="5"/>
  <c r="C1921" i="5"/>
  <c r="C2077" i="5"/>
  <c r="C1754" i="5"/>
  <c r="C1818" i="5"/>
  <c r="C1882" i="5"/>
  <c r="C2097" i="5"/>
  <c r="C1960" i="5"/>
  <c r="C2028" i="5"/>
  <c r="C2207" i="5"/>
  <c r="C1903" i="5"/>
  <c r="C1967" i="5"/>
  <c r="C2191" i="5"/>
  <c r="C2347" i="5"/>
  <c r="C1981" i="5"/>
  <c r="C2065" i="5"/>
  <c r="C2113" i="5"/>
  <c r="C2225" i="5"/>
  <c r="C1947" i="5"/>
  <c r="C2015" i="5"/>
  <c r="C2159" i="5"/>
  <c r="C2410" i="5"/>
  <c r="C1952" i="5"/>
  <c r="C2021" i="5"/>
  <c r="C2168" i="5"/>
  <c r="C2304" i="5"/>
  <c r="C2162" i="5"/>
  <c r="C2226" i="5"/>
  <c r="C2287" i="5"/>
  <c r="C2342" i="5"/>
  <c r="C2032" i="5"/>
  <c r="C2096" i="5"/>
  <c r="C2160" i="5"/>
  <c r="C2224" i="5"/>
  <c r="C2315" i="5"/>
  <c r="C2407" i="5"/>
  <c r="C2142" i="5"/>
  <c r="C2206" i="5"/>
  <c r="C2265" i="5"/>
  <c r="C2092" i="5"/>
  <c r="C2156" i="5"/>
  <c r="C2220" i="5"/>
  <c r="C2288" i="5"/>
  <c r="C2382" i="5"/>
  <c r="C2067" i="5"/>
  <c r="C2131" i="5"/>
  <c r="C2195" i="5"/>
  <c r="C2263" i="5"/>
  <c r="C2373" i="5"/>
  <c r="C2436" i="5"/>
  <c r="C2396" i="5"/>
  <c r="C2353" i="5"/>
  <c r="C2494" i="5"/>
  <c r="C2273" i="5"/>
  <c r="C2337" i="5"/>
  <c r="C2376" i="5"/>
  <c r="C2476" i="5"/>
  <c r="C2413" i="5"/>
  <c r="C2492" i="5"/>
  <c r="C2448" i="5"/>
  <c r="C2402" i="5"/>
  <c r="C2419" i="5"/>
  <c r="C2435" i="5"/>
  <c r="C2451" i="5"/>
  <c r="C2467" i="5"/>
  <c r="C2483" i="5"/>
  <c r="C2499" i="5"/>
  <c r="C2515" i="5"/>
  <c r="C606" i="5"/>
  <c r="D398" i="5"/>
  <c r="D370" i="5"/>
  <c r="C345" i="5"/>
  <c r="B320" i="5"/>
  <c r="C594" i="5"/>
  <c r="C736" i="5"/>
  <c r="C901" i="5"/>
  <c r="C668" i="5"/>
  <c r="C819" i="5"/>
  <c r="C956" i="5"/>
  <c r="C646" i="5"/>
  <c r="C807" i="5"/>
  <c r="C172" i="5"/>
  <c r="C188" i="5"/>
  <c r="C204" i="5"/>
  <c r="C220" i="5"/>
  <c r="C236" i="5"/>
  <c r="C252" i="5"/>
  <c r="C268" i="5"/>
  <c r="C284" i="5"/>
  <c r="C300" i="5"/>
  <c r="C316" i="5"/>
  <c r="C332" i="5"/>
  <c r="C348" i="5"/>
  <c r="C364" i="5"/>
  <c r="C380" i="5"/>
  <c r="C608" i="5"/>
  <c r="C766" i="5"/>
  <c r="C919" i="5"/>
  <c r="C468" i="5"/>
  <c r="C532" i="5"/>
  <c r="C602" i="5"/>
  <c r="C903" i="5"/>
  <c r="C692" i="5"/>
  <c r="C862" i="5"/>
  <c r="C1043" i="5"/>
  <c r="C1171" i="5"/>
  <c r="C1346" i="5"/>
  <c r="C1069" i="5"/>
  <c r="C1559" i="5"/>
  <c r="C999" i="5"/>
  <c r="C1127" i="5"/>
  <c r="C1233" i="5"/>
  <c r="C1374" i="5"/>
  <c r="C746" i="5"/>
  <c r="C810" i="5"/>
  <c r="C874" i="5"/>
  <c r="C941" i="5"/>
  <c r="C1025" i="5"/>
  <c r="C1153" i="5"/>
  <c r="C751" i="5"/>
  <c r="C815" i="5"/>
  <c r="C879" i="5"/>
  <c r="C943" i="5"/>
  <c r="C944" i="5"/>
  <c r="C1019" i="5"/>
  <c r="C1147" i="5"/>
  <c r="C1354" i="5"/>
  <c r="C407" i="5"/>
  <c r="C423" i="5"/>
  <c r="C439" i="5"/>
  <c r="C455" i="5"/>
  <c r="C471" i="5"/>
  <c r="C487" i="5"/>
  <c r="C503" i="5"/>
  <c r="C519" i="5"/>
  <c r="C535" i="5"/>
  <c r="C551" i="5"/>
  <c r="C567" i="5"/>
  <c r="C583" i="5"/>
  <c r="C599" i="5"/>
  <c r="C615" i="5"/>
  <c r="C631" i="5"/>
  <c r="C647" i="5"/>
  <c r="C663" i="5"/>
  <c r="C679" i="5"/>
  <c r="C695" i="5"/>
  <c r="C711" i="5"/>
  <c r="C758" i="5"/>
  <c r="C822" i="5"/>
  <c r="C886" i="5"/>
  <c r="C947" i="5"/>
  <c r="C1045" i="5"/>
  <c r="C1173" i="5"/>
  <c r="C747" i="5"/>
  <c r="C811" i="5"/>
  <c r="C875" i="5"/>
  <c r="C942" i="5"/>
  <c r="C1023" i="5"/>
  <c r="C1151" i="5"/>
  <c r="C1318" i="5"/>
  <c r="C729" i="5"/>
  <c r="C793" i="5"/>
  <c r="C857" i="5"/>
  <c r="C921" i="5"/>
  <c r="C985" i="5"/>
  <c r="C1113" i="5"/>
  <c r="C1195" i="5"/>
  <c r="C1522" i="5"/>
  <c r="C1194" i="5"/>
  <c r="C1483" i="5"/>
  <c r="C994" i="5"/>
  <c r="C1010" i="5"/>
  <c r="C1026" i="5"/>
  <c r="C1042" i="5"/>
  <c r="C1058" i="5"/>
  <c r="C1074" i="5"/>
  <c r="C1090" i="5"/>
  <c r="C1106" i="5"/>
  <c r="C1122" i="5"/>
  <c r="C1138" i="5"/>
  <c r="C1154" i="5"/>
  <c r="C1170" i="5"/>
  <c r="C1217" i="5"/>
  <c r="C1447" i="5"/>
  <c r="C1215" i="5"/>
  <c r="C1284" i="5"/>
  <c r="C1316" i="5"/>
  <c r="C1348" i="5"/>
  <c r="C1380" i="5"/>
  <c r="C1412" i="5"/>
  <c r="C1789" i="5"/>
  <c r="C1465" i="5"/>
  <c r="C1527" i="5"/>
  <c r="C1644" i="5"/>
  <c r="C1433" i="5"/>
  <c r="C1503" i="5"/>
  <c r="C1700" i="5"/>
  <c r="C1905" i="5"/>
  <c r="C1466" i="5"/>
  <c r="C1572" i="5"/>
  <c r="C1474" i="5"/>
  <c r="C1554" i="5"/>
  <c r="C1724" i="5"/>
  <c r="C1245" i="5"/>
  <c r="C1261" i="5"/>
  <c r="C1277" i="5"/>
  <c r="C1293" i="5"/>
  <c r="C1309" i="5"/>
  <c r="C1325" i="5"/>
  <c r="C1341" i="5"/>
  <c r="C1357" i="5"/>
  <c r="C1373" i="5"/>
  <c r="C1389" i="5"/>
  <c r="C1405" i="5"/>
  <c r="C1421" i="5"/>
  <c r="C1454" i="5"/>
  <c r="C1529" i="5"/>
  <c r="C1442" i="5"/>
  <c r="C1510" i="5"/>
  <c r="C1716" i="5"/>
  <c r="C2027" i="5"/>
  <c r="C1610" i="5"/>
  <c r="C1674" i="5"/>
  <c r="C1761" i="5"/>
  <c r="C1823" i="5"/>
  <c r="C2022" i="5"/>
  <c r="C1509" i="5"/>
  <c r="C1573" i="5"/>
  <c r="C1640" i="5"/>
  <c r="C1704" i="5"/>
  <c r="C1832" i="5"/>
  <c r="C1555" i="5"/>
  <c r="C1828" i="5"/>
  <c r="C2069" i="5"/>
  <c r="C1480" i="5"/>
  <c r="C1544" i="5"/>
  <c r="C1606" i="5"/>
  <c r="C1670" i="5"/>
  <c r="C1734" i="5"/>
  <c r="C1812" i="5"/>
  <c r="C2136" i="5"/>
  <c r="C1787" i="5"/>
  <c r="C1851" i="5"/>
  <c r="C1906" i="5"/>
  <c r="C2066" i="5"/>
  <c r="C1591" i="5"/>
  <c r="C1607" i="5"/>
  <c r="C1623" i="5"/>
  <c r="C1639" i="5"/>
  <c r="C1655" i="5"/>
  <c r="C1671" i="5"/>
  <c r="C1687" i="5"/>
  <c r="C1703" i="5"/>
  <c r="C1719" i="5"/>
  <c r="C1735" i="5"/>
  <c r="C1792" i="5"/>
  <c r="C1856" i="5"/>
  <c r="C2173" i="5"/>
  <c r="C1799" i="5"/>
  <c r="C1863" i="5"/>
  <c r="C1989" i="5"/>
  <c r="C1797" i="5"/>
  <c r="C1861" i="5"/>
  <c r="C1932" i="5"/>
  <c r="C2086" i="5"/>
  <c r="C1763" i="5"/>
  <c r="C1827" i="5"/>
  <c r="C1891" i="5"/>
  <c r="C2107" i="5"/>
  <c r="C2314" i="5"/>
  <c r="C1969" i="5"/>
  <c r="C2039" i="5"/>
  <c r="C2228" i="5"/>
  <c r="C1910" i="5"/>
  <c r="C1974" i="5"/>
  <c r="C2059" i="5"/>
  <c r="C2212" i="5"/>
  <c r="C1924" i="5"/>
  <c r="C1988" i="5"/>
  <c r="C2068" i="5"/>
  <c r="C2120" i="5"/>
  <c r="C2237" i="5"/>
  <c r="C1954" i="5"/>
  <c r="C2018" i="5"/>
  <c r="C2180" i="5"/>
  <c r="C1897" i="5"/>
  <c r="C1961" i="5"/>
  <c r="C2024" i="5"/>
  <c r="C2193" i="5"/>
  <c r="C2322" i="5"/>
  <c r="C2171" i="5"/>
  <c r="C2235" i="5"/>
  <c r="C2292" i="5"/>
  <c r="C2352" i="5"/>
  <c r="C2041" i="5"/>
  <c r="C2105" i="5"/>
  <c r="C2169" i="5"/>
  <c r="C2233" i="5"/>
  <c r="C2333" i="5"/>
  <c r="C2087" i="5"/>
  <c r="C2151" i="5"/>
  <c r="C2215" i="5"/>
  <c r="C2270" i="5"/>
  <c r="C2101" i="5"/>
  <c r="C2165" i="5"/>
  <c r="C2229" i="5"/>
  <c r="C2298" i="5"/>
  <c r="C2010" i="5"/>
  <c r="C2074" i="5"/>
  <c r="C2138" i="5"/>
  <c r="C2202" i="5"/>
  <c r="C2293" i="5"/>
  <c r="C2446" i="5"/>
  <c r="C2452" i="5"/>
  <c r="C2359" i="5"/>
  <c r="C2510" i="5"/>
  <c r="C2400" i="5"/>
  <c r="C2280" i="5"/>
  <c r="C2344" i="5"/>
  <c r="C2490" i="5"/>
  <c r="C2383" i="5"/>
  <c r="C2358" i="5"/>
  <c r="C2422" i="5"/>
  <c r="C2496" i="5"/>
  <c r="C2464" i="5"/>
  <c r="C2409" i="5"/>
  <c r="C2421" i="5"/>
  <c r="C2437" i="5"/>
  <c r="C2453" i="5"/>
  <c r="C2469" i="5"/>
  <c r="C2485" i="5"/>
  <c r="C2501" i="5"/>
  <c r="C2517" i="5"/>
  <c r="C1712" i="5"/>
  <c r="C1562" i="5"/>
  <c r="C1489" i="5"/>
  <c r="C1553" i="5"/>
  <c r="C1678" i="5"/>
  <c r="C1740" i="5"/>
  <c r="C1837" i="5"/>
  <c r="C1858" i="5"/>
  <c r="C1917" i="5"/>
  <c r="C1609" i="5"/>
  <c r="C1625" i="5"/>
  <c r="C1657" i="5"/>
  <c r="C1673" i="5"/>
  <c r="C1689" i="5"/>
  <c r="C1705" i="5"/>
  <c r="C1721" i="5"/>
  <c r="C1737" i="5"/>
  <c r="C1801" i="5"/>
  <c r="C1865" i="5"/>
  <c r="C1939" i="5"/>
  <c r="C1742" i="5"/>
  <c r="C1806" i="5"/>
  <c r="C1870" i="5"/>
  <c r="C2072" i="5"/>
  <c r="C1804" i="5"/>
  <c r="C1868" i="5"/>
  <c r="C1973" i="5"/>
  <c r="C2145" i="5"/>
  <c r="C1834" i="5"/>
  <c r="C1899" i="5"/>
  <c r="C1976" i="5"/>
  <c r="C1919" i="5"/>
  <c r="C1983" i="5"/>
  <c r="C2062" i="5"/>
  <c r="C1933" i="5"/>
  <c r="C1997" i="5"/>
  <c r="C2076" i="5"/>
  <c r="C2246" i="5"/>
  <c r="C1963" i="5"/>
  <c r="C2029" i="5"/>
  <c r="C1904" i="5"/>
  <c r="C1968" i="5"/>
  <c r="C2049" i="5"/>
  <c r="C2205" i="5"/>
  <c r="C2404" i="5"/>
  <c r="C2178" i="5"/>
  <c r="C2242" i="5"/>
  <c r="C2048" i="5"/>
  <c r="C2112" i="5"/>
  <c r="C2176" i="5"/>
  <c r="C2240" i="5"/>
  <c r="C2336" i="5"/>
  <c r="C2094" i="5"/>
  <c r="C2158" i="5"/>
  <c r="C2222" i="5"/>
  <c r="C2108" i="5"/>
  <c r="C2172" i="5"/>
  <c r="C2236" i="5"/>
  <c r="C2303" i="5"/>
  <c r="C2019" i="5"/>
  <c r="C2083" i="5"/>
  <c r="C2147" i="5"/>
  <c r="C2211" i="5"/>
  <c r="C2306" i="5"/>
  <c r="C2462" i="5"/>
  <c r="C2323" i="5"/>
  <c r="C2403" i="5"/>
  <c r="C2392" i="5"/>
  <c r="C2365" i="5"/>
  <c r="C2426" i="5"/>
  <c r="C2439" i="5"/>
  <c r="C2455" i="5"/>
  <c r="C2487" i="5"/>
  <c r="C2503" i="5"/>
  <c r="B485" i="5"/>
  <c r="B391" i="5"/>
  <c r="D363" i="5"/>
  <c r="D338" i="5"/>
  <c r="C313" i="5"/>
  <c r="B288" i="5"/>
  <c r="B263" i="5"/>
  <c r="D235" i="5"/>
  <c r="D210" i="5"/>
  <c r="B865" i="5"/>
  <c r="B412" i="5"/>
  <c r="B444" i="5"/>
  <c r="B476" i="5"/>
  <c r="B508" i="5"/>
  <c r="B540" i="5"/>
  <c r="B572" i="5"/>
  <c r="B666" i="5"/>
  <c r="B474" i="5"/>
  <c r="B506" i="5"/>
  <c r="B538" i="5"/>
  <c r="B570" i="5"/>
  <c r="B670" i="5"/>
  <c r="B975" i="5"/>
  <c r="B1133" i="5"/>
  <c r="B1111" i="5"/>
  <c r="B1374" i="5"/>
  <c r="B1073" i="5"/>
  <c r="B1186" i="5"/>
  <c r="B824" i="5"/>
  <c r="B888" i="5"/>
  <c r="B1163" i="5"/>
  <c r="B1370" i="5"/>
  <c r="B607" i="5"/>
  <c r="B639" i="5"/>
  <c r="B655" i="5"/>
  <c r="B671" i="5"/>
  <c r="B687" i="5"/>
  <c r="B703" i="5"/>
  <c r="B726" i="5"/>
  <c r="B790" i="5"/>
  <c r="B854" i="5"/>
  <c r="B918" i="5"/>
  <c r="B979" i="5"/>
  <c r="B1109" i="5"/>
  <c r="B772" i="5"/>
  <c r="B836" i="5"/>
  <c r="B900" i="5"/>
  <c r="B1071" i="5"/>
  <c r="B722" i="5"/>
  <c r="B786" i="5"/>
  <c r="B850" i="5"/>
  <c r="B914" i="5"/>
  <c r="B977" i="5"/>
  <c r="B1097" i="5"/>
  <c r="B1202" i="5"/>
  <c r="B727" i="5"/>
  <c r="B791" i="5"/>
  <c r="B855" i="5"/>
  <c r="B919" i="5"/>
  <c r="B1107" i="5"/>
  <c r="B1378" i="5"/>
  <c r="B928" i="5"/>
  <c r="B944" i="5"/>
  <c r="B992" i="5"/>
  <c r="B1008" i="5"/>
  <c r="B1024" i="5"/>
  <c r="B1040" i="5"/>
  <c r="B1056" i="5"/>
  <c r="B1072" i="5"/>
  <c r="B1088" i="5"/>
  <c r="B1104" i="5"/>
  <c r="B1120" i="5"/>
  <c r="B1136" i="5"/>
  <c r="B1152" i="5"/>
  <c r="B1168" i="5"/>
  <c r="B1208" i="5"/>
  <c r="B1190" i="5"/>
  <c r="B1280" i="5"/>
  <c r="B1344" i="5"/>
  <c r="B1376" i="5"/>
  <c r="B1408" i="5"/>
  <c r="B1248" i="5"/>
  <c r="B1424" i="5"/>
  <c r="B1639" i="5"/>
  <c r="B1231" i="5"/>
  <c r="B1263" i="5"/>
  <c r="B1279" i="5"/>
  <c r="B1295" i="5"/>
  <c r="B1311" i="5"/>
  <c r="B1327" i="5"/>
  <c r="B1343" i="5"/>
  <c r="B1359" i="5"/>
  <c r="B1375" i="5"/>
  <c r="B1391" i="5"/>
  <c r="B1407" i="5"/>
  <c r="B1423" i="5"/>
  <c r="B1447" i="5"/>
  <c r="B1669" i="5"/>
  <c r="B1733" i="5"/>
  <c r="B1507" i="5"/>
  <c r="B1803" i="5"/>
  <c r="B1659" i="5"/>
  <c r="B1723" i="5"/>
  <c r="B1551" i="5"/>
  <c r="B1785" i="5"/>
  <c r="B1879" i="5"/>
  <c r="B1813" i="5"/>
  <c r="B1811" i="5"/>
  <c r="B1913" i="5"/>
  <c r="B1436" i="5"/>
  <c r="B1452" i="5"/>
  <c r="B1468" i="5"/>
  <c r="B1500" i="5"/>
  <c r="B1516" i="5"/>
  <c r="B1532" i="5"/>
  <c r="B1548" i="5"/>
  <c r="B1564" i="5"/>
  <c r="B1580" i="5"/>
  <c r="B1596" i="5"/>
  <c r="B1612" i="5"/>
  <c r="B1628" i="5"/>
  <c r="B1644" i="5"/>
  <c r="B1660" i="5"/>
  <c r="B1676" i="5"/>
  <c r="B1692" i="5"/>
  <c r="B1708" i="5"/>
  <c r="B1724" i="5"/>
  <c r="B1761" i="5"/>
  <c r="B1889" i="5"/>
  <c r="B1746" i="5"/>
  <c r="B1762" i="5"/>
  <c r="B1778" i="5"/>
  <c r="B1794" i="5"/>
  <c r="B1810" i="5"/>
  <c r="B1826" i="5"/>
  <c r="B1842" i="5"/>
  <c r="B1858" i="5"/>
  <c r="B1874" i="5"/>
  <c r="B1890" i="5"/>
  <c r="B2076" i="5"/>
  <c r="B2134" i="5"/>
  <c r="B1954" i="5"/>
  <c r="B2018" i="5"/>
  <c r="B2010" i="5"/>
  <c r="B2085" i="5"/>
  <c r="B1998" i="5"/>
  <c r="B2185" i="5"/>
  <c r="B2345" i="5"/>
  <c r="B2062" i="5"/>
  <c r="B2126" i="5"/>
  <c r="B2190" i="5"/>
  <c r="B2260" i="5"/>
  <c r="B2324" i="5"/>
  <c r="B2133" i="5"/>
  <c r="B2197" i="5"/>
  <c r="B2268" i="5"/>
  <c r="B2106" i="5"/>
  <c r="B2170" i="5"/>
  <c r="B2234" i="5"/>
  <c r="B2316" i="5"/>
  <c r="B2017" i="5"/>
  <c r="B2081" i="5"/>
  <c r="B2145" i="5"/>
  <c r="B2209" i="5"/>
  <c r="B2347" i="5"/>
  <c r="B2396" i="5"/>
  <c r="B2255" i="5"/>
  <c r="B2319" i="5"/>
  <c r="B2470" i="5"/>
  <c r="B2384" i="5"/>
  <c r="B2353" i="5"/>
  <c r="B2401" i="5"/>
  <c r="B2417" i="5"/>
  <c r="B2433" i="5"/>
  <c r="B2449" i="5"/>
  <c r="B2465" i="5"/>
  <c r="B2481" i="5"/>
  <c r="B2497" i="5"/>
  <c r="B2513" i="5"/>
  <c r="B1316" i="5"/>
  <c r="B1348" i="5"/>
  <c r="B1380" i="5"/>
  <c r="B1412" i="5"/>
  <c r="B1281" i="5"/>
  <c r="B1297" i="5"/>
  <c r="B1313" i="5"/>
  <c r="B1329" i="5"/>
  <c r="B1345" i="5"/>
  <c r="B1361" i="5"/>
  <c r="B1377" i="5"/>
  <c r="B1393" i="5"/>
  <c r="B1409" i="5"/>
  <c r="B1425" i="5"/>
  <c r="B1457" i="5"/>
  <c r="B1677" i="5"/>
  <c r="B1667" i="5"/>
  <c r="B1731" i="5"/>
  <c r="B1438" i="5"/>
  <c r="B1454" i="5"/>
  <c r="B1470" i="5"/>
  <c r="B1502" i="5"/>
  <c r="B1518" i="5"/>
  <c r="B1534" i="5"/>
  <c r="B1550" i="5"/>
  <c r="B1566" i="5"/>
  <c r="B1582" i="5"/>
  <c r="B1598" i="5"/>
  <c r="B1614" i="5"/>
  <c r="B1630" i="5"/>
  <c r="B1646" i="5"/>
  <c r="B1662" i="5"/>
  <c r="B1678" i="5"/>
  <c r="B1694" i="5"/>
  <c r="B1710" i="5"/>
  <c r="B1726" i="5"/>
  <c r="B1812" i="5"/>
  <c r="B1828" i="5"/>
  <c r="B1844" i="5"/>
  <c r="B1860" i="5"/>
  <c r="B1876" i="5"/>
  <c r="B1892" i="5"/>
  <c r="B1956" i="5"/>
  <c r="B2007" i="5"/>
  <c r="B2071" i="5"/>
  <c r="B2135" i="5"/>
  <c r="B2199" i="5"/>
  <c r="B2376" i="5"/>
  <c r="B2204" i="5"/>
  <c r="B2179" i="5"/>
  <c r="B2243" i="5"/>
  <c r="B2024" i="5"/>
  <c r="B2088" i="5"/>
  <c r="B2152" i="5"/>
  <c r="B2216" i="5"/>
  <c r="B2262" i="5"/>
  <c r="B2326" i="5"/>
  <c r="B2387" i="5"/>
  <c r="B2419" i="5"/>
  <c r="B2435" i="5"/>
  <c r="B2451" i="5"/>
  <c r="B2467" i="5"/>
  <c r="B2483" i="5"/>
  <c r="B2499" i="5"/>
  <c r="B2515" i="5"/>
  <c r="B176" i="5"/>
  <c r="B504" i="5"/>
  <c r="B568" i="5"/>
  <c r="B636" i="5"/>
  <c r="B769" i="5"/>
  <c r="B999" i="5"/>
  <c r="B515" i="5"/>
  <c r="B579" i="5"/>
  <c r="B608" i="5"/>
  <c r="B737" i="5"/>
  <c r="B484" i="5"/>
  <c r="B516" i="5"/>
  <c r="B548" i="5"/>
  <c r="B580" i="5"/>
  <c r="B698" i="5"/>
  <c r="B849" i="5"/>
  <c r="B821" i="5"/>
  <c r="B482" i="5"/>
  <c r="B514" i="5"/>
  <c r="B546" i="5"/>
  <c r="B578" i="5"/>
  <c r="B858" i="5"/>
  <c r="B1037" i="5"/>
  <c r="B1278" i="5"/>
  <c r="B840" i="5"/>
  <c r="B904" i="5"/>
  <c r="B595" i="5"/>
  <c r="B611" i="5"/>
  <c r="B627" i="5"/>
  <c r="B643" i="5"/>
  <c r="B659" i="5"/>
  <c r="B675" i="5"/>
  <c r="B691" i="5"/>
  <c r="B707" i="5"/>
  <c r="B742" i="5"/>
  <c r="B806" i="5"/>
  <c r="B870" i="5"/>
  <c r="B931" i="5"/>
  <c r="B1013" i="5"/>
  <c r="B1141" i="5"/>
  <c r="B724" i="5"/>
  <c r="B788" i="5"/>
  <c r="B852" i="5"/>
  <c r="B916" i="5"/>
  <c r="B1103" i="5"/>
  <c r="B1366" i="5"/>
  <c r="B738" i="5"/>
  <c r="B802" i="5"/>
  <c r="B866" i="5"/>
  <c r="B929" i="5"/>
  <c r="B1001" i="5"/>
  <c r="B1129" i="5"/>
  <c r="B1209" i="5"/>
  <c r="B743" i="5"/>
  <c r="B807" i="5"/>
  <c r="B871" i="5"/>
  <c r="B1011" i="5"/>
  <c r="B1282" i="5"/>
  <c r="B1250" i="5"/>
  <c r="B932" i="5"/>
  <c r="B948" i="5"/>
  <c r="B964" i="5"/>
  <c r="B980" i="5"/>
  <c r="B996" i="5"/>
  <c r="B1012" i="5"/>
  <c r="B1028" i="5"/>
  <c r="B1044" i="5"/>
  <c r="B1060" i="5"/>
  <c r="B1076" i="5"/>
  <c r="B1092" i="5"/>
  <c r="B1108" i="5"/>
  <c r="B1124" i="5"/>
  <c r="B1140" i="5"/>
  <c r="B1156" i="5"/>
  <c r="B1172" i="5"/>
  <c r="B1224" i="5"/>
  <c r="B1206" i="5"/>
  <c r="B1288" i="5"/>
  <c r="B1320" i="5"/>
  <c r="B1352" i="5"/>
  <c r="B1384" i="5"/>
  <c r="B1188" i="5"/>
  <c r="B1867" i="5"/>
  <c r="B1428" i="5"/>
  <c r="B1703" i="5"/>
  <c r="B1517" i="5"/>
  <c r="B1757" i="5"/>
  <c r="B1737" i="5"/>
  <c r="B1235" i="5"/>
  <c r="B1251" i="5"/>
  <c r="B1267" i="5"/>
  <c r="B1283" i="5"/>
  <c r="B1299" i="5"/>
  <c r="B1315" i="5"/>
  <c r="B1331" i="5"/>
  <c r="B1347" i="5"/>
  <c r="B1363" i="5"/>
  <c r="B1379" i="5"/>
  <c r="B1395" i="5"/>
  <c r="B1411" i="5"/>
  <c r="B1427" i="5"/>
  <c r="B1529" i="5"/>
  <c r="B1919" i="5"/>
  <c r="B1665" i="5"/>
  <c r="B1485" i="5"/>
  <c r="B1679" i="5"/>
  <c r="B1559" i="5"/>
  <c r="B1621" i="5"/>
  <c r="B1685" i="5"/>
  <c r="B1807" i="5"/>
  <c r="B1539" i="5"/>
  <c r="B1611" i="5"/>
  <c r="B1675" i="5"/>
  <c r="B1759" i="5"/>
  <c r="B1455" i="5"/>
  <c r="B1817" i="5"/>
  <c r="B1939" i="5"/>
  <c r="B1783" i="5"/>
  <c r="B1915" i="5"/>
  <c r="B1944" i="5"/>
  <c r="B2086" i="5"/>
  <c r="B1957" i="5"/>
  <c r="B2118" i="5"/>
  <c r="B1440" i="5"/>
  <c r="B1456" i="5"/>
  <c r="B1472" i="5"/>
  <c r="B1488" i="5"/>
  <c r="B1504" i="5"/>
  <c r="B1520" i="5"/>
  <c r="B1536" i="5"/>
  <c r="B1552" i="5"/>
  <c r="B1568" i="5"/>
  <c r="B1584" i="5"/>
  <c r="B1600" i="5"/>
  <c r="B1616" i="5"/>
  <c r="B1632" i="5"/>
  <c r="B1648" i="5"/>
  <c r="B1664" i="5"/>
  <c r="B1680" i="5"/>
  <c r="B1696" i="5"/>
  <c r="B1712" i="5"/>
  <c r="B1728" i="5"/>
  <c r="B1793" i="5"/>
  <c r="B2284" i="5"/>
  <c r="B1967" i="5"/>
  <c r="B2045" i="5"/>
  <c r="B1750" i="5"/>
  <c r="B1766" i="5"/>
  <c r="B1782" i="5"/>
  <c r="B1798" i="5"/>
  <c r="B1814" i="5"/>
  <c r="B1830" i="5"/>
  <c r="B1846" i="5"/>
  <c r="B677" i="5"/>
  <c r="B693" i="5"/>
  <c r="B709" i="5"/>
  <c r="B813" i="5"/>
  <c r="B877" i="5"/>
  <c r="B795" i="5"/>
  <c r="B859" i="5"/>
  <c r="B809" i="5"/>
  <c r="B873" i="5"/>
  <c r="B937" i="5"/>
  <c r="B1223" i="5"/>
  <c r="B752" i="5"/>
  <c r="B816" i="5"/>
  <c r="B880" i="5"/>
  <c r="B950" i="5"/>
  <c r="B982" i="5"/>
  <c r="B998" i="5"/>
  <c r="B1014" i="5"/>
  <c r="B1030" i="5"/>
  <c r="B1046" i="5"/>
  <c r="B1062" i="5"/>
  <c r="B1078" i="5"/>
  <c r="B1094" i="5"/>
  <c r="B1110" i="5"/>
  <c r="B1126" i="5"/>
  <c r="B1142" i="5"/>
  <c r="B1158" i="5"/>
  <c r="B1174" i="5"/>
  <c r="B1356" i="5"/>
  <c r="B1388" i="5"/>
  <c r="B1197" i="5"/>
  <c r="B1414" i="5"/>
  <c r="B1735" i="5"/>
  <c r="B1547" i="5"/>
  <c r="B1237" i="5"/>
  <c r="B1253" i="5"/>
  <c r="B1269" i="5"/>
  <c r="B1285" i="5"/>
  <c r="B1301" i="5"/>
  <c r="B1317" i="5"/>
  <c r="B1333" i="5"/>
  <c r="B1349" i="5"/>
  <c r="B1365" i="5"/>
  <c r="B1381" i="5"/>
  <c r="B1397" i="5"/>
  <c r="B1413" i="5"/>
  <c r="B1429" i="5"/>
  <c r="B1697" i="5"/>
  <c r="B1499" i="5"/>
  <c r="B1711" i="5"/>
  <c r="B1575" i="5"/>
  <c r="B1629" i="5"/>
  <c r="B1693" i="5"/>
  <c r="B1903" i="5"/>
  <c r="B1619" i="5"/>
  <c r="B1683" i="5"/>
  <c r="B1775" i="5"/>
  <c r="B2125" i="5"/>
  <c r="B1799" i="5"/>
  <c r="B1969" i="5"/>
  <c r="B2157" i="5"/>
  <c r="B1442" i="5"/>
  <c r="B1458" i="5"/>
  <c r="B1490" i="5"/>
  <c r="B1506" i="5"/>
  <c r="B1522" i="5"/>
  <c r="B1538" i="5"/>
  <c r="B1554" i="5"/>
  <c r="B1570" i="5"/>
  <c r="B1586" i="5"/>
  <c r="B1602" i="5"/>
  <c r="B1618" i="5"/>
  <c r="B1634" i="5"/>
  <c r="B1650" i="5"/>
  <c r="B1666" i="5"/>
  <c r="B1682" i="5"/>
  <c r="B1698" i="5"/>
  <c r="B1714" i="5"/>
  <c r="B1730" i="5"/>
  <c r="B1941" i="5"/>
  <c r="B1816" i="5"/>
  <c r="B1832" i="5"/>
  <c r="B1848" i="5"/>
  <c r="B1864" i="5"/>
  <c r="B1880" i="5"/>
  <c r="B1908" i="5"/>
  <c r="B1972" i="5"/>
  <c r="B2037" i="5"/>
  <c r="B1968" i="5"/>
  <c r="B2035" i="5"/>
  <c r="B1959" i="5"/>
  <c r="B2038" i="5"/>
  <c r="B2208" i="5"/>
  <c r="B2023" i="5"/>
  <c r="B2087" i="5"/>
  <c r="B2151" i="5"/>
  <c r="B2215" i="5"/>
  <c r="B2092" i="5"/>
  <c r="B2156" i="5"/>
  <c r="B2220" i="5"/>
  <c r="B2131" i="5"/>
  <c r="B2195" i="5"/>
  <c r="B2343" i="5"/>
  <c r="B2040" i="5"/>
  <c r="B2104" i="5"/>
  <c r="B2168" i="5"/>
  <c r="B2232" i="5"/>
  <c r="B2426" i="5"/>
  <c r="B2339" i="5"/>
  <c r="B2342" i="5"/>
  <c r="B2390" i="5"/>
  <c r="B2356" i="5"/>
  <c r="B2407" i="5"/>
  <c r="B2423" i="5"/>
  <c r="B2439" i="5"/>
  <c r="B2455" i="5"/>
  <c r="B2471" i="5"/>
  <c r="B2487" i="5"/>
  <c r="B2503" i="5"/>
  <c r="D488" i="5"/>
  <c r="B432" i="5"/>
  <c r="D180" i="5"/>
  <c r="B712" i="5"/>
  <c r="C420" i="5"/>
  <c r="B212" i="5"/>
  <c r="B792" i="5"/>
  <c r="B856" i="5"/>
  <c r="B920" i="5"/>
  <c r="B583" i="5"/>
  <c r="B615" i="5"/>
  <c r="B647" i="5"/>
  <c r="B663" i="5"/>
  <c r="B679" i="5"/>
  <c r="B695" i="5"/>
  <c r="B711" i="5"/>
  <c r="B822" i="5"/>
  <c r="B886" i="5"/>
  <c r="B740" i="5"/>
  <c r="B804" i="5"/>
  <c r="B868" i="5"/>
  <c r="B1262" i="5"/>
  <c r="B754" i="5"/>
  <c r="B818" i="5"/>
  <c r="B882" i="5"/>
  <c r="B945" i="5"/>
  <c r="B759" i="5"/>
  <c r="B823" i="5"/>
  <c r="B887" i="5"/>
  <c r="B1043" i="5"/>
  <c r="B952" i="5"/>
  <c r="B984" i="5"/>
  <c r="B1000" i="5"/>
  <c r="B1016" i="5"/>
  <c r="B1032" i="5"/>
  <c r="B1048" i="5"/>
  <c r="B1064" i="5"/>
  <c r="B1080" i="5"/>
  <c r="B1096" i="5"/>
  <c r="B1112" i="5"/>
  <c r="B1128" i="5"/>
  <c r="B1144" i="5"/>
  <c r="B1160" i="5"/>
  <c r="B1176" i="5"/>
  <c r="B1222" i="5"/>
  <c r="B1296" i="5"/>
  <c r="B1328" i="5"/>
  <c r="B1360" i="5"/>
  <c r="B1392" i="5"/>
  <c r="B1473" i="5"/>
  <c r="B1239" i="5"/>
  <c r="B1271" i="5"/>
  <c r="B1287" i="5"/>
  <c r="B1303" i="5"/>
  <c r="B1319" i="5"/>
  <c r="B1335" i="5"/>
  <c r="B1351" i="5"/>
  <c r="B1367" i="5"/>
  <c r="B1383" i="5"/>
  <c r="B1399" i="5"/>
  <c r="B1415" i="5"/>
  <c r="B1513" i="5"/>
  <c r="B2093" i="5"/>
  <c r="B1701" i="5"/>
  <c r="B1869" i="5"/>
  <c r="B1537" i="5"/>
  <c r="B1627" i="5"/>
  <c r="B1691" i="5"/>
  <c r="B1487" i="5"/>
  <c r="B2210" i="5"/>
  <c r="B1444" i="5"/>
  <c r="B1476" i="5"/>
  <c r="B1508" i="5"/>
  <c r="B1524" i="5"/>
  <c r="B1540" i="5"/>
  <c r="B1556" i="5"/>
  <c r="B1572" i="5"/>
  <c r="B1588" i="5"/>
  <c r="B1604" i="5"/>
  <c r="B1620" i="5"/>
  <c r="B1636" i="5"/>
  <c r="B1652" i="5"/>
  <c r="B1668" i="5"/>
  <c r="B1684" i="5"/>
  <c r="B1700" i="5"/>
  <c r="B1716" i="5"/>
  <c r="B1732" i="5"/>
  <c r="B2466" i="5"/>
  <c r="B1802" i="5"/>
  <c r="B1818" i="5"/>
  <c r="B1834" i="5"/>
  <c r="B1850" i="5"/>
  <c r="B1866" i="5"/>
  <c r="B1882" i="5"/>
  <c r="B1917" i="5"/>
  <c r="B1981" i="5"/>
  <c r="B2196" i="5"/>
  <c r="B1986" i="5"/>
  <c r="B2307" i="5"/>
  <c r="B1977" i="5"/>
  <c r="B2205" i="5"/>
  <c r="B1966" i="5"/>
  <c r="B2139" i="5"/>
  <c r="B2153" i="5"/>
  <c r="B2217" i="5"/>
  <c r="B2030" i="5"/>
  <c r="B2094" i="5"/>
  <c r="B2158" i="5"/>
  <c r="B2222" i="5"/>
  <c r="B2280" i="5"/>
  <c r="B2101" i="5"/>
  <c r="B2165" i="5"/>
  <c r="B2229" i="5"/>
  <c r="B2308" i="5"/>
  <c r="B2202" i="5"/>
  <c r="B2263" i="5"/>
  <c r="B2354" i="5"/>
  <c r="B2049" i="5"/>
  <c r="B2113" i="5"/>
  <c r="B2177" i="5"/>
  <c r="B2241" i="5"/>
  <c r="B2296" i="5"/>
  <c r="B2428" i="5"/>
  <c r="B2287" i="5"/>
  <c r="B2366" i="5"/>
  <c r="B2406" i="5"/>
  <c r="B2492" i="5"/>
  <c r="B2372" i="5"/>
  <c r="B2458" i="5"/>
  <c r="B2361" i="5"/>
  <c r="B2393" i="5"/>
  <c r="B2409" i="5"/>
  <c r="B2425" i="5"/>
  <c r="B2441" i="5"/>
  <c r="B2457" i="5"/>
  <c r="B2473" i="5"/>
  <c r="B2489" i="5"/>
  <c r="B2505" i="5"/>
  <c r="B295" i="5"/>
  <c r="D267" i="5"/>
  <c r="D242" i="5"/>
  <c r="B192" i="5"/>
  <c r="B549" i="5"/>
  <c r="B581" i="5"/>
  <c r="B706" i="5"/>
  <c r="B901" i="5"/>
  <c r="B684" i="5"/>
  <c r="B819" i="5"/>
  <c r="B558" i="5"/>
  <c r="B614" i="5"/>
  <c r="B753" i="5"/>
  <c r="B656" i="5"/>
  <c r="B465" i="5"/>
  <c r="B497" i="5"/>
  <c r="B529" i="5"/>
  <c r="B561" i="5"/>
  <c r="B618" i="5"/>
  <c r="B750" i="5"/>
  <c r="B899" i="5"/>
  <c r="B708" i="5"/>
  <c r="B874" i="5"/>
  <c r="B463" i="5"/>
  <c r="B495" i="5"/>
  <c r="B527" i="5"/>
  <c r="B559" i="5"/>
  <c r="B622" i="5"/>
  <c r="B933" i="5"/>
  <c r="B1085" i="5"/>
  <c r="B1063" i="5"/>
  <c r="B1326" i="5"/>
  <c r="B941" i="5"/>
  <c r="B1153" i="5"/>
  <c r="B1218" i="5"/>
  <c r="B735" i="5"/>
  <c r="B799" i="5"/>
  <c r="B863" i="5"/>
  <c r="B987" i="5"/>
  <c r="B1115" i="5"/>
  <c r="B1322" i="5"/>
  <c r="B585" i="5"/>
  <c r="B601" i="5"/>
  <c r="B617" i="5"/>
  <c r="B633" i="5"/>
  <c r="B649" i="5"/>
  <c r="B665" i="5"/>
  <c r="B681" i="5"/>
  <c r="B697" i="5"/>
  <c r="B713" i="5"/>
  <c r="B829" i="5"/>
  <c r="B893" i="5"/>
  <c r="B1061" i="5"/>
  <c r="B747" i="5"/>
  <c r="B811" i="5"/>
  <c r="B875" i="5"/>
  <c r="B1023" i="5"/>
  <c r="B1151" i="5"/>
  <c r="B1286" i="5"/>
  <c r="B1527" i="5"/>
  <c r="B761" i="5"/>
  <c r="B825" i="5"/>
  <c r="B889" i="5"/>
  <c r="B953" i="5"/>
  <c r="B1049" i="5"/>
  <c r="B1177" i="5"/>
  <c r="B1563" i="5"/>
  <c r="B768" i="5"/>
  <c r="B832" i="5"/>
  <c r="B896" i="5"/>
  <c r="B1059" i="5"/>
  <c r="B1330" i="5"/>
  <c r="B1187" i="5"/>
  <c r="B922" i="5"/>
  <c r="B938" i="5"/>
  <c r="B954" i="5"/>
  <c r="B970" i="5"/>
  <c r="B986" i="5"/>
  <c r="B1002" i="5"/>
  <c r="B1018" i="5"/>
  <c r="B1034" i="5"/>
  <c r="B1050" i="5"/>
  <c r="B1066" i="5"/>
  <c r="B1082" i="5"/>
  <c r="B1098" i="5"/>
  <c r="B1114" i="5"/>
  <c r="B1130" i="5"/>
  <c r="B1146" i="5"/>
  <c r="B1162" i="5"/>
  <c r="B1185" i="5"/>
  <c r="B1260" i="5"/>
  <c r="B1238" i="5"/>
  <c r="B1300" i="5"/>
  <c r="B1332" i="5"/>
  <c r="B1364" i="5"/>
  <c r="B1396" i="5"/>
  <c r="B1531" i="5"/>
  <c r="B1213" i="5"/>
  <c r="B1741" i="5"/>
  <c r="B1418" i="5"/>
  <c r="B1996" i="5"/>
  <c r="B1579" i="5"/>
  <c r="B1225" i="5"/>
  <c r="B1241" i="5"/>
  <c r="B1257" i="5"/>
  <c r="B1273" i="5"/>
  <c r="B1289" i="5"/>
  <c r="B1305" i="5"/>
  <c r="B1321" i="5"/>
  <c r="B1337" i="5"/>
  <c r="B1353" i="5"/>
  <c r="B1369" i="5"/>
  <c r="B1385" i="5"/>
  <c r="B1401" i="5"/>
  <c r="B1417" i="5"/>
  <c r="B1655" i="5"/>
  <c r="B1477" i="5"/>
  <c r="B1753" i="5"/>
  <c r="B1521" i="5"/>
  <c r="B2194" i="5"/>
  <c r="B1645" i="5"/>
  <c r="B1709" i="5"/>
  <c r="B1898" i="5"/>
  <c r="B1587" i="5"/>
  <c r="B1987" i="5"/>
  <c r="B1553" i="5"/>
  <c r="B1635" i="5"/>
  <c r="B1699" i="5"/>
  <c r="B1837" i="5"/>
  <c r="B1503" i="5"/>
  <c r="B1771" i="5"/>
  <c r="B2207" i="5"/>
  <c r="B1865" i="5"/>
  <c r="B2005" i="5"/>
  <c r="B2178" i="5"/>
  <c r="B1831" i="5"/>
  <c r="B1989" i="5"/>
  <c r="B1765" i="5"/>
  <c r="B1893" i="5"/>
  <c r="B1994" i="5"/>
  <c r="B1891" i="5"/>
  <c r="B2016" i="5"/>
  <c r="B1430" i="5"/>
  <c r="B1446" i="5"/>
  <c r="B1462" i="5"/>
  <c r="B1478" i="5"/>
  <c r="B1494" i="5"/>
  <c r="B1510" i="5"/>
  <c r="B1526" i="5"/>
  <c r="B1542" i="5"/>
  <c r="B1558" i="5"/>
  <c r="B1574" i="5"/>
  <c r="B1590" i="5"/>
  <c r="B1606" i="5"/>
  <c r="B1622" i="5"/>
  <c r="B1638" i="5"/>
  <c r="B1654" i="5"/>
  <c r="B1670" i="5"/>
  <c r="B1686" i="5"/>
  <c r="B1702" i="5"/>
  <c r="B1718" i="5"/>
  <c r="B1734" i="5"/>
  <c r="B1841" i="5"/>
  <c r="B1962" i="5"/>
  <c r="B1990" i="5"/>
  <c r="B2098" i="5"/>
  <c r="B1740" i="5"/>
  <c r="B1756" i="5"/>
  <c r="B1772" i="5"/>
  <c r="B1788" i="5"/>
  <c r="C432" i="5"/>
  <c r="B396" i="5"/>
  <c r="B368" i="5"/>
  <c r="B343" i="5"/>
  <c r="D315" i="5"/>
  <c r="D290" i="5"/>
  <c r="C265" i="5"/>
  <c r="B240" i="5"/>
  <c r="D162" i="5"/>
  <c r="B520" i="5"/>
  <c r="B748" i="5"/>
  <c r="B700" i="5"/>
  <c r="B860" i="5"/>
  <c r="B563" i="5"/>
  <c r="B630" i="5"/>
  <c r="B782" i="5"/>
  <c r="B828" i="5"/>
  <c r="B892" i="5"/>
  <c r="B468" i="5"/>
  <c r="B500" i="5"/>
  <c r="B532" i="5"/>
  <c r="B564" i="5"/>
  <c r="B634" i="5"/>
  <c r="B596" i="5"/>
  <c r="B734" i="5"/>
  <c r="B883" i="5"/>
  <c r="B498" i="5"/>
  <c r="B530" i="5"/>
  <c r="B562" i="5"/>
  <c r="B638" i="5"/>
  <c r="B780" i="5"/>
  <c r="B1101" i="5"/>
  <c r="B1342" i="5"/>
  <c r="B949" i="5"/>
  <c r="B1041" i="5"/>
  <c r="B1169" i="5"/>
  <c r="B1221" i="5"/>
  <c r="B744" i="5"/>
  <c r="B808" i="5"/>
  <c r="B872" i="5"/>
  <c r="B1003" i="5"/>
  <c r="B1131" i="5"/>
  <c r="B1338" i="5"/>
  <c r="B587" i="5"/>
  <c r="B603" i="5"/>
  <c r="B619" i="5"/>
  <c r="B635" i="5"/>
  <c r="B651" i="5"/>
  <c r="B667" i="5"/>
  <c r="B683" i="5"/>
  <c r="B699" i="5"/>
  <c r="B715" i="5"/>
  <c r="B774" i="5"/>
  <c r="B838" i="5"/>
  <c r="B902" i="5"/>
  <c r="B963" i="5"/>
  <c r="B1234" i="5"/>
  <c r="B756" i="5"/>
  <c r="B820" i="5"/>
  <c r="B884" i="5"/>
  <c r="B1039" i="5"/>
  <c r="B770" i="5"/>
  <c r="B834" i="5"/>
  <c r="B898" i="5"/>
  <c r="B961" i="5"/>
  <c r="B1191" i="5"/>
  <c r="B775" i="5"/>
  <c r="B839" i="5"/>
  <c r="B903" i="5"/>
  <c r="B1075" i="5"/>
  <c r="B1346" i="5"/>
  <c r="B924" i="5"/>
  <c r="B940" i="5"/>
  <c r="B972" i="5"/>
  <c r="B988" i="5"/>
  <c r="B1004" i="5"/>
  <c r="B1020" i="5"/>
  <c r="B1036" i="5"/>
  <c r="B1052" i="5"/>
  <c r="B1068" i="5"/>
  <c r="B1084" i="5"/>
  <c r="B1100" i="5"/>
  <c r="B1116" i="5"/>
  <c r="B1132" i="5"/>
  <c r="B1148" i="5"/>
  <c r="B1164" i="5"/>
  <c r="B1192" i="5"/>
  <c r="B1276" i="5"/>
  <c r="B1254" i="5"/>
  <c r="B1304" i="5"/>
  <c r="B1336" i="5"/>
  <c r="B1368" i="5"/>
  <c r="B1400" i="5"/>
  <c r="B1220" i="5"/>
  <c r="B1657" i="5"/>
  <c r="B1420" i="5"/>
  <c r="B1543" i="5"/>
  <c r="B1631" i="5"/>
  <c r="B1431" i="5"/>
  <c r="B1609" i="5"/>
  <c r="B1227" i="5"/>
  <c r="B1243" i="5"/>
  <c r="B1259" i="5"/>
  <c r="B1275" i="5"/>
  <c r="B1291" i="5"/>
  <c r="B1307" i="5"/>
  <c r="B1323" i="5"/>
  <c r="B1339" i="5"/>
  <c r="B1355" i="5"/>
  <c r="B1371" i="5"/>
  <c r="B1387" i="5"/>
  <c r="B1403" i="5"/>
  <c r="B1419" i="5"/>
  <c r="B1469" i="5"/>
  <c r="B1687" i="5"/>
  <c r="B1493" i="5"/>
  <c r="B1883" i="5"/>
  <c r="B1533" i="5"/>
  <c r="B1589" i="5"/>
  <c r="B1653" i="5"/>
  <c r="B1717" i="5"/>
  <c r="B1755" i="5"/>
  <c r="B1992" i="5"/>
  <c r="B1569" i="5"/>
  <c r="B1643" i="5"/>
  <c r="B1707" i="5"/>
  <c r="B1914" i="5"/>
  <c r="B1519" i="5"/>
  <c r="B1821" i="5"/>
  <c r="B1881" i="5"/>
  <c r="B2019" i="5"/>
  <c r="B1847" i="5"/>
  <c r="B2001" i="5"/>
  <c r="B1781" i="5"/>
  <c r="B1896" i="5"/>
  <c r="B1779" i="5"/>
  <c r="B1899" i="5"/>
  <c r="B1432" i="5"/>
  <c r="B1448" i="5"/>
  <c r="B1464" i="5"/>
  <c r="B1480" i="5"/>
  <c r="B1496" i="5"/>
  <c r="B1512" i="5"/>
  <c r="B1528" i="5"/>
  <c r="B1544" i="5"/>
  <c r="B1560" i="5"/>
  <c r="B1576" i="5"/>
  <c r="B1592" i="5"/>
  <c r="B1608" i="5"/>
  <c r="B1624" i="5"/>
  <c r="B1640" i="5"/>
  <c r="B1656" i="5"/>
  <c r="B1672" i="5"/>
  <c r="B1688" i="5"/>
  <c r="B1704" i="5"/>
  <c r="B1720" i="5"/>
  <c r="B1736" i="5"/>
  <c r="B2003" i="5"/>
  <c r="B1935" i="5"/>
  <c r="B1999" i="5"/>
  <c r="B2112" i="5"/>
  <c r="B2254" i="5"/>
  <c r="B1742" i="5"/>
  <c r="B1758" i="5"/>
  <c r="B493" i="5"/>
  <c r="B557" i="5"/>
  <c r="B588" i="5"/>
  <c r="B716" i="5"/>
  <c r="B534" i="5"/>
  <c r="B566" i="5"/>
  <c r="B646" i="5"/>
  <c r="B794" i="5"/>
  <c r="B688" i="5"/>
  <c r="B473" i="5"/>
  <c r="B505" i="5"/>
  <c r="B537" i="5"/>
  <c r="B569" i="5"/>
  <c r="B650" i="5"/>
  <c r="B746" i="5"/>
  <c r="B407" i="5"/>
  <c r="B439" i="5"/>
  <c r="B471" i="5"/>
  <c r="B503" i="5"/>
  <c r="B535" i="5"/>
  <c r="B567" i="5"/>
  <c r="B654" i="5"/>
  <c r="B805" i="5"/>
  <c r="B959" i="5"/>
  <c r="B1117" i="5"/>
  <c r="B1095" i="5"/>
  <c r="B1358" i="5"/>
  <c r="B1057" i="5"/>
  <c r="B1242" i="5"/>
  <c r="B751" i="5"/>
  <c r="B815" i="5"/>
  <c r="B879" i="5"/>
  <c r="B1147" i="5"/>
  <c r="B1354" i="5"/>
  <c r="B589" i="5"/>
  <c r="B605" i="5"/>
  <c r="B621" i="5"/>
  <c r="B637" i="5"/>
  <c r="B653" i="5"/>
  <c r="B669" i="5"/>
  <c r="B685" i="5"/>
  <c r="B701" i="5"/>
  <c r="B717" i="5"/>
  <c r="B781" i="5"/>
  <c r="B845" i="5"/>
  <c r="B909" i="5"/>
  <c r="B971" i="5"/>
  <c r="B1093" i="5"/>
  <c r="B763" i="5"/>
  <c r="B827" i="5"/>
  <c r="B891" i="5"/>
  <c r="B1055" i="5"/>
  <c r="B1681" i="5"/>
  <c r="B777" i="5"/>
  <c r="B841" i="5"/>
  <c r="B905" i="5"/>
  <c r="B969" i="5"/>
  <c r="B1081" i="5"/>
  <c r="B1195" i="5"/>
  <c r="B720" i="5"/>
  <c r="B784" i="5"/>
  <c r="B848" i="5"/>
  <c r="B912" i="5"/>
  <c r="B1091" i="5"/>
  <c r="B1240" i="5"/>
  <c r="B1362" i="5"/>
  <c r="B926" i="5"/>
  <c r="B942" i="5"/>
  <c r="B958" i="5"/>
  <c r="B974" i="5"/>
  <c r="B990" i="5"/>
  <c r="B1006" i="5"/>
  <c r="B1022" i="5"/>
  <c r="B1038" i="5"/>
  <c r="B1054" i="5"/>
  <c r="B1070" i="5"/>
  <c r="B1086" i="5"/>
  <c r="B1102" i="5"/>
  <c r="B1118" i="5"/>
  <c r="B1134" i="5"/>
  <c r="B1150" i="5"/>
  <c r="B1166" i="5"/>
  <c r="B1201" i="5"/>
  <c r="B1183" i="5"/>
  <c r="B1308" i="5"/>
  <c r="B1372" i="5"/>
  <c r="B1404" i="5"/>
  <c r="B1230" i="5"/>
  <c r="B1689" i="5"/>
  <c r="B1422" i="5"/>
  <c r="B1461" i="5"/>
  <c r="B1441" i="5"/>
  <c r="B1641" i="5"/>
  <c r="B1229" i="5"/>
  <c r="B1245" i="5"/>
  <c r="B1261" i="5"/>
  <c r="B1277" i="5"/>
  <c r="B1293" i="5"/>
  <c r="B1309" i="5"/>
  <c r="B1325" i="5"/>
  <c r="B1341" i="5"/>
  <c r="B1357" i="5"/>
  <c r="B1373" i="5"/>
  <c r="B1389" i="5"/>
  <c r="B1405" i="5"/>
  <c r="B1421" i="5"/>
  <c r="B1479" i="5"/>
  <c r="B1545" i="5"/>
  <c r="B1437" i="5"/>
  <c r="B1573" i="5"/>
  <c r="B1661" i="5"/>
  <c r="B1725" i="5"/>
  <c r="B1491" i="5"/>
  <c r="B1791" i="5"/>
  <c r="B1585" i="5"/>
  <c r="B1715" i="5"/>
  <c r="B1946" i="5"/>
  <c r="B1535" i="5"/>
  <c r="B1887" i="5"/>
  <c r="B1769" i="5"/>
  <c r="B2028" i="5"/>
  <c r="B1863" i="5"/>
  <c r="B2111" i="5"/>
  <c r="B1797" i="5"/>
  <c r="B2020" i="5"/>
  <c r="B1795" i="5"/>
  <c r="B2044" i="5"/>
  <c r="B1434" i="5"/>
  <c r="B1450" i="5"/>
  <c r="B1466" i="5"/>
  <c r="B1482" i="5"/>
  <c r="B1498" i="5"/>
  <c r="B1514" i="5"/>
  <c r="B1530" i="5"/>
  <c r="B1546" i="5"/>
  <c r="B1562" i="5"/>
  <c r="B1578" i="5"/>
  <c r="B1594" i="5"/>
  <c r="B1610" i="5"/>
  <c r="B1626" i="5"/>
  <c r="B1642" i="5"/>
  <c r="B1658" i="5"/>
  <c r="B1674" i="5"/>
  <c r="B1690" i="5"/>
  <c r="B1706" i="5"/>
  <c r="B1722" i="5"/>
  <c r="B1745" i="5"/>
  <c r="B1873" i="5"/>
  <c r="B2036" i="5"/>
  <c r="B2006" i="5"/>
  <c r="B2116" i="5"/>
  <c r="B2267" i="5"/>
  <c r="B1744" i="5"/>
  <c r="B1760" i="5"/>
  <c r="B1776" i="5"/>
  <c r="B1792" i="5"/>
  <c r="B1808" i="5"/>
  <c r="B1824" i="5"/>
  <c r="B1840" i="5"/>
  <c r="B1856" i="5"/>
  <c r="B1872" i="5"/>
  <c r="B1888" i="5"/>
  <c r="B1940" i="5"/>
  <c r="B2004" i="5"/>
  <c r="B2073" i="5"/>
  <c r="B2127" i="5"/>
  <c r="B2272" i="5"/>
  <c r="B1947" i="5"/>
  <c r="B2015" i="5"/>
  <c r="B2171" i="5"/>
  <c r="B1936" i="5"/>
  <c r="B2000" i="5"/>
  <c r="B2074" i="5"/>
  <c r="B2269" i="5"/>
  <c r="B1927" i="5"/>
  <c r="B1991" i="5"/>
  <c r="B2214" i="5"/>
  <c r="B2176" i="5"/>
  <c r="B2240" i="5"/>
  <c r="B2336" i="5"/>
  <c r="B2055" i="5"/>
  <c r="B2119" i="5"/>
  <c r="B1862" i="5"/>
  <c r="B1878" i="5"/>
  <c r="B1901" i="5"/>
  <c r="B1965" i="5"/>
  <c r="B2026" i="5"/>
  <c r="B2095" i="5"/>
  <c r="B2175" i="5"/>
  <c r="B2325" i="5"/>
  <c r="B1970" i="5"/>
  <c r="B2043" i="5"/>
  <c r="B1961" i="5"/>
  <c r="B2032" i="5"/>
  <c r="B2155" i="5"/>
  <c r="B2440" i="5"/>
  <c r="B2027" i="5"/>
  <c r="B2128" i="5"/>
  <c r="B2137" i="5"/>
  <c r="B2201" i="5"/>
  <c r="B2014" i="5"/>
  <c r="B2078" i="5"/>
  <c r="B2142" i="5"/>
  <c r="B2206" i="5"/>
  <c r="B2270" i="5"/>
  <c r="B2430" i="5"/>
  <c r="B2149" i="5"/>
  <c r="B2213" i="5"/>
  <c r="B2122" i="5"/>
  <c r="B2186" i="5"/>
  <c r="B2334" i="5"/>
  <c r="B2033" i="5"/>
  <c r="B2097" i="5"/>
  <c r="B2161" i="5"/>
  <c r="B2225" i="5"/>
  <c r="B2286" i="5"/>
  <c r="B2398" i="5"/>
  <c r="B2330" i="5"/>
  <c r="B2344" i="5"/>
  <c r="B2271" i="5"/>
  <c r="B2335" i="5"/>
  <c r="B2374" i="5"/>
  <c r="B2516" i="5"/>
  <c r="B2464" i="5"/>
  <c r="B2420" i="5"/>
  <c r="B2373" i="5"/>
  <c r="B2389" i="5"/>
  <c r="B2405" i="5"/>
  <c r="B2421" i="5"/>
  <c r="B2437" i="5"/>
  <c r="B2453" i="5"/>
  <c r="B2469" i="5"/>
  <c r="B2485" i="5"/>
  <c r="B2501" i="5"/>
  <c r="B2517" i="5"/>
  <c r="B435" i="5"/>
  <c r="B210" i="5"/>
  <c r="B185" i="5"/>
  <c r="C805" i="5"/>
  <c r="B393" i="5"/>
  <c r="D214" i="5"/>
  <c r="B164" i="5"/>
  <c r="B400" i="5"/>
  <c r="B453" i="5"/>
  <c r="B216" i="5"/>
  <c r="C335" i="5"/>
  <c r="C211" i="5"/>
  <c r="D197" i="5"/>
  <c r="D19" i="5"/>
  <c r="D193" i="5"/>
  <c r="D220" i="5"/>
  <c r="D389" i="5"/>
  <c r="D434" i="5"/>
  <c r="D245" i="5"/>
  <c r="D394" i="5"/>
  <c r="D45" i="5"/>
  <c r="D163" i="5"/>
  <c r="D312" i="5"/>
  <c r="C554" i="5"/>
  <c r="B289" i="5"/>
  <c r="C498" i="5"/>
  <c r="B358" i="5"/>
  <c r="B207" i="5"/>
  <c r="B239" i="5"/>
  <c r="B402" i="5"/>
  <c r="B173" i="5"/>
  <c r="B218" i="5"/>
  <c r="B472" i="5"/>
  <c r="C846" i="5"/>
  <c r="C430" i="5"/>
  <c r="C195" i="5"/>
  <c r="B464" i="5"/>
  <c r="B319" i="5"/>
  <c r="C207" i="5"/>
  <c r="D232" i="5"/>
  <c r="D402" i="5"/>
  <c r="D257" i="5"/>
  <c r="D172" i="5"/>
  <c r="D341" i="5"/>
  <c r="C718" i="5"/>
  <c r="C255" i="5"/>
  <c r="C412" i="5"/>
  <c r="B346" i="5"/>
  <c r="B161" i="5"/>
  <c r="C383" i="5"/>
  <c r="B149" i="5"/>
  <c r="B198" i="5"/>
  <c r="C161" i="5"/>
  <c r="B314" i="5"/>
  <c r="B842" i="5"/>
  <c r="C424" i="5"/>
  <c r="D381" i="5"/>
  <c r="D356" i="5"/>
  <c r="C331" i="5"/>
  <c r="B306" i="5"/>
  <c r="B281" i="5"/>
  <c r="D253" i="5"/>
  <c r="D228" i="5"/>
  <c r="B178" i="5"/>
  <c r="D692" i="5"/>
  <c r="D416" i="5"/>
  <c r="B388" i="5"/>
  <c r="B363" i="5"/>
  <c r="D335" i="5"/>
  <c r="D310" i="5"/>
  <c r="C285" i="5"/>
  <c r="B260" i="5"/>
  <c r="B235" i="5"/>
  <c r="D207" i="5"/>
  <c r="D182" i="5"/>
  <c r="B664" i="5"/>
  <c r="B461" i="5"/>
  <c r="C768" i="5"/>
  <c r="B200" i="5"/>
  <c r="B419" i="5"/>
  <c r="C191" i="5"/>
  <c r="B446" i="5"/>
  <c r="B310" i="5"/>
  <c r="B191" i="5"/>
  <c r="D73" i="5"/>
  <c r="D115" i="5"/>
  <c r="D103" i="5"/>
  <c r="D644" i="5"/>
  <c r="D65" i="5"/>
  <c r="D261" i="5"/>
  <c r="D676" i="5"/>
  <c r="D91" i="5"/>
  <c r="D282" i="5"/>
  <c r="D464" i="5"/>
  <c r="D5" i="5"/>
  <c r="D179" i="5"/>
  <c r="D328" i="5"/>
  <c r="D125" i="5"/>
  <c r="D31" i="5"/>
  <c r="D184" i="5"/>
  <c r="D353" i="5"/>
  <c r="C355" i="5"/>
  <c r="C546" i="5"/>
  <c r="B248" i="5"/>
  <c r="B405" i="5"/>
  <c r="B326" i="5"/>
  <c r="C149" i="5"/>
  <c r="B376" i="5"/>
  <c r="B133" i="5"/>
  <c r="C153" i="5"/>
  <c r="C77" i="5"/>
  <c r="B392" i="5"/>
  <c r="B1804" i="5"/>
  <c r="B1820" i="5"/>
  <c r="B1836" i="5"/>
  <c r="B1852" i="5"/>
  <c r="B1868" i="5"/>
  <c r="B1884" i="5"/>
  <c r="B1924" i="5"/>
  <c r="B1988" i="5"/>
  <c r="B2051" i="5"/>
  <c r="B2109" i="5"/>
  <c r="B2237" i="5"/>
  <c r="B1931" i="5"/>
  <c r="B1995" i="5"/>
  <c r="B2082" i="5"/>
  <c r="B1984" i="5"/>
  <c r="B2230" i="5"/>
  <c r="B1911" i="5"/>
  <c r="B1975" i="5"/>
  <c r="B2066" i="5"/>
  <c r="B2148" i="5"/>
  <c r="B2338" i="5"/>
  <c r="B2160" i="5"/>
  <c r="B2224" i="5"/>
  <c r="B2039" i="5"/>
  <c r="B2103" i="5"/>
  <c r="B2167" i="5"/>
  <c r="B2231" i="5"/>
  <c r="B2285" i="5"/>
  <c r="B2108" i="5"/>
  <c r="B2172" i="5"/>
  <c r="B2236" i="5"/>
  <c r="B2313" i="5"/>
  <c r="B2456" i="5"/>
  <c r="B2147" i="5"/>
  <c r="B2211" i="5"/>
  <c r="B2273" i="5"/>
  <c r="B2450" i="5"/>
  <c r="B2056" i="5"/>
  <c r="B2120" i="5"/>
  <c r="B2184" i="5"/>
  <c r="B2251" i="5"/>
  <c r="B2301" i="5"/>
  <c r="B2498" i="5"/>
  <c r="B2412" i="5"/>
  <c r="B2378" i="5"/>
  <c r="B2490" i="5"/>
  <c r="B2294" i="5"/>
  <c r="B2410" i="5"/>
  <c r="B2422" i="5"/>
  <c r="B2496" i="5"/>
  <c r="B2388" i="5"/>
  <c r="B2474" i="5"/>
  <c r="B2363" i="5"/>
  <c r="B2379" i="5"/>
  <c r="B2395" i="5"/>
  <c r="B2411" i="5"/>
  <c r="B2427" i="5"/>
  <c r="B2443" i="5"/>
  <c r="B2459" i="5"/>
  <c r="B2475" i="5"/>
  <c r="B2491" i="5"/>
  <c r="B2507" i="5"/>
  <c r="C410" i="5"/>
  <c r="C379" i="5"/>
  <c r="B354" i="5"/>
  <c r="B329" i="5"/>
  <c r="D301" i="5"/>
  <c r="D276" i="5"/>
  <c r="C251" i="5"/>
  <c r="B226" i="5"/>
  <c r="C638" i="5"/>
  <c r="B454" i="5"/>
  <c r="D383" i="5"/>
  <c r="D358" i="5"/>
  <c r="C333" i="5"/>
  <c r="B308" i="5"/>
  <c r="B283" i="5"/>
  <c r="D255" i="5"/>
  <c r="D230" i="5"/>
  <c r="B180" i="5"/>
  <c r="B925" i="5"/>
  <c r="B438" i="5"/>
  <c r="C670" i="5"/>
  <c r="C408" i="5"/>
  <c r="B175" i="5"/>
  <c r="B430" i="5"/>
  <c r="B298" i="5"/>
  <c r="B182" i="5"/>
  <c r="D57" i="5"/>
  <c r="D99" i="5"/>
  <c r="D13" i="5"/>
  <c r="D119" i="5"/>
  <c r="D81" i="5"/>
  <c r="D273" i="5"/>
  <c r="D107" i="5"/>
  <c r="D323" i="5"/>
  <c r="D482" i="5"/>
  <c r="D21" i="5"/>
  <c r="D188" i="5"/>
  <c r="D357" i="5"/>
  <c r="D202" i="5"/>
  <c r="D47" i="5"/>
  <c r="D213" i="5"/>
  <c r="D378" i="5"/>
  <c r="C289" i="5"/>
  <c r="B45" i="5"/>
  <c r="C434" i="5"/>
  <c r="B223" i="5"/>
  <c r="C55" i="5"/>
  <c r="C392" i="5"/>
  <c r="B119" i="5"/>
  <c r="B467" i="5"/>
  <c r="B280" i="5"/>
  <c r="B129" i="5"/>
  <c r="C133" i="5"/>
  <c r="B351" i="5"/>
  <c r="C137" i="5"/>
  <c r="C145" i="5"/>
  <c r="B1774" i="5"/>
  <c r="B1790" i="5"/>
  <c r="B1806" i="5"/>
  <c r="B1822" i="5"/>
  <c r="B1838" i="5"/>
  <c r="B1854" i="5"/>
  <c r="B1870" i="5"/>
  <c r="B1886" i="5"/>
  <c r="B1933" i="5"/>
  <c r="B1997" i="5"/>
  <c r="B2068" i="5"/>
  <c r="B2123" i="5"/>
  <c r="B2259" i="5"/>
  <c r="B1938" i="5"/>
  <c r="B2002" i="5"/>
  <c r="B2159" i="5"/>
  <c r="B1929" i="5"/>
  <c r="B1993" i="5"/>
  <c r="B2060" i="5"/>
  <c r="B2242" i="5"/>
  <c r="B1918" i="5"/>
  <c r="B1982" i="5"/>
  <c r="B2077" i="5"/>
  <c r="B2189" i="5"/>
  <c r="B2348" i="5"/>
  <c r="B2169" i="5"/>
  <c r="B2233" i="5"/>
  <c r="B2333" i="5"/>
  <c r="B2046" i="5"/>
  <c r="B2110" i="5"/>
  <c r="B2174" i="5"/>
  <c r="B2238" i="5"/>
  <c r="B2295" i="5"/>
  <c r="B2117" i="5"/>
  <c r="B2181" i="5"/>
  <c r="B2245" i="5"/>
  <c r="B2318" i="5"/>
  <c r="B2090" i="5"/>
  <c r="B2154" i="5"/>
  <c r="B2218" i="5"/>
  <c r="B2293" i="5"/>
  <c r="B2065" i="5"/>
  <c r="B2129" i="5"/>
  <c r="B2193" i="5"/>
  <c r="B2256" i="5"/>
  <c r="B2311" i="5"/>
  <c r="B2514" i="5"/>
  <c r="B2478" i="5"/>
  <c r="B2424" i="5"/>
  <c r="B2506" i="5"/>
  <c r="B2303" i="5"/>
  <c r="B2444" i="5"/>
  <c r="B2438" i="5"/>
  <c r="B2500" i="5"/>
  <c r="B2404" i="5"/>
  <c r="B2352" i="5"/>
  <c r="B2349" i="5"/>
  <c r="B2365" i="5"/>
  <c r="B2381" i="5"/>
  <c r="B2397" i="5"/>
  <c r="B2413" i="5"/>
  <c r="B2429" i="5"/>
  <c r="B2445" i="5"/>
  <c r="B2461" i="5"/>
  <c r="B2477" i="5"/>
  <c r="B2493" i="5"/>
  <c r="B2509" i="5"/>
  <c r="B632" i="5"/>
  <c r="B462" i="5"/>
  <c r="C406" i="5"/>
  <c r="B377" i="5"/>
  <c r="D349" i="5"/>
  <c r="D324" i="5"/>
  <c r="C299" i="5"/>
  <c r="B274" i="5"/>
  <c r="B249" i="5"/>
  <c r="D221" i="5"/>
  <c r="D196" i="5"/>
  <c r="B584" i="5"/>
  <c r="C450" i="5"/>
  <c r="C381" i="5"/>
  <c r="B356" i="5"/>
  <c r="B331" i="5"/>
  <c r="D303" i="5"/>
  <c r="D278" i="5"/>
  <c r="C253" i="5"/>
  <c r="B228" i="5"/>
  <c r="B789" i="5"/>
  <c r="B416" i="5"/>
  <c r="C442" i="5"/>
  <c r="B131" i="5"/>
  <c r="B166" i="5"/>
  <c r="C402" i="5"/>
  <c r="C273" i="5"/>
  <c r="B170" i="5"/>
  <c r="D456" i="5"/>
  <c r="D41" i="5"/>
  <c r="D83" i="5"/>
  <c r="D7" i="5"/>
  <c r="D97" i="5"/>
  <c r="D298" i="5"/>
  <c r="D29" i="5"/>
  <c r="D123" i="5"/>
  <c r="D332" i="5"/>
  <c r="D37" i="5"/>
  <c r="D200" i="5"/>
  <c r="D369" i="5"/>
  <c r="D243" i="5"/>
  <c r="D63" i="5"/>
  <c r="D225" i="5"/>
  <c r="D596" i="5"/>
  <c r="C223" i="5"/>
  <c r="B39" i="5"/>
  <c r="C387" i="5"/>
  <c r="C3" i="5"/>
  <c r="B367" i="5"/>
  <c r="B113" i="5"/>
  <c r="B445" i="5"/>
  <c r="B273" i="5"/>
  <c r="B77" i="5"/>
  <c r="B480" i="5"/>
  <c r="C99" i="5"/>
  <c r="B305" i="5"/>
  <c r="B330" i="5"/>
  <c r="C227" i="5"/>
  <c r="B2183" i="5"/>
  <c r="B2305" i="5"/>
  <c r="B2188" i="5"/>
  <c r="B2258" i="5"/>
  <c r="B2327" i="5"/>
  <c r="B2099" i="5"/>
  <c r="B2163" i="5"/>
  <c r="B2227" i="5"/>
  <c r="B2008" i="5"/>
  <c r="B2072" i="5"/>
  <c r="B2136" i="5"/>
  <c r="B2200" i="5"/>
  <c r="B2266" i="5"/>
  <c r="B2322" i="5"/>
  <c r="B2321" i="5"/>
  <c r="B2246" i="5"/>
  <c r="B2310" i="5"/>
  <c r="B2460" i="5"/>
  <c r="B2454" i="5"/>
  <c r="B2504" i="5"/>
  <c r="B2368" i="5"/>
  <c r="B2351" i="5"/>
  <c r="B2383" i="5"/>
  <c r="B2415" i="5"/>
  <c r="B2431" i="5"/>
  <c r="B2447" i="5"/>
  <c r="B2463" i="5"/>
  <c r="B2479" i="5"/>
  <c r="B2495" i="5"/>
  <c r="B2511" i="5"/>
  <c r="D612" i="5"/>
  <c r="C458" i="5"/>
  <c r="B403" i="5"/>
  <c r="D372" i="5"/>
  <c r="C347" i="5"/>
  <c r="B322" i="5"/>
  <c r="B297" i="5"/>
  <c r="D269" i="5"/>
  <c r="D244" i="5"/>
  <c r="C219" i="5"/>
  <c r="B194" i="5"/>
  <c r="C570" i="5"/>
  <c r="C446" i="5"/>
  <c r="D400" i="5"/>
  <c r="B379" i="5"/>
  <c r="D351" i="5"/>
  <c r="D326" i="5"/>
  <c r="C301" i="5"/>
  <c r="B276" i="5"/>
  <c r="B251" i="5"/>
  <c r="D223" i="5"/>
  <c r="D198" i="5"/>
  <c r="B1015" i="5"/>
  <c r="C400" i="5"/>
  <c r="C143" i="5"/>
  <c r="C426" i="5"/>
  <c r="B159" i="5"/>
  <c r="B616" i="5"/>
  <c r="C867" i="5"/>
  <c r="B385" i="5"/>
  <c r="B269" i="5"/>
  <c r="D67" i="5"/>
  <c r="D23" i="5"/>
  <c r="D186" i="5"/>
  <c r="D113" i="5"/>
  <c r="D339" i="5"/>
  <c r="D77" i="5"/>
  <c r="D11" i="5"/>
  <c r="D195" i="5"/>
  <c r="D344" i="5"/>
  <c r="D53" i="5"/>
  <c r="D229" i="5"/>
  <c r="D426" i="5"/>
  <c r="D79" i="5"/>
  <c r="D250" i="5"/>
  <c r="D809" i="5"/>
  <c r="C177" i="5"/>
  <c r="B33" i="5"/>
  <c r="C367" i="5"/>
  <c r="C321" i="5"/>
  <c r="B61" i="5"/>
  <c r="C438" i="5"/>
  <c r="C259" i="5"/>
  <c r="B71" i="5"/>
  <c r="C416" i="5"/>
  <c r="C93" i="5"/>
  <c r="C896" i="5"/>
  <c r="B285" i="5"/>
  <c r="B81" i="5"/>
  <c r="B317" i="5"/>
  <c r="C109" i="5"/>
  <c r="C590" i="5"/>
  <c r="B301" i="5"/>
  <c r="C19" i="5"/>
  <c r="C454" i="5"/>
  <c r="C398" i="5"/>
  <c r="D164" i="5"/>
  <c r="B398" i="5"/>
  <c r="B196" i="5"/>
  <c r="B917" i="5"/>
  <c r="B168" i="5"/>
  <c r="B475" i="5"/>
  <c r="C622" i="5"/>
  <c r="B360" i="5"/>
  <c r="B257" i="5"/>
  <c r="D9" i="5"/>
  <c r="D170" i="5"/>
  <c r="D348" i="5"/>
  <c r="D204" i="5"/>
  <c r="D373" i="5"/>
  <c r="D69" i="5"/>
  <c r="D241" i="5"/>
  <c r="D448" i="5"/>
  <c r="D95" i="5"/>
  <c r="D291" i="5"/>
  <c r="D929" i="5"/>
  <c r="B153" i="5"/>
  <c r="B342" i="5"/>
  <c r="B202" i="5"/>
  <c r="C397" i="5"/>
  <c r="C239" i="5"/>
  <c r="C351" i="5"/>
  <c r="C472" i="5"/>
  <c r="B264" i="5"/>
  <c r="C243" i="5"/>
  <c r="C129" i="5"/>
  <c r="D450" i="5"/>
  <c r="C393" i="5"/>
  <c r="D212" i="5"/>
  <c r="B162" i="5"/>
  <c r="B427" i="5"/>
  <c r="C395" i="5"/>
  <c r="D191" i="5"/>
  <c r="D166" i="5"/>
  <c r="C739" i="5"/>
  <c r="B723" i="5"/>
  <c r="B184" i="5"/>
  <c r="C464" i="5"/>
  <c r="C339" i="5"/>
  <c r="B232" i="5"/>
  <c r="D168" i="5"/>
  <c r="D209" i="5"/>
  <c r="D218" i="5"/>
  <c r="D211" i="5"/>
  <c r="D360" i="5"/>
  <c r="D216" i="5"/>
  <c r="D385" i="5"/>
  <c r="D300" i="5"/>
  <c r="B696" i="5"/>
  <c r="B137" i="5"/>
  <c r="B335" i="5"/>
  <c r="C371" i="5"/>
  <c r="B214" i="5"/>
  <c r="C305" i="5"/>
  <c r="C422" i="5"/>
  <c r="B186" i="5"/>
  <c r="B230" i="5"/>
  <c r="G13" i="6" l="1"/>
  <c r="H13" i="6" s="1"/>
  <c r="J10" i="6"/>
  <c r="K10" i="6" s="1"/>
  <c r="I11" i="6" s="1"/>
  <c r="H13" i="3"/>
  <c r="G13" i="3"/>
  <c r="H12" i="3"/>
  <c r="G12" i="3"/>
  <c r="H18" i="3"/>
  <c r="I17" i="3"/>
  <c r="G18" i="3"/>
  <c r="I16" i="3"/>
  <c r="H16" i="3"/>
  <c r="G17" i="3"/>
  <c r="G14" i="6" l="1"/>
  <c r="H14" i="6" s="1"/>
  <c r="J11" i="6"/>
  <c r="K11" i="6" s="1"/>
  <c r="I12" i="6" s="1"/>
  <c r="J12" i="6" s="1"/>
  <c r="K12" i="6" s="1"/>
  <c r="I13" i="6" s="1"/>
  <c r="G21" i="3" a="1"/>
  <c r="G21" i="3" s="1"/>
  <c r="G15" i="6" l="1"/>
  <c r="H15" i="6" s="1"/>
  <c r="J13" i="6"/>
  <c r="K13" i="6" s="1"/>
  <c r="I14" i="6" s="1"/>
  <c r="H18" i="1"/>
  <c r="I18" i="1" s="1"/>
  <c r="H35" i="1"/>
  <c r="I35" i="1" s="1"/>
  <c r="H43" i="1"/>
  <c r="I43" i="1" s="1"/>
  <c r="H10" i="1"/>
  <c r="I10" i="1" s="1"/>
  <c r="H27" i="1"/>
  <c r="I27" i="1" s="1"/>
  <c r="H16" i="1"/>
  <c r="I16" i="1" s="1"/>
  <c r="H30" i="1"/>
  <c r="I30" i="1" s="1"/>
  <c r="H5" i="1"/>
  <c r="I5" i="1" s="1"/>
  <c r="H19" i="1"/>
  <c r="I19" i="1" s="1"/>
  <c r="H33" i="1"/>
  <c r="I33" i="1" s="1"/>
  <c r="H8" i="1"/>
  <c r="I8" i="1" s="1"/>
  <c r="H22" i="1"/>
  <c r="I22" i="1" s="1"/>
  <c r="H36" i="1"/>
  <c r="I36" i="1" s="1"/>
  <c r="H32" i="1"/>
  <c r="I32" i="1" s="1"/>
  <c r="H24" i="1"/>
  <c r="I24" i="1" s="1"/>
  <c r="H41" i="1"/>
  <c r="I41" i="1" s="1"/>
  <c r="H11" i="1"/>
  <c r="I11" i="1" s="1"/>
  <c r="H25" i="1"/>
  <c r="I25" i="1" s="1"/>
  <c r="H39" i="1"/>
  <c r="I39" i="1" s="1"/>
  <c r="H14" i="1"/>
  <c r="I14" i="1" s="1"/>
  <c r="H28" i="1"/>
  <c r="I28" i="1" s="1"/>
  <c r="H7" i="1"/>
  <c r="I7" i="1" s="1"/>
  <c r="H13" i="1"/>
  <c r="I13" i="1" s="1"/>
  <c r="H42" i="1"/>
  <c r="I42" i="1" s="1"/>
  <c r="H17" i="1"/>
  <c r="I17" i="1" s="1"/>
  <c r="H31" i="1"/>
  <c r="I31" i="1" s="1"/>
  <c r="H6" i="1"/>
  <c r="I6" i="1" s="1"/>
  <c r="H20" i="1"/>
  <c r="I20" i="1" s="1"/>
  <c r="H21" i="1"/>
  <c r="I21" i="1" s="1"/>
  <c r="H38" i="1"/>
  <c r="I38" i="1" s="1"/>
  <c r="H34" i="1"/>
  <c r="I34" i="1" s="1"/>
  <c r="H9" i="1"/>
  <c r="I9" i="1" s="1"/>
  <c r="H23" i="1"/>
  <c r="I23" i="1" s="1"/>
  <c r="H37" i="1"/>
  <c r="I37" i="1" s="1"/>
  <c r="H12" i="1"/>
  <c r="I12" i="1" s="1"/>
  <c r="H26" i="1"/>
  <c r="I26" i="1" s="1"/>
  <c r="H40" i="1"/>
  <c r="I40" i="1" s="1"/>
  <c r="H15" i="1"/>
  <c r="I15" i="1" s="1"/>
  <c r="H29" i="1"/>
  <c r="I29" i="1" s="1"/>
  <c r="H4" i="1"/>
  <c r="I4" i="1" s="1"/>
  <c r="H3" i="1"/>
  <c r="I3" i="1" s="1"/>
  <c r="G16" i="6" l="1"/>
  <c r="H16" i="6" s="1"/>
  <c r="J14" i="6"/>
  <c r="K14" i="6" s="1"/>
  <c r="I15" i="6" s="1"/>
  <c r="G17" i="6" l="1"/>
  <c r="J15" i="6"/>
  <c r="K15" i="6" s="1"/>
  <c r="I16" i="6" s="1"/>
  <c r="H17" i="6" l="1"/>
  <c r="G18" i="6"/>
  <c r="J16" i="6"/>
  <c r="K16" i="6" s="1"/>
  <c r="I17" i="6" s="1"/>
  <c r="H18" i="6" l="1"/>
  <c r="G19" i="6"/>
  <c r="J17" i="6"/>
  <c r="K17" i="6" s="1"/>
  <c r="I18" i="6" l="1"/>
  <c r="J18" i="6" s="1"/>
  <c r="K18" i="6" s="1"/>
  <c r="I19" i="6" s="1"/>
  <c r="H19" i="6"/>
  <c r="G20" i="6"/>
  <c r="I20" i="6" l="1"/>
  <c r="J20" i="6"/>
  <c r="G21" i="6"/>
  <c r="K20" i="6"/>
  <c r="J19" i="6"/>
  <c r="K19" i="6" s="1"/>
  <c r="H20" i="6" s="1"/>
  <c r="K21" i="6" l="1"/>
  <c r="H21" i="6"/>
  <c r="I21" i="6"/>
  <c r="J21" i="6"/>
  <c r="G22" i="6"/>
  <c r="C12" i="6"/>
  <c r="C11" i="6"/>
  <c r="G23" i="6" l="1"/>
  <c r="I22" i="6"/>
  <c r="J22" i="6"/>
  <c r="K22" i="6"/>
  <c r="H22" i="6"/>
  <c r="J23" i="6" l="1"/>
  <c r="K23" i="6"/>
  <c r="I23" i="6"/>
  <c r="H23" i="6"/>
  <c r="G24" i="6"/>
  <c r="I24" i="6" l="1"/>
  <c r="J24" i="6"/>
  <c r="K24" i="6"/>
  <c r="H24" i="6"/>
  <c r="G25" i="6"/>
  <c r="J25" i="6" l="1"/>
  <c r="I25" i="6"/>
  <c r="K25" i="6"/>
  <c r="H25" i="6"/>
  <c r="G26" i="6"/>
  <c r="I26" i="6" l="1"/>
  <c r="J26" i="6"/>
  <c r="H26" i="6"/>
  <c r="K26" i="6"/>
  <c r="G27" i="6"/>
  <c r="H27" i="6" l="1"/>
  <c r="K27" i="6"/>
  <c r="I27" i="6"/>
  <c r="G28" i="6"/>
  <c r="J27" i="6"/>
  <c r="I28" i="6" l="1"/>
  <c r="J28" i="6"/>
  <c r="K28" i="6"/>
  <c r="H28" i="6"/>
  <c r="G29" i="6"/>
  <c r="J29" i="6" l="1"/>
  <c r="K29" i="6"/>
  <c r="H29" i="6"/>
  <c r="I29" i="6"/>
  <c r="G30" i="6"/>
  <c r="I30" i="6" l="1"/>
  <c r="K30" i="6"/>
  <c r="H30" i="6"/>
  <c r="J30" i="6"/>
  <c r="G31" i="6"/>
  <c r="K31" i="6" l="1"/>
  <c r="J31" i="6"/>
  <c r="I31" i="6"/>
  <c r="H31" i="6"/>
  <c r="G32" i="6"/>
  <c r="G33" i="6" l="1"/>
  <c r="I32" i="6"/>
  <c r="J32" i="6"/>
  <c r="K32" i="6"/>
  <c r="H32" i="6"/>
  <c r="I33" i="6" l="1"/>
  <c r="H33" i="6"/>
  <c r="G34" i="6"/>
  <c r="K33" i="6"/>
  <c r="J33" i="6"/>
  <c r="I34" i="6" l="1"/>
  <c r="J34" i="6"/>
  <c r="K34" i="6"/>
  <c r="H34" i="6"/>
  <c r="G35" i="6"/>
  <c r="J35" i="6" l="1"/>
  <c r="I35" i="6"/>
  <c r="K35" i="6"/>
  <c r="H35" i="6"/>
  <c r="G36" i="6"/>
  <c r="I36" i="6" l="1"/>
  <c r="K36" i="6"/>
  <c r="G37" i="6"/>
  <c r="J36" i="6"/>
  <c r="H36" i="6"/>
  <c r="H37" i="6" l="1"/>
  <c r="J37" i="6"/>
  <c r="I37" i="6"/>
  <c r="K37" i="6"/>
  <c r="G38" i="6"/>
  <c r="H38" i="6" l="1"/>
  <c r="J38" i="6"/>
  <c r="K38" i="6"/>
  <c r="G39" i="6"/>
  <c r="I38" i="6"/>
  <c r="I39" i="6" l="1"/>
  <c r="J39" i="6"/>
  <c r="G40" i="6"/>
  <c r="H39" i="6"/>
  <c r="K39" i="6"/>
  <c r="J40" i="6" l="1"/>
  <c r="K40" i="6"/>
  <c r="I40" i="6"/>
  <c r="G41" i="6"/>
  <c r="H40" i="6"/>
  <c r="J41" i="6" l="1"/>
  <c r="H41" i="6"/>
  <c r="I41" i="6"/>
  <c r="K41" i="6"/>
  <c r="G42" i="6"/>
  <c r="K42" i="6" l="1"/>
  <c r="G43" i="6"/>
  <c r="I42" i="6"/>
  <c r="J42" i="6"/>
  <c r="H42" i="6"/>
  <c r="I43" i="6" l="1"/>
  <c r="J43" i="6"/>
  <c r="G44" i="6"/>
  <c r="H43" i="6"/>
  <c r="K43" i="6"/>
  <c r="I44" i="6" l="1"/>
  <c r="K44" i="6"/>
  <c r="G45" i="6"/>
  <c r="H44" i="6"/>
  <c r="J44" i="6"/>
  <c r="H45" i="6" l="1"/>
  <c r="K45" i="6"/>
  <c r="G46" i="6"/>
  <c r="I45" i="6"/>
  <c r="J45" i="6"/>
  <c r="J46" i="6" l="1"/>
  <c r="I46" i="6"/>
  <c r="K46" i="6"/>
  <c r="H46" i="6"/>
  <c r="G47" i="6"/>
  <c r="I47" i="6" l="1"/>
  <c r="J47" i="6"/>
  <c r="H47" i="6"/>
  <c r="K47" i="6"/>
  <c r="G48" i="6"/>
  <c r="I48" i="6" l="1"/>
  <c r="H48" i="6"/>
  <c r="J48" i="6"/>
  <c r="K48" i="6"/>
  <c r="G49" i="6"/>
  <c r="I49" i="6" l="1"/>
  <c r="K49" i="6"/>
  <c r="H49" i="6"/>
  <c r="J49" i="6"/>
  <c r="G50" i="6"/>
  <c r="H50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<sst xmlns="http://schemas.openxmlformats.org/spreadsheetml/2006/main" count="202" uniqueCount="70">
  <si>
    <t>Actions </t>
  </si>
  <si>
    <t>Obligations </t>
  </si>
  <si>
    <t>Monétaire </t>
  </si>
  <si>
    <t>(MSDEE15N Index) </t>
  </si>
  <si>
    <t>(LBEATREU Index) </t>
  </si>
  <si>
    <t>(OISESTR Index) </t>
  </si>
  <si>
    <t>Année / Horizon </t>
  </si>
  <si>
    <t>Rendement</t>
  </si>
  <si>
    <t>Variance</t>
  </si>
  <si>
    <t>Volatilité</t>
  </si>
  <si>
    <t>Actions</t>
  </si>
  <si>
    <t>Obligations</t>
  </si>
  <si>
    <t>Monétaires</t>
  </si>
  <si>
    <t>Corrélation</t>
  </si>
  <si>
    <t>MSDEE15N Index</t>
  </si>
  <si>
    <t>LBEATREU Index</t>
  </si>
  <si>
    <t>OISEONIA Index</t>
  </si>
  <si>
    <t>OISESTR Index (EONIA Rebased + OISESTR)</t>
  </si>
  <si>
    <t>Covar</t>
  </si>
  <si>
    <t>Ecart-type</t>
  </si>
  <si>
    <t>Salarié</t>
  </si>
  <si>
    <t>Versement</t>
  </si>
  <si>
    <t>Profil</t>
  </si>
  <si>
    <t xml:space="preserve">Equilibré </t>
  </si>
  <si>
    <t>Horizon</t>
  </si>
  <si>
    <t>Hypothèses Salarié</t>
  </si>
  <si>
    <t>Métriques</t>
  </si>
  <si>
    <t>TRI</t>
  </si>
  <si>
    <t>Flux total</t>
  </si>
  <si>
    <t>Année</t>
  </si>
  <si>
    <t>Flux</t>
  </si>
  <si>
    <t>Périodicité des versements (en année)</t>
  </si>
  <si>
    <t>versement</t>
  </si>
  <si>
    <t>Montant début de période</t>
  </si>
  <si>
    <t>Calcul des intérêts</t>
  </si>
  <si>
    <t>Montant de fin de période</t>
  </si>
  <si>
    <t>Salarié A</t>
  </si>
  <si>
    <t>Salarié B</t>
  </si>
  <si>
    <t>Salarié C</t>
  </si>
  <si>
    <t>Salarié D</t>
  </si>
  <si>
    <t>Calcul avec hypothèse de rendement LT</t>
  </si>
  <si>
    <t>Durée de l'investissement</t>
  </si>
  <si>
    <t>Calcul avec performances historiques - Benchmark</t>
  </si>
  <si>
    <t>Calcul avec performances historiques - Nouveaux piliers</t>
  </si>
  <si>
    <t>Pilier Action</t>
  </si>
  <si>
    <t>Pilier obligataire</t>
  </si>
  <si>
    <t>Pilier monétaire</t>
  </si>
  <si>
    <t>Synthèse des calculs de TRI</t>
  </si>
  <si>
    <t>Prime de risque de diversification</t>
  </si>
  <si>
    <t>Prime de risque - profil proche de la retraite</t>
  </si>
  <si>
    <t>Prime de risque - profil médian</t>
  </si>
  <si>
    <t>Prime de risque - profil éloigné de la retraite</t>
  </si>
  <si>
    <t>Prime de risque moyenne de la grille</t>
  </si>
  <si>
    <t>Dynamique</t>
  </si>
  <si>
    <t>Calcul avec performances historiques - Nouveaux piliers, grille dynamique</t>
  </si>
  <si>
    <t xml:space="preserve">Ce fichier Excel agit comme un tableau de bord qui permet : </t>
  </si>
  <si>
    <t xml:space="preserve"> - d'identifier facilement les métriques de grille, comme les rendements, la volatilité,</t>
  </si>
  <si>
    <t xml:space="preserve"> - de calculer les taux de rendement interne pour une typologie variée de clients en fonction de rendements annuels, </t>
  </si>
  <si>
    <t xml:space="preserve"> - de calculer la prime de diversification après changements de piliers.</t>
  </si>
  <si>
    <t xml:space="preserve">L'utilisateur peut se repérer comme suit : </t>
  </si>
  <si>
    <t xml:space="preserve"> - La feuille "Résultat" permet de calculer une prime de diversification sur la base de TRI calculés pour, ici, 4 clients différents. </t>
  </si>
  <si>
    <t xml:space="preserve"> - Les onglets jaunes correspondent aux éléments initiaux (grille équilibre initiale, hypothèses de long terme, piliers initiaux), </t>
  </si>
  <si>
    <t xml:space="preserve"> - Les feuilles vertes correspondent aux calculs similaires mais sur la base des rendements annuels réels, </t>
  </si>
  <si>
    <t xml:space="preserve"> - Les feuilles bleues correspondent aux calculs de TRI et de rendements pour la grille initiale sur la base des rendements hypothétiques de long terme,</t>
  </si>
  <si>
    <t xml:space="preserve"> - Les feuilles roses correspondent aux calculs de TRI et rendements annuels des nouveaux piliers (récupérés via la classe "Metrics" du code Python associé), </t>
  </si>
  <si>
    <t xml:space="preserve"> - Les feuilles violettes correspondent aux mêmes calculs, mais avec une grille dynamique. </t>
  </si>
  <si>
    <t xml:space="preserve">Pour calculer un TRI, l'utilisateur doit se rendre sur la feuille correspondant aux piliers qu'il souhaite tester, et : </t>
  </si>
  <si>
    <t xml:space="preserve"> - renseigner le montant et la périodicité des virements, </t>
  </si>
  <si>
    <t xml:space="preserve"> - renseigner la durée d'investissement, </t>
  </si>
  <si>
    <t xml:space="preserve"> - renseigner l'horizon avant la retraite sur lequel le client est entré.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</si>
</sst>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ptos Narrow"/>
      <family val="2"/>
      <scheme val="minor"/>
    </font>
    <font>
      <i/>
      <sz val="12"/>
      <color rgb="FF174E86"/>
      <name val="Aptos"/>
      <family val="2"/>
    </font>
    <font>
      <sz val="12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000000"/>
      <name val="Aptos Narrow"/>
      <family val="2"/>
    </font>
    <font>
      <b/>
      <u/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/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medium">
        <color rgb="FF909090"/>
      </left>
      <right style="medium">
        <color rgb="FF909090"/>
      </right>
      <top/>
      <bottom style="medium">
        <color rgb="FF909090"/>
      </bottom>
      <diagonal/>
    </border>
    <border>
      <left/>
      <right style="medium">
        <color rgb="FF909090"/>
      </right>
      <top/>
      <bottom style="medium">
        <color rgb="FF90909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1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2" fontId="1" fillId="0" borderId="3" xfId="0" applyNumberFormat="1" applyFont="1" applyBorder="1" applyAlignment="1">
      <alignment horizontal="center" vertical="center" wrapText="1"/>
    </xf>
    <xf numFmtId="2" fontId="1" fillId="0" borderId="4" xfId="0" applyNumberFormat="1" applyFont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5" xfId="0" applyBorder="1"/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6" xfId="0" applyBorder="1"/>
    <xf numFmtId="0" fontId="0" fillId="0" borderId="17" xfId="0" applyBorder="1"/>
    <xf numFmtId="10" fontId="0" fillId="0" borderId="0" xfId="0" applyNumberFormat="1" applyAlignment="1">
      <alignment horizontal="center" vertical="center"/>
    </xf>
    <xf numFmtId="14" fontId="3" fillId="0" borderId="13" xfId="0" applyNumberFormat="1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14" fontId="3" fillId="0" borderId="15" xfId="0" applyNumberFormat="1" applyFont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4" fontId="4" fillId="0" borderId="16" xfId="0" applyNumberFormat="1" applyFont="1" applyBorder="1" applyAlignment="1">
      <alignment vertical="center"/>
    </xf>
    <xf numFmtId="14" fontId="4" fillId="0" borderId="19" xfId="0" applyNumberFormat="1" applyFont="1" applyBorder="1" applyAlignment="1">
      <alignment vertical="center"/>
    </xf>
    <xf numFmtId="14" fontId="4" fillId="0" borderId="17" xfId="0" applyNumberFormat="1" applyFont="1" applyBorder="1" applyAlignment="1">
      <alignment vertical="center"/>
    </xf>
    <xf numFmtId="10" fontId="0" fillId="0" borderId="0" xfId="1" applyNumberFormat="1" applyFont="1"/>
    <xf numFmtId="9" fontId="0" fillId="0" borderId="11" xfId="1" applyFont="1" applyBorder="1" applyAlignment="1">
      <alignment horizontal="center" vertical="center"/>
    </xf>
    <xf numFmtId="10" fontId="0" fillId="0" borderId="11" xfId="1" applyNumberFormat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10" fontId="0" fillId="0" borderId="12" xfId="1" applyNumberFormat="1" applyFont="1" applyBorder="1" applyAlignment="1">
      <alignment horizontal="center" vertical="center"/>
    </xf>
    <xf numFmtId="10" fontId="0" fillId="0" borderId="5" xfId="1" applyNumberFormat="1" applyFont="1" applyBorder="1"/>
    <xf numFmtId="10" fontId="0" fillId="0" borderId="6" xfId="1" applyNumberFormat="1" applyFont="1" applyBorder="1"/>
    <xf numFmtId="10" fontId="0" fillId="0" borderId="7" xfId="1" applyNumberFormat="1" applyFont="1" applyBorder="1"/>
    <xf numFmtId="10" fontId="0" fillId="0" borderId="8" xfId="1" applyNumberFormat="1" applyFont="1" applyBorder="1"/>
    <xf numFmtId="10" fontId="0" fillId="0" borderId="0" xfId="1" applyNumberFormat="1" applyFont="1" applyBorder="1"/>
    <xf numFmtId="10" fontId="0" fillId="0" borderId="9" xfId="1" applyNumberFormat="1" applyFont="1" applyBorder="1"/>
    <xf numFmtId="10" fontId="0" fillId="0" borderId="10" xfId="1" applyNumberFormat="1" applyFont="1" applyBorder="1"/>
    <xf numFmtId="10" fontId="0" fillId="0" borderId="11" xfId="1" applyNumberFormat="1" applyFont="1" applyBorder="1"/>
    <xf numFmtId="10" fontId="0" fillId="0" borderId="12" xfId="1" applyNumberFormat="1" applyFont="1" applyBorder="1"/>
    <xf numFmtId="9" fontId="0" fillId="0" borderId="5" xfId="1" applyFont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9" fontId="0" fillId="0" borderId="8" xfId="1" applyFont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9" fontId="0" fillId="0" borderId="9" xfId="1" applyFont="1" applyBorder="1" applyAlignment="1">
      <alignment horizontal="center" vertical="center"/>
    </xf>
    <xf numFmtId="9" fontId="0" fillId="0" borderId="10" xfId="1" applyFont="1" applyBorder="1" applyAlignment="1">
      <alignment horizontal="center" vertical="center"/>
    </xf>
    <xf numFmtId="10" fontId="0" fillId="0" borderId="5" xfId="1" applyNumberFormat="1" applyFont="1" applyBorder="1" applyAlignment="1">
      <alignment horizontal="center" vertical="center"/>
    </xf>
    <xf numFmtId="10" fontId="0" fillId="0" borderId="6" xfId="1" applyNumberFormat="1" applyFont="1" applyBorder="1" applyAlignment="1">
      <alignment horizontal="center" vertical="center"/>
    </xf>
    <xf numFmtId="10" fontId="0" fillId="0" borderId="7" xfId="1" applyNumberFormat="1" applyFont="1" applyBorder="1" applyAlignment="1">
      <alignment horizontal="center" vertical="center"/>
    </xf>
    <xf numFmtId="10" fontId="0" fillId="0" borderId="8" xfId="1" applyNumberFormat="1" applyFont="1" applyBorder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10" fontId="0" fillId="0" borderId="9" xfId="1" applyNumberFormat="1" applyFont="1" applyBorder="1" applyAlignment="1">
      <alignment horizontal="center" vertical="center"/>
    </xf>
    <xf numFmtId="10" fontId="0" fillId="0" borderId="10" xfId="1" applyNumberFormat="1" applyFont="1" applyBorder="1" applyAlignment="1">
      <alignment horizontal="center" vertical="center"/>
    </xf>
    <xf numFmtId="10" fontId="1" fillId="0" borderId="0" xfId="1" applyNumberFormat="1" applyFont="1" applyAlignment="1">
      <alignment vertical="center" wrapText="1"/>
    </xf>
    <xf numFmtId="0" fontId="0" fillId="0" borderId="19" xfId="0" applyBorder="1"/>
    <xf numFmtId="2" fontId="1" fillId="0" borderId="0" xfId="0" applyNumberFormat="1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2" borderId="16" xfId="0" applyFill="1" applyBorder="1"/>
    <xf numFmtId="0" fontId="0" fillId="2" borderId="19" xfId="0" applyFill="1" applyBorder="1"/>
    <xf numFmtId="0" fontId="0" fillId="2" borderId="17" xfId="0" applyFill="1" applyBorder="1"/>
    <xf numFmtId="0" fontId="0" fillId="3" borderId="9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0" xfId="0" quotePrefix="1"/>
    <xf numFmtId="10" fontId="0" fillId="4" borderId="0" xfId="0" applyNumberFormat="1" applyFill="1" applyAlignment="1">
      <alignment horizontal="center" vertical="center"/>
    </xf>
    <xf numFmtId="10" fontId="0" fillId="4" borderId="9" xfId="0" applyNumberFormat="1" applyFill="1" applyBorder="1" applyAlignment="1">
      <alignment horizontal="center" vertical="center"/>
    </xf>
    <xf numFmtId="10" fontId="0" fillId="4" borderId="11" xfId="1" applyNumberFormat="1" applyFont="1" applyFill="1" applyBorder="1" applyAlignment="1">
      <alignment horizontal="center" vertical="center"/>
    </xf>
    <xf numFmtId="10" fontId="0" fillId="4" borderId="12" xfId="1" applyNumberFormat="1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0" fontId="0" fillId="0" borderId="8" xfId="1" applyNumberFormat="1" applyFont="1" applyBorder="1" applyAlignment="1">
      <alignment horizontal="center"/>
    </xf>
    <xf numFmtId="10" fontId="0" fillId="0" borderId="9" xfId="0" applyNumberFormat="1" applyBorder="1"/>
    <xf numFmtId="14" fontId="3" fillId="0" borderId="5" xfId="0" applyNumberFormat="1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10" fontId="0" fillId="0" borderId="0" xfId="0" applyNumberFormat="1"/>
    <xf numFmtId="2" fontId="0" fillId="0" borderId="0" xfId="0" applyNumberFormat="1"/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 vertical="center"/>
    </xf>
    <xf numFmtId="10" fontId="0" fillId="0" borderId="6" xfId="0" applyNumberFormat="1" applyBorder="1"/>
    <xf numFmtId="10" fontId="0" fillId="0" borderId="11" xfId="0" applyNumberFormat="1" applyBorder="1"/>
    <xf numFmtId="10" fontId="0" fillId="0" borderId="5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0" xfId="0" quotePrefix="1" applyBorder="1"/>
    <xf numFmtId="0" fontId="7" fillId="0" borderId="0" xfId="0" applyFont="1" applyBorder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de</a:t>
            </a:r>
            <a:r>
              <a:rPr lang="fr-FR" baseline="0"/>
              <a:t> l'allocation en fonction de l'horizon de retraite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v>Actions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'Poids Allocation'!$A$3:$A$43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Allocation'!$B$3:$B$43</c:f>
              <c:numCache>
                <c:formatCode>0.00</c:formatCode>
                <c:ptCount val="4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0.88</c:v>
                </c:pt>
                <c:pt idx="25">
                  <c:v>0.85</c:v>
                </c:pt>
                <c:pt idx="26">
                  <c:v>0.82</c:v>
                </c:pt>
                <c:pt idx="27">
                  <c:v>0.77</c:v>
                </c:pt>
                <c:pt idx="28">
                  <c:v>0.7</c:v>
                </c:pt>
                <c:pt idx="29">
                  <c:v>0.63</c:v>
                </c:pt>
                <c:pt idx="30">
                  <c:v>0.54</c:v>
                </c:pt>
                <c:pt idx="31">
                  <c:v>0.44</c:v>
                </c:pt>
                <c:pt idx="32">
                  <c:v>0.34</c:v>
                </c:pt>
                <c:pt idx="33">
                  <c:v>0.25</c:v>
                </c:pt>
                <c:pt idx="34">
                  <c:v>0.16</c:v>
                </c:pt>
                <c:pt idx="35">
                  <c:v>0.1</c:v>
                </c:pt>
                <c:pt idx="36">
                  <c:v>0.05</c:v>
                </c:pt>
                <c:pt idx="37">
                  <c:v>0.02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0-B74A-BC5D-58B6377359CA}"/>
            </c:ext>
          </c:extLst>
        </c:ser>
        <c:ser>
          <c:idx val="1"/>
          <c:order val="1"/>
          <c:tx>
            <c:v>Obligations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'Poids Allocation'!$A$3:$A$43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Allocation'!$C$3:$C$43</c:f>
              <c:numCache>
                <c:formatCode>0.00</c:formatCode>
                <c:ptCount val="4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0.12</c:v>
                </c:pt>
                <c:pt idx="25">
                  <c:v>0.15</c:v>
                </c:pt>
                <c:pt idx="26">
                  <c:v>0.18</c:v>
                </c:pt>
                <c:pt idx="27">
                  <c:v>0.23</c:v>
                </c:pt>
                <c:pt idx="28">
                  <c:v>0.3</c:v>
                </c:pt>
                <c:pt idx="29">
                  <c:v>0.36</c:v>
                </c:pt>
                <c:pt idx="30">
                  <c:v>0.43</c:v>
                </c:pt>
                <c:pt idx="31">
                  <c:v>0.5</c:v>
                </c:pt>
                <c:pt idx="32">
                  <c:v>0.56000000000000005</c:v>
                </c:pt>
                <c:pt idx="33">
                  <c:v>0.59</c:v>
                </c:pt>
                <c:pt idx="34">
                  <c:v>0.6</c:v>
                </c:pt>
                <c:pt idx="35">
                  <c:v>0.56999999999999995</c:v>
                </c:pt>
                <c:pt idx="36">
                  <c:v>0.51</c:v>
                </c:pt>
                <c:pt idx="37">
                  <c:v>0.42</c:v>
                </c:pt>
                <c:pt idx="38">
                  <c:v>0.28999999999999998</c:v>
                </c:pt>
                <c:pt idx="39">
                  <c:v>0.1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0-B74A-BC5D-58B6377359CA}"/>
            </c:ext>
          </c:extLst>
        </c:ser>
        <c:ser>
          <c:idx val="2"/>
          <c:order val="2"/>
          <c:tx>
            <c:v>Monétaire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'Poids Allocation'!$A$3:$A$43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Allocation'!$D$3:$D$43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0.01</c:v>
                </c:pt>
                <c:pt idx="30">
                  <c:v>0.03</c:v>
                </c:pt>
                <c:pt idx="31">
                  <c:v>0.06</c:v>
                </c:pt>
                <c:pt idx="32">
                  <c:v>0.1</c:v>
                </c:pt>
                <c:pt idx="33">
                  <c:v>0.16</c:v>
                </c:pt>
                <c:pt idx="34">
                  <c:v>0.24</c:v>
                </c:pt>
                <c:pt idx="35">
                  <c:v>0.33</c:v>
                </c:pt>
                <c:pt idx="36">
                  <c:v>0.44</c:v>
                </c:pt>
                <c:pt idx="37">
                  <c:v>0.56000000000000005</c:v>
                </c:pt>
                <c:pt idx="38">
                  <c:v>0.71</c:v>
                </c:pt>
                <c:pt idx="39">
                  <c:v>0.9</c:v>
                </c:pt>
                <c:pt idx="4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0-B74A-BC5D-58B63773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089616"/>
        <c:axId val="1257040943"/>
      </c:areaChart>
      <c:catAx>
        <c:axId val="1947089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7040943"/>
        <c:crosses val="autoZero"/>
        <c:auto val="1"/>
        <c:lblAlgn val="ctr"/>
        <c:lblOffset val="100"/>
        <c:noMultiLvlLbl val="0"/>
      </c:catAx>
      <c:valAx>
        <c:axId val="1257040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708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Rendement</a:t>
            </a:r>
            <a:r>
              <a:rPr lang="fr-FR" baseline="0"/>
              <a:t> annuel</a:t>
            </a:r>
            <a:r>
              <a:rPr lang="fr-FR"/>
              <a:t> en fonction de l'horizon d'investissement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'Poids Allocation'!$A$3:$A$43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Allocation'!$G$3:$G$43</c:f>
              <c:numCache>
                <c:formatCode>0.00%</c:formatCode>
                <c:ptCount val="41"/>
                <c:pt idx="0">
                  <c:v>5.7500000000000002E-2</c:v>
                </c:pt>
                <c:pt idx="1">
                  <c:v>5.7500000000000002E-2</c:v>
                </c:pt>
                <c:pt idx="2">
                  <c:v>5.7500000000000002E-2</c:v>
                </c:pt>
                <c:pt idx="3">
                  <c:v>5.7500000000000002E-2</c:v>
                </c:pt>
                <c:pt idx="4">
                  <c:v>5.7500000000000002E-2</c:v>
                </c:pt>
                <c:pt idx="5">
                  <c:v>5.7500000000000002E-2</c:v>
                </c:pt>
                <c:pt idx="6">
                  <c:v>5.7500000000000002E-2</c:v>
                </c:pt>
                <c:pt idx="7">
                  <c:v>5.7500000000000002E-2</c:v>
                </c:pt>
                <c:pt idx="8">
                  <c:v>5.7500000000000002E-2</c:v>
                </c:pt>
                <c:pt idx="9">
                  <c:v>5.7500000000000002E-2</c:v>
                </c:pt>
                <c:pt idx="10">
                  <c:v>5.7500000000000002E-2</c:v>
                </c:pt>
                <c:pt idx="11">
                  <c:v>5.7500000000000002E-2</c:v>
                </c:pt>
                <c:pt idx="12">
                  <c:v>5.7500000000000002E-2</c:v>
                </c:pt>
                <c:pt idx="13">
                  <c:v>5.7500000000000002E-2</c:v>
                </c:pt>
                <c:pt idx="14">
                  <c:v>5.7500000000000002E-2</c:v>
                </c:pt>
                <c:pt idx="15">
                  <c:v>5.7500000000000002E-2</c:v>
                </c:pt>
                <c:pt idx="16">
                  <c:v>5.7500000000000002E-2</c:v>
                </c:pt>
                <c:pt idx="17">
                  <c:v>5.7500000000000002E-2</c:v>
                </c:pt>
                <c:pt idx="18">
                  <c:v>5.7500000000000002E-2</c:v>
                </c:pt>
                <c:pt idx="19">
                  <c:v>5.7500000000000002E-2</c:v>
                </c:pt>
                <c:pt idx="20">
                  <c:v>5.7500000000000002E-2</c:v>
                </c:pt>
                <c:pt idx="21">
                  <c:v>5.7500000000000002E-2</c:v>
                </c:pt>
                <c:pt idx="22">
                  <c:v>5.7500000000000002E-2</c:v>
                </c:pt>
                <c:pt idx="23">
                  <c:v>5.7500000000000002E-2</c:v>
                </c:pt>
                <c:pt idx="24">
                  <c:v>5.7000000000000002E-2</c:v>
                </c:pt>
                <c:pt idx="25">
                  <c:v>5.6249999999999994E-2</c:v>
                </c:pt>
                <c:pt idx="26">
                  <c:v>5.5499999999999994E-2</c:v>
                </c:pt>
                <c:pt idx="27">
                  <c:v>5.425E-2</c:v>
                </c:pt>
                <c:pt idx="28">
                  <c:v>5.2499999999999998E-2</c:v>
                </c:pt>
                <c:pt idx="29">
                  <c:v>5.0599999999999999E-2</c:v>
                </c:pt>
                <c:pt idx="30">
                  <c:v>4.8050000000000002E-2</c:v>
                </c:pt>
                <c:pt idx="31">
                  <c:v>4.5100000000000001E-2</c:v>
                </c:pt>
                <c:pt idx="32">
                  <c:v>4.200000000000001E-2</c:v>
                </c:pt>
                <c:pt idx="33">
                  <c:v>3.8850000000000003E-2</c:v>
                </c:pt>
                <c:pt idx="34">
                  <c:v>3.5400000000000001E-2</c:v>
                </c:pt>
                <c:pt idx="35">
                  <c:v>3.2550000000000003E-2</c:v>
                </c:pt>
                <c:pt idx="36">
                  <c:v>2.9650000000000003E-2</c:v>
                </c:pt>
                <c:pt idx="37">
                  <c:v>2.7100000000000003E-2</c:v>
                </c:pt>
                <c:pt idx="38">
                  <c:v>2.435E-2</c:v>
                </c:pt>
                <c:pt idx="39">
                  <c:v>2.1500000000000002E-2</c:v>
                </c:pt>
                <c:pt idx="40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2-0648-ABE8-5AF9722E2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953935"/>
        <c:axId val="1387624351"/>
      </c:lineChart>
      <c:catAx>
        <c:axId val="138795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7624351"/>
        <c:crosses val="autoZero"/>
        <c:auto val="1"/>
        <c:lblAlgn val="ctr"/>
        <c:lblOffset val="100"/>
        <c:noMultiLvlLbl val="0"/>
      </c:catAx>
      <c:valAx>
        <c:axId val="138762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7953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Vol annuelle</a:t>
            </a:r>
            <a:r>
              <a:rPr lang="fr-FR" baseline="0"/>
              <a:t> en fonction de l'horizon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'Poids Allocation'!$A$3:$A$43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Allocation'!$I$3:$I$43</c:f>
              <c:numCache>
                <c:formatCode>0.00%</c:formatCode>
                <c:ptCount val="41"/>
                <c:pt idx="0">
                  <c:v>0.12617096167392922</c:v>
                </c:pt>
                <c:pt idx="1">
                  <c:v>0.12617096167392922</c:v>
                </c:pt>
                <c:pt idx="2">
                  <c:v>0.12617096167392922</c:v>
                </c:pt>
                <c:pt idx="3">
                  <c:v>0.12617096167392922</c:v>
                </c:pt>
                <c:pt idx="4">
                  <c:v>0.12617096167392922</c:v>
                </c:pt>
                <c:pt idx="5">
                  <c:v>0.12617096167392922</c:v>
                </c:pt>
                <c:pt idx="6">
                  <c:v>0.12617096167392922</c:v>
                </c:pt>
                <c:pt idx="7">
                  <c:v>0.12617096167392922</c:v>
                </c:pt>
                <c:pt idx="8">
                  <c:v>0.12617096167392922</c:v>
                </c:pt>
                <c:pt idx="9">
                  <c:v>0.12617096167392922</c:v>
                </c:pt>
                <c:pt idx="10">
                  <c:v>0.12617096167392922</c:v>
                </c:pt>
                <c:pt idx="11">
                  <c:v>0.12617096167392922</c:v>
                </c:pt>
                <c:pt idx="12">
                  <c:v>0.12617096167392922</c:v>
                </c:pt>
                <c:pt idx="13">
                  <c:v>0.12617096167392922</c:v>
                </c:pt>
                <c:pt idx="14">
                  <c:v>0.12617096167392922</c:v>
                </c:pt>
                <c:pt idx="15">
                  <c:v>0.12617096167392922</c:v>
                </c:pt>
                <c:pt idx="16">
                  <c:v>0.12617096167392922</c:v>
                </c:pt>
                <c:pt idx="17">
                  <c:v>0.12617096167392922</c:v>
                </c:pt>
                <c:pt idx="18">
                  <c:v>0.12617096167392922</c:v>
                </c:pt>
                <c:pt idx="19">
                  <c:v>0.12617096167392922</c:v>
                </c:pt>
                <c:pt idx="20">
                  <c:v>0.12617096167392922</c:v>
                </c:pt>
                <c:pt idx="21">
                  <c:v>0.12617096167392922</c:v>
                </c:pt>
                <c:pt idx="22">
                  <c:v>0.12617096167392922</c:v>
                </c:pt>
                <c:pt idx="23">
                  <c:v>0.12617096167392922</c:v>
                </c:pt>
                <c:pt idx="24">
                  <c:v>0.12370072120486286</c:v>
                </c:pt>
                <c:pt idx="25">
                  <c:v>0.12001284044327794</c:v>
                </c:pt>
                <c:pt idx="26">
                  <c:v>0.11634770778633492</c:v>
                </c:pt>
                <c:pt idx="27">
                  <c:v>0.11029585784832134</c:v>
                </c:pt>
                <c:pt idx="28">
                  <c:v>0.10196350309164176</c:v>
                </c:pt>
                <c:pt idx="29">
                  <c:v>9.3627708788800237E-2</c:v>
                </c:pt>
                <c:pt idx="30">
                  <c:v>8.3066606444711366E-2</c:v>
                </c:pt>
                <c:pt idx="31">
                  <c:v>7.1666351324520983E-2</c:v>
                </c:pt>
                <c:pt idx="32">
                  <c:v>6.0754545740327057E-2</c:v>
                </c:pt>
                <c:pt idx="33">
                  <c:v>5.1067975244674088E-2</c:v>
                </c:pt>
                <c:pt idx="34">
                  <c:v>4.1846971843394212E-2</c:v>
                </c:pt>
                <c:pt idx="35">
                  <c:v>3.5125948207461281E-2</c:v>
                </c:pt>
                <c:pt idx="36">
                  <c:v>2.8749347031429572E-2</c:v>
                </c:pt>
                <c:pt idx="37">
                  <c:v>2.296018748735864E-2</c:v>
                </c:pt>
                <c:pt idx="38">
                  <c:v>1.6401885014497238E-2</c:v>
                </c:pt>
                <c:pt idx="39">
                  <c:v>9.4539854284410221E-3</c:v>
                </c:pt>
                <c:pt idx="40">
                  <c:v>7.9315015414878412E-3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B0-B749-84C6-7D900943E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51647"/>
        <c:axId val="1931736112"/>
      </c:lineChart>
      <c:catAx>
        <c:axId val="2285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1736112"/>
        <c:crosses val="autoZero"/>
        <c:auto val="1"/>
        <c:lblAlgn val="ctr"/>
        <c:lblOffset val="100"/>
        <c:noMultiLvlLbl val="0"/>
      </c:catAx>
      <c:valAx>
        <c:axId val="193173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851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Actions</c:v>
          </c:tx>
          <c:spPr>
            <a:ln w="2857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'Rendement hist'!$A$2:$A$2517</c:f>
              <c:numCache>
                <c:formatCode>m/d/yyyy</c:formatCode>
                <c:ptCount val="2516"/>
                <c:pt idx="0">
                  <c:v>42101</c:v>
                </c:pt>
                <c:pt idx="1">
                  <c:v>42102</c:v>
                </c:pt>
                <c:pt idx="2">
                  <c:v>42103</c:v>
                </c:pt>
                <c:pt idx="3">
                  <c:v>42104</c:v>
                </c:pt>
                <c:pt idx="4">
                  <c:v>42107</c:v>
                </c:pt>
                <c:pt idx="5">
                  <c:v>42108</c:v>
                </c:pt>
                <c:pt idx="6">
                  <c:v>42109</c:v>
                </c:pt>
                <c:pt idx="7">
                  <c:v>42110</c:v>
                </c:pt>
                <c:pt idx="8">
                  <c:v>42111</c:v>
                </c:pt>
                <c:pt idx="9">
                  <c:v>42114</c:v>
                </c:pt>
                <c:pt idx="10">
                  <c:v>42115</c:v>
                </c:pt>
                <c:pt idx="11">
                  <c:v>42116</c:v>
                </c:pt>
                <c:pt idx="12">
                  <c:v>42117</c:v>
                </c:pt>
                <c:pt idx="13">
                  <c:v>42118</c:v>
                </c:pt>
                <c:pt idx="14">
                  <c:v>42121</c:v>
                </c:pt>
                <c:pt idx="15">
                  <c:v>42122</c:v>
                </c:pt>
                <c:pt idx="16">
                  <c:v>42123</c:v>
                </c:pt>
                <c:pt idx="17">
                  <c:v>42124</c:v>
                </c:pt>
                <c:pt idx="18">
                  <c:v>42125</c:v>
                </c:pt>
                <c:pt idx="19">
                  <c:v>42129</c:v>
                </c:pt>
                <c:pt idx="20">
                  <c:v>42130</c:v>
                </c:pt>
                <c:pt idx="21">
                  <c:v>42131</c:v>
                </c:pt>
                <c:pt idx="22">
                  <c:v>42132</c:v>
                </c:pt>
                <c:pt idx="23">
                  <c:v>42135</c:v>
                </c:pt>
                <c:pt idx="24">
                  <c:v>42136</c:v>
                </c:pt>
                <c:pt idx="25">
                  <c:v>42137</c:v>
                </c:pt>
                <c:pt idx="26">
                  <c:v>42138</c:v>
                </c:pt>
                <c:pt idx="27">
                  <c:v>42139</c:v>
                </c:pt>
                <c:pt idx="28">
                  <c:v>42142</c:v>
                </c:pt>
                <c:pt idx="29">
                  <c:v>42143</c:v>
                </c:pt>
                <c:pt idx="30">
                  <c:v>42144</c:v>
                </c:pt>
                <c:pt idx="31">
                  <c:v>42145</c:v>
                </c:pt>
                <c:pt idx="32">
                  <c:v>42146</c:v>
                </c:pt>
                <c:pt idx="33">
                  <c:v>42150</c:v>
                </c:pt>
                <c:pt idx="34">
                  <c:v>42151</c:v>
                </c:pt>
                <c:pt idx="35">
                  <c:v>42152</c:v>
                </c:pt>
                <c:pt idx="36">
                  <c:v>42153</c:v>
                </c:pt>
                <c:pt idx="37">
                  <c:v>42156</c:v>
                </c:pt>
                <c:pt idx="38">
                  <c:v>42157</c:v>
                </c:pt>
                <c:pt idx="39">
                  <c:v>42158</c:v>
                </c:pt>
                <c:pt idx="40">
                  <c:v>42159</c:v>
                </c:pt>
                <c:pt idx="41">
                  <c:v>42160</c:v>
                </c:pt>
                <c:pt idx="42">
                  <c:v>42163</c:v>
                </c:pt>
                <c:pt idx="43">
                  <c:v>42164</c:v>
                </c:pt>
                <c:pt idx="44">
                  <c:v>42165</c:v>
                </c:pt>
                <c:pt idx="45">
                  <c:v>42166</c:v>
                </c:pt>
                <c:pt idx="46">
                  <c:v>42167</c:v>
                </c:pt>
                <c:pt idx="47">
                  <c:v>42170</c:v>
                </c:pt>
                <c:pt idx="48">
                  <c:v>42171</c:v>
                </c:pt>
                <c:pt idx="49">
                  <c:v>42172</c:v>
                </c:pt>
                <c:pt idx="50">
                  <c:v>42173</c:v>
                </c:pt>
                <c:pt idx="51">
                  <c:v>42174</c:v>
                </c:pt>
                <c:pt idx="52">
                  <c:v>42177</c:v>
                </c:pt>
                <c:pt idx="53">
                  <c:v>42178</c:v>
                </c:pt>
                <c:pt idx="54">
                  <c:v>42179</c:v>
                </c:pt>
                <c:pt idx="55">
                  <c:v>42180</c:v>
                </c:pt>
                <c:pt idx="56">
                  <c:v>42181</c:v>
                </c:pt>
                <c:pt idx="57">
                  <c:v>42184</c:v>
                </c:pt>
                <c:pt idx="58">
                  <c:v>42185</c:v>
                </c:pt>
                <c:pt idx="59">
                  <c:v>42186</c:v>
                </c:pt>
                <c:pt idx="60">
                  <c:v>42187</c:v>
                </c:pt>
                <c:pt idx="61">
                  <c:v>42188</c:v>
                </c:pt>
                <c:pt idx="62">
                  <c:v>42191</c:v>
                </c:pt>
                <c:pt idx="63">
                  <c:v>42192</c:v>
                </c:pt>
                <c:pt idx="64">
                  <c:v>42193</c:v>
                </c:pt>
                <c:pt idx="65">
                  <c:v>42194</c:v>
                </c:pt>
                <c:pt idx="66">
                  <c:v>42195</c:v>
                </c:pt>
                <c:pt idx="67">
                  <c:v>42198</c:v>
                </c:pt>
                <c:pt idx="68">
                  <c:v>42199</c:v>
                </c:pt>
                <c:pt idx="69">
                  <c:v>42200</c:v>
                </c:pt>
                <c:pt idx="70">
                  <c:v>42201</c:v>
                </c:pt>
                <c:pt idx="71">
                  <c:v>42202</c:v>
                </c:pt>
                <c:pt idx="72">
                  <c:v>42205</c:v>
                </c:pt>
                <c:pt idx="73">
                  <c:v>42206</c:v>
                </c:pt>
                <c:pt idx="74">
                  <c:v>42207</c:v>
                </c:pt>
                <c:pt idx="75">
                  <c:v>42208</c:v>
                </c:pt>
                <c:pt idx="76">
                  <c:v>42209</c:v>
                </c:pt>
                <c:pt idx="77">
                  <c:v>42212</c:v>
                </c:pt>
                <c:pt idx="78">
                  <c:v>42213</c:v>
                </c:pt>
                <c:pt idx="79">
                  <c:v>42214</c:v>
                </c:pt>
                <c:pt idx="80">
                  <c:v>42215</c:v>
                </c:pt>
                <c:pt idx="81">
                  <c:v>42216</c:v>
                </c:pt>
                <c:pt idx="82">
                  <c:v>42219</c:v>
                </c:pt>
                <c:pt idx="83">
                  <c:v>42220</c:v>
                </c:pt>
                <c:pt idx="84">
                  <c:v>42221</c:v>
                </c:pt>
                <c:pt idx="85">
                  <c:v>42222</c:v>
                </c:pt>
                <c:pt idx="86">
                  <c:v>42223</c:v>
                </c:pt>
                <c:pt idx="87">
                  <c:v>42226</c:v>
                </c:pt>
                <c:pt idx="88">
                  <c:v>42227</c:v>
                </c:pt>
                <c:pt idx="89">
                  <c:v>42228</c:v>
                </c:pt>
                <c:pt idx="90">
                  <c:v>42229</c:v>
                </c:pt>
                <c:pt idx="91">
                  <c:v>42230</c:v>
                </c:pt>
                <c:pt idx="92">
                  <c:v>42233</c:v>
                </c:pt>
                <c:pt idx="93">
                  <c:v>42234</c:v>
                </c:pt>
                <c:pt idx="94">
                  <c:v>42235</c:v>
                </c:pt>
                <c:pt idx="95">
                  <c:v>42236</c:v>
                </c:pt>
                <c:pt idx="96">
                  <c:v>42237</c:v>
                </c:pt>
                <c:pt idx="97">
                  <c:v>42240</c:v>
                </c:pt>
                <c:pt idx="98">
                  <c:v>42241</c:v>
                </c:pt>
                <c:pt idx="99">
                  <c:v>42242</c:v>
                </c:pt>
                <c:pt idx="100">
                  <c:v>42243</c:v>
                </c:pt>
                <c:pt idx="101">
                  <c:v>42244</c:v>
                </c:pt>
                <c:pt idx="102">
                  <c:v>42247</c:v>
                </c:pt>
                <c:pt idx="103">
                  <c:v>42248</c:v>
                </c:pt>
                <c:pt idx="104">
                  <c:v>42249</c:v>
                </c:pt>
                <c:pt idx="105">
                  <c:v>42250</c:v>
                </c:pt>
                <c:pt idx="106">
                  <c:v>42251</c:v>
                </c:pt>
                <c:pt idx="107">
                  <c:v>42254</c:v>
                </c:pt>
                <c:pt idx="108">
                  <c:v>42255</c:v>
                </c:pt>
                <c:pt idx="109">
                  <c:v>42256</c:v>
                </c:pt>
                <c:pt idx="110">
                  <c:v>42257</c:v>
                </c:pt>
                <c:pt idx="111">
                  <c:v>42258</c:v>
                </c:pt>
                <c:pt idx="112">
                  <c:v>42261</c:v>
                </c:pt>
                <c:pt idx="113">
                  <c:v>42262</c:v>
                </c:pt>
                <c:pt idx="114">
                  <c:v>42263</c:v>
                </c:pt>
                <c:pt idx="115">
                  <c:v>42264</c:v>
                </c:pt>
                <c:pt idx="116">
                  <c:v>42265</c:v>
                </c:pt>
                <c:pt idx="117">
                  <c:v>42268</c:v>
                </c:pt>
                <c:pt idx="118">
                  <c:v>42269</c:v>
                </c:pt>
                <c:pt idx="119">
                  <c:v>42270</c:v>
                </c:pt>
                <c:pt idx="120">
                  <c:v>42271</c:v>
                </c:pt>
                <c:pt idx="121">
                  <c:v>42272</c:v>
                </c:pt>
                <c:pt idx="122">
                  <c:v>42275</c:v>
                </c:pt>
                <c:pt idx="123">
                  <c:v>42276</c:v>
                </c:pt>
                <c:pt idx="124">
                  <c:v>42277</c:v>
                </c:pt>
                <c:pt idx="125">
                  <c:v>42278</c:v>
                </c:pt>
                <c:pt idx="126">
                  <c:v>42279</c:v>
                </c:pt>
                <c:pt idx="127">
                  <c:v>42282</c:v>
                </c:pt>
                <c:pt idx="128">
                  <c:v>42283</c:v>
                </c:pt>
                <c:pt idx="129">
                  <c:v>42284</c:v>
                </c:pt>
                <c:pt idx="130">
                  <c:v>42285</c:v>
                </c:pt>
                <c:pt idx="131">
                  <c:v>42286</c:v>
                </c:pt>
                <c:pt idx="132">
                  <c:v>42289</c:v>
                </c:pt>
                <c:pt idx="133">
                  <c:v>42290</c:v>
                </c:pt>
                <c:pt idx="134">
                  <c:v>42291</c:v>
                </c:pt>
                <c:pt idx="135">
                  <c:v>42292</c:v>
                </c:pt>
                <c:pt idx="136">
                  <c:v>42293</c:v>
                </c:pt>
                <c:pt idx="137">
                  <c:v>42296</c:v>
                </c:pt>
                <c:pt idx="138">
                  <c:v>42297</c:v>
                </c:pt>
                <c:pt idx="139">
                  <c:v>42298</c:v>
                </c:pt>
                <c:pt idx="140">
                  <c:v>42299</c:v>
                </c:pt>
                <c:pt idx="141">
                  <c:v>42300</c:v>
                </c:pt>
                <c:pt idx="142">
                  <c:v>42303</c:v>
                </c:pt>
                <c:pt idx="143">
                  <c:v>42304</c:v>
                </c:pt>
                <c:pt idx="144">
                  <c:v>42305</c:v>
                </c:pt>
                <c:pt idx="145">
                  <c:v>42306</c:v>
                </c:pt>
                <c:pt idx="146">
                  <c:v>42307</c:v>
                </c:pt>
                <c:pt idx="147">
                  <c:v>42310</c:v>
                </c:pt>
                <c:pt idx="148">
                  <c:v>42311</c:v>
                </c:pt>
                <c:pt idx="149">
                  <c:v>42312</c:v>
                </c:pt>
                <c:pt idx="150">
                  <c:v>42313</c:v>
                </c:pt>
                <c:pt idx="151">
                  <c:v>42314</c:v>
                </c:pt>
                <c:pt idx="152">
                  <c:v>42317</c:v>
                </c:pt>
                <c:pt idx="153">
                  <c:v>42318</c:v>
                </c:pt>
                <c:pt idx="154">
                  <c:v>42319</c:v>
                </c:pt>
                <c:pt idx="155">
                  <c:v>42320</c:v>
                </c:pt>
                <c:pt idx="156">
                  <c:v>42321</c:v>
                </c:pt>
                <c:pt idx="157">
                  <c:v>42324</c:v>
                </c:pt>
                <c:pt idx="158">
                  <c:v>42325</c:v>
                </c:pt>
                <c:pt idx="159">
                  <c:v>42326</c:v>
                </c:pt>
                <c:pt idx="160">
                  <c:v>42327</c:v>
                </c:pt>
                <c:pt idx="161">
                  <c:v>42328</c:v>
                </c:pt>
                <c:pt idx="162">
                  <c:v>42331</c:v>
                </c:pt>
                <c:pt idx="163">
                  <c:v>42332</c:v>
                </c:pt>
                <c:pt idx="164">
                  <c:v>42333</c:v>
                </c:pt>
                <c:pt idx="165">
                  <c:v>42334</c:v>
                </c:pt>
                <c:pt idx="166">
                  <c:v>42335</c:v>
                </c:pt>
                <c:pt idx="167">
                  <c:v>42338</c:v>
                </c:pt>
                <c:pt idx="168">
                  <c:v>42339</c:v>
                </c:pt>
                <c:pt idx="169">
                  <c:v>42340</c:v>
                </c:pt>
                <c:pt idx="170">
                  <c:v>42341</c:v>
                </c:pt>
                <c:pt idx="171">
                  <c:v>42342</c:v>
                </c:pt>
                <c:pt idx="172">
                  <c:v>42345</c:v>
                </c:pt>
                <c:pt idx="173">
                  <c:v>42346</c:v>
                </c:pt>
                <c:pt idx="174">
                  <c:v>42347</c:v>
                </c:pt>
                <c:pt idx="175">
                  <c:v>42348</c:v>
                </c:pt>
                <c:pt idx="176">
                  <c:v>42349</c:v>
                </c:pt>
                <c:pt idx="177">
                  <c:v>42352</c:v>
                </c:pt>
                <c:pt idx="178">
                  <c:v>42353</c:v>
                </c:pt>
                <c:pt idx="179">
                  <c:v>42354</c:v>
                </c:pt>
                <c:pt idx="180">
                  <c:v>42355</c:v>
                </c:pt>
                <c:pt idx="181">
                  <c:v>42356</c:v>
                </c:pt>
                <c:pt idx="182">
                  <c:v>42359</c:v>
                </c:pt>
                <c:pt idx="183">
                  <c:v>42360</c:v>
                </c:pt>
                <c:pt idx="184">
                  <c:v>42361</c:v>
                </c:pt>
                <c:pt idx="185">
                  <c:v>42362</c:v>
                </c:pt>
                <c:pt idx="186">
                  <c:v>42367</c:v>
                </c:pt>
                <c:pt idx="187">
                  <c:v>42368</c:v>
                </c:pt>
                <c:pt idx="188">
                  <c:v>42369</c:v>
                </c:pt>
                <c:pt idx="189">
                  <c:v>42373</c:v>
                </c:pt>
                <c:pt idx="190">
                  <c:v>42374</c:v>
                </c:pt>
                <c:pt idx="191">
                  <c:v>42375</c:v>
                </c:pt>
                <c:pt idx="192">
                  <c:v>42376</c:v>
                </c:pt>
                <c:pt idx="193">
                  <c:v>42377</c:v>
                </c:pt>
                <c:pt idx="194">
                  <c:v>42380</c:v>
                </c:pt>
                <c:pt idx="195">
                  <c:v>42381</c:v>
                </c:pt>
                <c:pt idx="196">
                  <c:v>42382</c:v>
                </c:pt>
                <c:pt idx="197">
                  <c:v>42383</c:v>
                </c:pt>
                <c:pt idx="198">
                  <c:v>42384</c:v>
                </c:pt>
                <c:pt idx="199">
                  <c:v>42387</c:v>
                </c:pt>
                <c:pt idx="200">
                  <c:v>42388</c:v>
                </c:pt>
                <c:pt idx="201">
                  <c:v>42389</c:v>
                </c:pt>
                <c:pt idx="202">
                  <c:v>42390</c:v>
                </c:pt>
                <c:pt idx="203">
                  <c:v>42391</c:v>
                </c:pt>
                <c:pt idx="204">
                  <c:v>42394</c:v>
                </c:pt>
                <c:pt idx="205">
                  <c:v>42395</c:v>
                </c:pt>
                <c:pt idx="206">
                  <c:v>42396</c:v>
                </c:pt>
                <c:pt idx="207">
                  <c:v>42397</c:v>
                </c:pt>
                <c:pt idx="208">
                  <c:v>42398</c:v>
                </c:pt>
                <c:pt idx="209">
                  <c:v>42401</c:v>
                </c:pt>
                <c:pt idx="210">
                  <c:v>42402</c:v>
                </c:pt>
                <c:pt idx="211">
                  <c:v>42403</c:v>
                </c:pt>
                <c:pt idx="212">
                  <c:v>42404</c:v>
                </c:pt>
                <c:pt idx="213">
                  <c:v>42405</c:v>
                </c:pt>
                <c:pt idx="214">
                  <c:v>42408</c:v>
                </c:pt>
                <c:pt idx="215">
                  <c:v>42409</c:v>
                </c:pt>
                <c:pt idx="216">
                  <c:v>42410</c:v>
                </c:pt>
                <c:pt idx="217">
                  <c:v>42411</c:v>
                </c:pt>
                <c:pt idx="218">
                  <c:v>42412</c:v>
                </c:pt>
                <c:pt idx="219">
                  <c:v>42415</c:v>
                </c:pt>
                <c:pt idx="220">
                  <c:v>42416</c:v>
                </c:pt>
                <c:pt idx="221">
                  <c:v>42417</c:v>
                </c:pt>
                <c:pt idx="222">
                  <c:v>42418</c:v>
                </c:pt>
                <c:pt idx="223">
                  <c:v>42419</c:v>
                </c:pt>
                <c:pt idx="224">
                  <c:v>42422</c:v>
                </c:pt>
                <c:pt idx="225">
                  <c:v>42423</c:v>
                </c:pt>
                <c:pt idx="226">
                  <c:v>42424</c:v>
                </c:pt>
                <c:pt idx="227">
                  <c:v>42425</c:v>
                </c:pt>
                <c:pt idx="228">
                  <c:v>42426</c:v>
                </c:pt>
                <c:pt idx="229">
                  <c:v>42429</c:v>
                </c:pt>
                <c:pt idx="230">
                  <c:v>42430</c:v>
                </c:pt>
                <c:pt idx="231">
                  <c:v>42431</c:v>
                </c:pt>
                <c:pt idx="232">
                  <c:v>42432</c:v>
                </c:pt>
                <c:pt idx="233">
                  <c:v>42433</c:v>
                </c:pt>
                <c:pt idx="234">
                  <c:v>42436</c:v>
                </c:pt>
                <c:pt idx="235">
                  <c:v>42437</c:v>
                </c:pt>
                <c:pt idx="236">
                  <c:v>42438</c:v>
                </c:pt>
                <c:pt idx="237">
                  <c:v>42439</c:v>
                </c:pt>
                <c:pt idx="238">
                  <c:v>42440</c:v>
                </c:pt>
                <c:pt idx="239">
                  <c:v>42443</c:v>
                </c:pt>
                <c:pt idx="240">
                  <c:v>42444</c:v>
                </c:pt>
                <c:pt idx="241">
                  <c:v>42445</c:v>
                </c:pt>
                <c:pt idx="242">
                  <c:v>42446</c:v>
                </c:pt>
                <c:pt idx="243">
                  <c:v>42447</c:v>
                </c:pt>
                <c:pt idx="244">
                  <c:v>42450</c:v>
                </c:pt>
                <c:pt idx="245">
                  <c:v>42451</c:v>
                </c:pt>
                <c:pt idx="246">
                  <c:v>42452</c:v>
                </c:pt>
                <c:pt idx="247">
                  <c:v>42453</c:v>
                </c:pt>
                <c:pt idx="248">
                  <c:v>42458</c:v>
                </c:pt>
                <c:pt idx="249">
                  <c:v>42459</c:v>
                </c:pt>
                <c:pt idx="250">
                  <c:v>42460</c:v>
                </c:pt>
                <c:pt idx="251">
                  <c:v>42461</c:v>
                </c:pt>
                <c:pt idx="252">
                  <c:v>42464</c:v>
                </c:pt>
                <c:pt idx="253">
                  <c:v>42465</c:v>
                </c:pt>
                <c:pt idx="254">
                  <c:v>42466</c:v>
                </c:pt>
                <c:pt idx="255">
                  <c:v>42467</c:v>
                </c:pt>
                <c:pt idx="256">
                  <c:v>42468</c:v>
                </c:pt>
                <c:pt idx="257">
                  <c:v>42471</c:v>
                </c:pt>
                <c:pt idx="258">
                  <c:v>42472</c:v>
                </c:pt>
                <c:pt idx="259">
                  <c:v>42473</c:v>
                </c:pt>
                <c:pt idx="260">
                  <c:v>42474</c:v>
                </c:pt>
                <c:pt idx="261">
                  <c:v>42475</c:v>
                </c:pt>
                <c:pt idx="262">
                  <c:v>42478</c:v>
                </c:pt>
                <c:pt idx="263">
                  <c:v>42479</c:v>
                </c:pt>
                <c:pt idx="264">
                  <c:v>42480</c:v>
                </c:pt>
                <c:pt idx="265">
                  <c:v>42481</c:v>
                </c:pt>
                <c:pt idx="266">
                  <c:v>42482</c:v>
                </c:pt>
                <c:pt idx="267">
                  <c:v>42485</c:v>
                </c:pt>
                <c:pt idx="268">
                  <c:v>42486</c:v>
                </c:pt>
                <c:pt idx="269">
                  <c:v>42487</c:v>
                </c:pt>
                <c:pt idx="270">
                  <c:v>42488</c:v>
                </c:pt>
                <c:pt idx="271">
                  <c:v>42489</c:v>
                </c:pt>
                <c:pt idx="272">
                  <c:v>42493</c:v>
                </c:pt>
                <c:pt idx="273">
                  <c:v>42494</c:v>
                </c:pt>
                <c:pt idx="274">
                  <c:v>42495</c:v>
                </c:pt>
                <c:pt idx="275">
                  <c:v>42496</c:v>
                </c:pt>
                <c:pt idx="276">
                  <c:v>42499</c:v>
                </c:pt>
                <c:pt idx="277">
                  <c:v>42500</c:v>
                </c:pt>
                <c:pt idx="278">
                  <c:v>42501</c:v>
                </c:pt>
                <c:pt idx="279">
                  <c:v>42502</c:v>
                </c:pt>
                <c:pt idx="280">
                  <c:v>42503</c:v>
                </c:pt>
                <c:pt idx="281">
                  <c:v>42506</c:v>
                </c:pt>
                <c:pt idx="282">
                  <c:v>42507</c:v>
                </c:pt>
                <c:pt idx="283">
                  <c:v>42508</c:v>
                </c:pt>
                <c:pt idx="284">
                  <c:v>42509</c:v>
                </c:pt>
                <c:pt idx="285">
                  <c:v>42510</c:v>
                </c:pt>
                <c:pt idx="286">
                  <c:v>42513</c:v>
                </c:pt>
                <c:pt idx="287">
                  <c:v>42514</c:v>
                </c:pt>
                <c:pt idx="288">
                  <c:v>42515</c:v>
                </c:pt>
                <c:pt idx="289">
                  <c:v>42516</c:v>
                </c:pt>
                <c:pt idx="290">
                  <c:v>42517</c:v>
                </c:pt>
                <c:pt idx="291">
                  <c:v>42521</c:v>
                </c:pt>
                <c:pt idx="292">
                  <c:v>42522</c:v>
                </c:pt>
                <c:pt idx="293">
                  <c:v>42523</c:v>
                </c:pt>
                <c:pt idx="294">
                  <c:v>42524</c:v>
                </c:pt>
                <c:pt idx="295">
                  <c:v>42527</c:v>
                </c:pt>
                <c:pt idx="296">
                  <c:v>42528</c:v>
                </c:pt>
                <c:pt idx="297">
                  <c:v>42529</c:v>
                </c:pt>
                <c:pt idx="298">
                  <c:v>42530</c:v>
                </c:pt>
                <c:pt idx="299">
                  <c:v>42531</c:v>
                </c:pt>
                <c:pt idx="300">
                  <c:v>42534</c:v>
                </c:pt>
                <c:pt idx="301">
                  <c:v>42535</c:v>
                </c:pt>
                <c:pt idx="302">
                  <c:v>42536</c:v>
                </c:pt>
                <c:pt idx="303">
                  <c:v>42537</c:v>
                </c:pt>
                <c:pt idx="304">
                  <c:v>42538</c:v>
                </c:pt>
                <c:pt idx="305">
                  <c:v>42541</c:v>
                </c:pt>
                <c:pt idx="306">
                  <c:v>42542</c:v>
                </c:pt>
                <c:pt idx="307">
                  <c:v>42543</c:v>
                </c:pt>
                <c:pt idx="308">
                  <c:v>42544</c:v>
                </c:pt>
                <c:pt idx="309">
                  <c:v>42545</c:v>
                </c:pt>
                <c:pt idx="310">
                  <c:v>42548</c:v>
                </c:pt>
                <c:pt idx="311">
                  <c:v>42549</c:v>
                </c:pt>
                <c:pt idx="312">
                  <c:v>42550</c:v>
                </c:pt>
                <c:pt idx="313">
                  <c:v>42551</c:v>
                </c:pt>
                <c:pt idx="314">
                  <c:v>42552</c:v>
                </c:pt>
                <c:pt idx="315">
                  <c:v>42555</c:v>
                </c:pt>
                <c:pt idx="316">
                  <c:v>42556</c:v>
                </c:pt>
                <c:pt idx="317">
                  <c:v>42557</c:v>
                </c:pt>
                <c:pt idx="318">
                  <c:v>42558</c:v>
                </c:pt>
                <c:pt idx="319">
                  <c:v>42559</c:v>
                </c:pt>
                <c:pt idx="320">
                  <c:v>42562</c:v>
                </c:pt>
                <c:pt idx="321">
                  <c:v>42563</c:v>
                </c:pt>
                <c:pt idx="322">
                  <c:v>42564</c:v>
                </c:pt>
                <c:pt idx="323">
                  <c:v>42565</c:v>
                </c:pt>
                <c:pt idx="324">
                  <c:v>42566</c:v>
                </c:pt>
                <c:pt idx="325">
                  <c:v>42569</c:v>
                </c:pt>
                <c:pt idx="326">
                  <c:v>42570</c:v>
                </c:pt>
                <c:pt idx="327">
                  <c:v>42571</c:v>
                </c:pt>
                <c:pt idx="328">
                  <c:v>42572</c:v>
                </c:pt>
                <c:pt idx="329">
                  <c:v>42573</c:v>
                </c:pt>
                <c:pt idx="330">
                  <c:v>42576</c:v>
                </c:pt>
                <c:pt idx="331">
                  <c:v>42577</c:v>
                </c:pt>
                <c:pt idx="332">
                  <c:v>42578</c:v>
                </c:pt>
                <c:pt idx="333">
                  <c:v>42579</c:v>
                </c:pt>
                <c:pt idx="334">
                  <c:v>42580</c:v>
                </c:pt>
                <c:pt idx="335">
                  <c:v>42583</c:v>
                </c:pt>
                <c:pt idx="336">
                  <c:v>42584</c:v>
                </c:pt>
                <c:pt idx="337">
                  <c:v>42585</c:v>
                </c:pt>
                <c:pt idx="338">
                  <c:v>42586</c:v>
                </c:pt>
                <c:pt idx="339">
                  <c:v>42587</c:v>
                </c:pt>
                <c:pt idx="340">
                  <c:v>42590</c:v>
                </c:pt>
                <c:pt idx="341">
                  <c:v>42591</c:v>
                </c:pt>
                <c:pt idx="342">
                  <c:v>42592</c:v>
                </c:pt>
                <c:pt idx="343">
                  <c:v>42593</c:v>
                </c:pt>
                <c:pt idx="344">
                  <c:v>42594</c:v>
                </c:pt>
                <c:pt idx="345">
                  <c:v>42597</c:v>
                </c:pt>
                <c:pt idx="346">
                  <c:v>42598</c:v>
                </c:pt>
                <c:pt idx="347">
                  <c:v>42599</c:v>
                </c:pt>
                <c:pt idx="348">
                  <c:v>42600</c:v>
                </c:pt>
                <c:pt idx="349">
                  <c:v>42601</c:v>
                </c:pt>
                <c:pt idx="350">
                  <c:v>42604</c:v>
                </c:pt>
                <c:pt idx="351">
                  <c:v>42605</c:v>
                </c:pt>
                <c:pt idx="352">
                  <c:v>42606</c:v>
                </c:pt>
                <c:pt idx="353">
                  <c:v>42607</c:v>
                </c:pt>
                <c:pt idx="354">
                  <c:v>42608</c:v>
                </c:pt>
                <c:pt idx="355">
                  <c:v>42612</c:v>
                </c:pt>
                <c:pt idx="356">
                  <c:v>42613</c:v>
                </c:pt>
                <c:pt idx="357">
                  <c:v>42614</c:v>
                </c:pt>
                <c:pt idx="358">
                  <c:v>42615</c:v>
                </c:pt>
                <c:pt idx="359">
                  <c:v>42618</c:v>
                </c:pt>
                <c:pt idx="360">
                  <c:v>42619</c:v>
                </c:pt>
                <c:pt idx="361">
                  <c:v>42620</c:v>
                </c:pt>
                <c:pt idx="362">
                  <c:v>42621</c:v>
                </c:pt>
                <c:pt idx="363">
                  <c:v>42622</c:v>
                </c:pt>
                <c:pt idx="364">
                  <c:v>42625</c:v>
                </c:pt>
                <c:pt idx="365">
                  <c:v>42626</c:v>
                </c:pt>
                <c:pt idx="366">
                  <c:v>42627</c:v>
                </c:pt>
                <c:pt idx="367">
                  <c:v>42628</c:v>
                </c:pt>
                <c:pt idx="368">
                  <c:v>42629</c:v>
                </c:pt>
                <c:pt idx="369">
                  <c:v>42632</c:v>
                </c:pt>
                <c:pt idx="370">
                  <c:v>42633</c:v>
                </c:pt>
                <c:pt idx="371">
                  <c:v>42634</c:v>
                </c:pt>
                <c:pt idx="372">
                  <c:v>42635</c:v>
                </c:pt>
                <c:pt idx="373">
                  <c:v>42636</c:v>
                </c:pt>
                <c:pt idx="374">
                  <c:v>42639</c:v>
                </c:pt>
                <c:pt idx="375">
                  <c:v>42640</c:v>
                </c:pt>
                <c:pt idx="376">
                  <c:v>42641</c:v>
                </c:pt>
                <c:pt idx="377">
                  <c:v>42642</c:v>
                </c:pt>
                <c:pt idx="378">
                  <c:v>42643</c:v>
                </c:pt>
                <c:pt idx="379">
                  <c:v>42646</c:v>
                </c:pt>
                <c:pt idx="380">
                  <c:v>42647</c:v>
                </c:pt>
                <c:pt idx="381">
                  <c:v>42648</c:v>
                </c:pt>
                <c:pt idx="382">
                  <c:v>42649</c:v>
                </c:pt>
                <c:pt idx="383">
                  <c:v>42650</c:v>
                </c:pt>
                <c:pt idx="384">
                  <c:v>42653</c:v>
                </c:pt>
                <c:pt idx="385">
                  <c:v>42654</c:v>
                </c:pt>
                <c:pt idx="386">
                  <c:v>42655</c:v>
                </c:pt>
                <c:pt idx="387">
                  <c:v>42656</c:v>
                </c:pt>
                <c:pt idx="388">
                  <c:v>42657</c:v>
                </c:pt>
                <c:pt idx="389">
                  <c:v>42660</c:v>
                </c:pt>
                <c:pt idx="390">
                  <c:v>42661</c:v>
                </c:pt>
                <c:pt idx="391">
                  <c:v>42662</c:v>
                </c:pt>
                <c:pt idx="392">
                  <c:v>42663</c:v>
                </c:pt>
                <c:pt idx="393">
                  <c:v>42664</c:v>
                </c:pt>
                <c:pt idx="394">
                  <c:v>42667</c:v>
                </c:pt>
                <c:pt idx="395">
                  <c:v>42668</c:v>
                </c:pt>
                <c:pt idx="396">
                  <c:v>42669</c:v>
                </c:pt>
                <c:pt idx="397">
                  <c:v>42670</c:v>
                </c:pt>
                <c:pt idx="398">
                  <c:v>42671</c:v>
                </c:pt>
                <c:pt idx="399">
                  <c:v>42674</c:v>
                </c:pt>
                <c:pt idx="400">
                  <c:v>42675</c:v>
                </c:pt>
                <c:pt idx="401">
                  <c:v>42676</c:v>
                </c:pt>
                <c:pt idx="402">
                  <c:v>42677</c:v>
                </c:pt>
                <c:pt idx="403">
                  <c:v>42678</c:v>
                </c:pt>
                <c:pt idx="404">
                  <c:v>42681</c:v>
                </c:pt>
                <c:pt idx="405">
                  <c:v>42682</c:v>
                </c:pt>
                <c:pt idx="406">
                  <c:v>42683</c:v>
                </c:pt>
                <c:pt idx="407">
                  <c:v>42684</c:v>
                </c:pt>
                <c:pt idx="408">
                  <c:v>42685</c:v>
                </c:pt>
                <c:pt idx="409">
                  <c:v>42688</c:v>
                </c:pt>
                <c:pt idx="410">
                  <c:v>42689</c:v>
                </c:pt>
                <c:pt idx="411">
                  <c:v>42690</c:v>
                </c:pt>
                <c:pt idx="412">
                  <c:v>42691</c:v>
                </c:pt>
                <c:pt idx="413">
                  <c:v>42692</c:v>
                </c:pt>
                <c:pt idx="414">
                  <c:v>42695</c:v>
                </c:pt>
                <c:pt idx="415">
                  <c:v>42696</c:v>
                </c:pt>
                <c:pt idx="416">
                  <c:v>42697</c:v>
                </c:pt>
                <c:pt idx="417">
                  <c:v>42698</c:v>
                </c:pt>
                <c:pt idx="418">
                  <c:v>42699</c:v>
                </c:pt>
                <c:pt idx="419">
                  <c:v>42702</c:v>
                </c:pt>
                <c:pt idx="420">
                  <c:v>42703</c:v>
                </c:pt>
                <c:pt idx="421">
                  <c:v>42704</c:v>
                </c:pt>
                <c:pt idx="422">
                  <c:v>42705</c:v>
                </c:pt>
                <c:pt idx="423">
                  <c:v>42706</c:v>
                </c:pt>
                <c:pt idx="424">
                  <c:v>42709</c:v>
                </c:pt>
                <c:pt idx="425">
                  <c:v>42710</c:v>
                </c:pt>
                <c:pt idx="426">
                  <c:v>42711</c:v>
                </c:pt>
                <c:pt idx="427">
                  <c:v>42712</c:v>
                </c:pt>
                <c:pt idx="428">
                  <c:v>42713</c:v>
                </c:pt>
                <c:pt idx="429">
                  <c:v>42716</c:v>
                </c:pt>
                <c:pt idx="430">
                  <c:v>42717</c:v>
                </c:pt>
                <c:pt idx="431">
                  <c:v>42718</c:v>
                </c:pt>
                <c:pt idx="432">
                  <c:v>42719</c:v>
                </c:pt>
                <c:pt idx="433">
                  <c:v>42720</c:v>
                </c:pt>
                <c:pt idx="434">
                  <c:v>42723</c:v>
                </c:pt>
                <c:pt idx="435">
                  <c:v>42724</c:v>
                </c:pt>
                <c:pt idx="436">
                  <c:v>42725</c:v>
                </c:pt>
                <c:pt idx="437">
                  <c:v>42726</c:v>
                </c:pt>
                <c:pt idx="438">
                  <c:v>42727</c:v>
                </c:pt>
                <c:pt idx="439">
                  <c:v>42732</c:v>
                </c:pt>
                <c:pt idx="440">
                  <c:v>42733</c:v>
                </c:pt>
                <c:pt idx="441">
                  <c:v>42734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42744</c:v>
                </c:pt>
                <c:pt idx="447">
                  <c:v>42745</c:v>
                </c:pt>
                <c:pt idx="448">
                  <c:v>42746</c:v>
                </c:pt>
                <c:pt idx="449">
                  <c:v>42747</c:v>
                </c:pt>
                <c:pt idx="450">
                  <c:v>42748</c:v>
                </c:pt>
                <c:pt idx="451">
                  <c:v>42751</c:v>
                </c:pt>
                <c:pt idx="452">
                  <c:v>42752</c:v>
                </c:pt>
                <c:pt idx="453">
                  <c:v>42753</c:v>
                </c:pt>
                <c:pt idx="454">
                  <c:v>42754</c:v>
                </c:pt>
                <c:pt idx="455">
                  <c:v>42755</c:v>
                </c:pt>
                <c:pt idx="456">
                  <c:v>42758</c:v>
                </c:pt>
                <c:pt idx="457">
                  <c:v>42759</c:v>
                </c:pt>
                <c:pt idx="458">
                  <c:v>42760</c:v>
                </c:pt>
                <c:pt idx="459">
                  <c:v>42761</c:v>
                </c:pt>
                <c:pt idx="460">
                  <c:v>42762</c:v>
                </c:pt>
                <c:pt idx="461">
                  <c:v>42765</c:v>
                </c:pt>
                <c:pt idx="462">
                  <c:v>42766</c:v>
                </c:pt>
                <c:pt idx="463">
                  <c:v>42767</c:v>
                </c:pt>
                <c:pt idx="464">
                  <c:v>42768</c:v>
                </c:pt>
                <c:pt idx="465">
                  <c:v>42769</c:v>
                </c:pt>
                <c:pt idx="466">
                  <c:v>42772</c:v>
                </c:pt>
                <c:pt idx="467">
                  <c:v>42773</c:v>
                </c:pt>
                <c:pt idx="468">
                  <c:v>42774</c:v>
                </c:pt>
                <c:pt idx="469">
                  <c:v>42775</c:v>
                </c:pt>
                <c:pt idx="470">
                  <c:v>42776</c:v>
                </c:pt>
                <c:pt idx="471">
                  <c:v>42779</c:v>
                </c:pt>
                <c:pt idx="472">
                  <c:v>42780</c:v>
                </c:pt>
                <c:pt idx="473">
                  <c:v>42781</c:v>
                </c:pt>
                <c:pt idx="474">
                  <c:v>42782</c:v>
                </c:pt>
                <c:pt idx="475">
                  <c:v>42783</c:v>
                </c:pt>
                <c:pt idx="476">
                  <c:v>42786</c:v>
                </c:pt>
                <c:pt idx="477">
                  <c:v>42787</c:v>
                </c:pt>
                <c:pt idx="478">
                  <c:v>42788</c:v>
                </c:pt>
                <c:pt idx="479">
                  <c:v>42789</c:v>
                </c:pt>
                <c:pt idx="480">
                  <c:v>42790</c:v>
                </c:pt>
                <c:pt idx="481">
                  <c:v>42793</c:v>
                </c:pt>
                <c:pt idx="482">
                  <c:v>42794</c:v>
                </c:pt>
                <c:pt idx="483">
                  <c:v>42795</c:v>
                </c:pt>
                <c:pt idx="484">
                  <c:v>42796</c:v>
                </c:pt>
                <c:pt idx="485">
                  <c:v>42797</c:v>
                </c:pt>
                <c:pt idx="486">
                  <c:v>42800</c:v>
                </c:pt>
                <c:pt idx="487">
                  <c:v>42801</c:v>
                </c:pt>
                <c:pt idx="488">
                  <c:v>42802</c:v>
                </c:pt>
                <c:pt idx="489">
                  <c:v>42803</c:v>
                </c:pt>
                <c:pt idx="490">
                  <c:v>42804</c:v>
                </c:pt>
                <c:pt idx="491">
                  <c:v>42807</c:v>
                </c:pt>
                <c:pt idx="492">
                  <c:v>42808</c:v>
                </c:pt>
                <c:pt idx="493">
                  <c:v>42809</c:v>
                </c:pt>
                <c:pt idx="494">
                  <c:v>42810</c:v>
                </c:pt>
                <c:pt idx="495">
                  <c:v>42811</c:v>
                </c:pt>
                <c:pt idx="496">
                  <c:v>42814</c:v>
                </c:pt>
                <c:pt idx="497">
                  <c:v>42815</c:v>
                </c:pt>
                <c:pt idx="498">
                  <c:v>42816</c:v>
                </c:pt>
                <c:pt idx="499">
                  <c:v>42817</c:v>
                </c:pt>
                <c:pt idx="500">
                  <c:v>42818</c:v>
                </c:pt>
                <c:pt idx="501">
                  <c:v>42821</c:v>
                </c:pt>
                <c:pt idx="502">
                  <c:v>42822</c:v>
                </c:pt>
                <c:pt idx="503">
                  <c:v>42823</c:v>
                </c:pt>
                <c:pt idx="504">
                  <c:v>42824</c:v>
                </c:pt>
                <c:pt idx="505">
                  <c:v>42825</c:v>
                </c:pt>
                <c:pt idx="506">
                  <c:v>42828</c:v>
                </c:pt>
                <c:pt idx="507">
                  <c:v>42829</c:v>
                </c:pt>
                <c:pt idx="508">
                  <c:v>42830</c:v>
                </c:pt>
                <c:pt idx="509">
                  <c:v>42831</c:v>
                </c:pt>
                <c:pt idx="510">
                  <c:v>42832</c:v>
                </c:pt>
                <c:pt idx="511">
                  <c:v>42835</c:v>
                </c:pt>
                <c:pt idx="512">
                  <c:v>42836</c:v>
                </c:pt>
                <c:pt idx="513">
                  <c:v>42837</c:v>
                </c:pt>
                <c:pt idx="514">
                  <c:v>42838</c:v>
                </c:pt>
                <c:pt idx="515">
                  <c:v>42843</c:v>
                </c:pt>
                <c:pt idx="516">
                  <c:v>42844</c:v>
                </c:pt>
                <c:pt idx="517">
                  <c:v>42845</c:v>
                </c:pt>
                <c:pt idx="518">
                  <c:v>42846</c:v>
                </c:pt>
                <c:pt idx="519">
                  <c:v>42849</c:v>
                </c:pt>
                <c:pt idx="520">
                  <c:v>42850</c:v>
                </c:pt>
                <c:pt idx="521">
                  <c:v>42851</c:v>
                </c:pt>
                <c:pt idx="522">
                  <c:v>42852</c:v>
                </c:pt>
                <c:pt idx="523">
                  <c:v>42853</c:v>
                </c:pt>
                <c:pt idx="524">
                  <c:v>42856</c:v>
                </c:pt>
                <c:pt idx="525">
                  <c:v>42857</c:v>
                </c:pt>
                <c:pt idx="526">
                  <c:v>42858</c:v>
                </c:pt>
                <c:pt idx="527">
                  <c:v>42859</c:v>
                </c:pt>
                <c:pt idx="528">
                  <c:v>42860</c:v>
                </c:pt>
                <c:pt idx="529">
                  <c:v>42863</c:v>
                </c:pt>
                <c:pt idx="530">
                  <c:v>42864</c:v>
                </c:pt>
                <c:pt idx="531">
                  <c:v>42865</c:v>
                </c:pt>
                <c:pt idx="532">
                  <c:v>42866</c:v>
                </c:pt>
                <c:pt idx="533">
                  <c:v>42867</c:v>
                </c:pt>
                <c:pt idx="534">
                  <c:v>42870</c:v>
                </c:pt>
                <c:pt idx="535">
                  <c:v>42871</c:v>
                </c:pt>
                <c:pt idx="536">
                  <c:v>42872</c:v>
                </c:pt>
                <c:pt idx="537">
                  <c:v>42873</c:v>
                </c:pt>
                <c:pt idx="538">
                  <c:v>42874</c:v>
                </c:pt>
                <c:pt idx="539">
                  <c:v>42877</c:v>
                </c:pt>
                <c:pt idx="540">
                  <c:v>42878</c:v>
                </c:pt>
                <c:pt idx="541">
                  <c:v>42879</c:v>
                </c:pt>
                <c:pt idx="542">
                  <c:v>42880</c:v>
                </c:pt>
                <c:pt idx="543">
                  <c:v>42881</c:v>
                </c:pt>
                <c:pt idx="544">
                  <c:v>42885</c:v>
                </c:pt>
                <c:pt idx="545">
                  <c:v>42886</c:v>
                </c:pt>
                <c:pt idx="546">
                  <c:v>42887</c:v>
                </c:pt>
                <c:pt idx="547">
                  <c:v>42888</c:v>
                </c:pt>
                <c:pt idx="548">
                  <c:v>42891</c:v>
                </c:pt>
                <c:pt idx="549">
                  <c:v>42892</c:v>
                </c:pt>
                <c:pt idx="550">
                  <c:v>42893</c:v>
                </c:pt>
                <c:pt idx="551">
                  <c:v>42894</c:v>
                </c:pt>
                <c:pt idx="552">
                  <c:v>42895</c:v>
                </c:pt>
                <c:pt idx="553">
                  <c:v>42898</c:v>
                </c:pt>
                <c:pt idx="554">
                  <c:v>42899</c:v>
                </c:pt>
                <c:pt idx="555">
                  <c:v>42900</c:v>
                </c:pt>
                <c:pt idx="556">
                  <c:v>42901</c:v>
                </c:pt>
                <c:pt idx="557">
                  <c:v>42902</c:v>
                </c:pt>
                <c:pt idx="558">
                  <c:v>42905</c:v>
                </c:pt>
                <c:pt idx="559">
                  <c:v>42906</c:v>
                </c:pt>
                <c:pt idx="560">
                  <c:v>42907</c:v>
                </c:pt>
                <c:pt idx="561">
                  <c:v>42908</c:v>
                </c:pt>
                <c:pt idx="562">
                  <c:v>42909</c:v>
                </c:pt>
                <c:pt idx="563">
                  <c:v>42912</c:v>
                </c:pt>
                <c:pt idx="564">
                  <c:v>42913</c:v>
                </c:pt>
                <c:pt idx="565">
                  <c:v>42914</c:v>
                </c:pt>
                <c:pt idx="566">
                  <c:v>42915</c:v>
                </c:pt>
                <c:pt idx="567">
                  <c:v>42916</c:v>
                </c:pt>
                <c:pt idx="568">
                  <c:v>42919</c:v>
                </c:pt>
                <c:pt idx="569">
                  <c:v>42920</c:v>
                </c:pt>
                <c:pt idx="570">
                  <c:v>42921</c:v>
                </c:pt>
                <c:pt idx="571">
                  <c:v>42922</c:v>
                </c:pt>
                <c:pt idx="572">
                  <c:v>42923</c:v>
                </c:pt>
                <c:pt idx="573">
                  <c:v>42926</c:v>
                </c:pt>
                <c:pt idx="574">
                  <c:v>42927</c:v>
                </c:pt>
                <c:pt idx="575">
                  <c:v>42928</c:v>
                </c:pt>
                <c:pt idx="576">
                  <c:v>42929</c:v>
                </c:pt>
                <c:pt idx="577">
                  <c:v>42930</c:v>
                </c:pt>
                <c:pt idx="578">
                  <c:v>42933</c:v>
                </c:pt>
                <c:pt idx="579">
                  <c:v>42934</c:v>
                </c:pt>
                <c:pt idx="580">
                  <c:v>42935</c:v>
                </c:pt>
                <c:pt idx="581">
                  <c:v>42936</c:v>
                </c:pt>
                <c:pt idx="582">
                  <c:v>42937</c:v>
                </c:pt>
                <c:pt idx="583">
                  <c:v>42940</c:v>
                </c:pt>
                <c:pt idx="584">
                  <c:v>42941</c:v>
                </c:pt>
                <c:pt idx="585">
                  <c:v>42942</c:v>
                </c:pt>
                <c:pt idx="586">
                  <c:v>42943</c:v>
                </c:pt>
                <c:pt idx="587">
                  <c:v>42944</c:v>
                </c:pt>
                <c:pt idx="588">
                  <c:v>42947</c:v>
                </c:pt>
                <c:pt idx="589">
                  <c:v>42948</c:v>
                </c:pt>
                <c:pt idx="590">
                  <c:v>42949</c:v>
                </c:pt>
                <c:pt idx="591">
                  <c:v>42950</c:v>
                </c:pt>
                <c:pt idx="592">
                  <c:v>42951</c:v>
                </c:pt>
                <c:pt idx="593">
                  <c:v>42954</c:v>
                </c:pt>
                <c:pt idx="594">
                  <c:v>42955</c:v>
                </c:pt>
                <c:pt idx="595">
                  <c:v>42956</c:v>
                </c:pt>
                <c:pt idx="596">
                  <c:v>42957</c:v>
                </c:pt>
                <c:pt idx="597">
                  <c:v>42958</c:v>
                </c:pt>
                <c:pt idx="598">
                  <c:v>42961</c:v>
                </c:pt>
                <c:pt idx="599">
                  <c:v>42962</c:v>
                </c:pt>
                <c:pt idx="600">
                  <c:v>42963</c:v>
                </c:pt>
                <c:pt idx="601">
                  <c:v>42964</c:v>
                </c:pt>
                <c:pt idx="602">
                  <c:v>42965</c:v>
                </c:pt>
                <c:pt idx="603">
                  <c:v>42968</c:v>
                </c:pt>
                <c:pt idx="604">
                  <c:v>42969</c:v>
                </c:pt>
                <c:pt idx="605">
                  <c:v>42970</c:v>
                </c:pt>
                <c:pt idx="606">
                  <c:v>42971</c:v>
                </c:pt>
                <c:pt idx="607">
                  <c:v>42972</c:v>
                </c:pt>
                <c:pt idx="608">
                  <c:v>42976</c:v>
                </c:pt>
                <c:pt idx="609">
                  <c:v>42977</c:v>
                </c:pt>
                <c:pt idx="610">
                  <c:v>42978</c:v>
                </c:pt>
                <c:pt idx="611">
                  <c:v>42979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42989</c:v>
                </c:pt>
                <c:pt idx="618">
                  <c:v>42990</c:v>
                </c:pt>
                <c:pt idx="619">
                  <c:v>42991</c:v>
                </c:pt>
                <c:pt idx="620">
                  <c:v>42992</c:v>
                </c:pt>
                <c:pt idx="621">
                  <c:v>42993</c:v>
                </c:pt>
                <c:pt idx="622">
                  <c:v>42996</c:v>
                </c:pt>
                <c:pt idx="623">
                  <c:v>42997</c:v>
                </c:pt>
                <c:pt idx="624">
                  <c:v>42998</c:v>
                </c:pt>
                <c:pt idx="625">
                  <c:v>42999</c:v>
                </c:pt>
                <c:pt idx="626">
                  <c:v>43000</c:v>
                </c:pt>
                <c:pt idx="627">
                  <c:v>43003</c:v>
                </c:pt>
                <c:pt idx="628">
                  <c:v>43004</c:v>
                </c:pt>
                <c:pt idx="629">
                  <c:v>43005</c:v>
                </c:pt>
                <c:pt idx="630">
                  <c:v>43006</c:v>
                </c:pt>
                <c:pt idx="631">
                  <c:v>43007</c:v>
                </c:pt>
                <c:pt idx="632">
                  <c:v>43010</c:v>
                </c:pt>
                <c:pt idx="633">
                  <c:v>43011</c:v>
                </c:pt>
                <c:pt idx="634">
                  <c:v>43012</c:v>
                </c:pt>
                <c:pt idx="635">
                  <c:v>43013</c:v>
                </c:pt>
                <c:pt idx="636">
                  <c:v>43014</c:v>
                </c:pt>
                <c:pt idx="637">
                  <c:v>43017</c:v>
                </c:pt>
                <c:pt idx="638">
                  <c:v>43018</c:v>
                </c:pt>
                <c:pt idx="639">
                  <c:v>43019</c:v>
                </c:pt>
                <c:pt idx="640">
                  <c:v>43020</c:v>
                </c:pt>
                <c:pt idx="641">
                  <c:v>43021</c:v>
                </c:pt>
                <c:pt idx="642">
                  <c:v>43024</c:v>
                </c:pt>
                <c:pt idx="643">
                  <c:v>43025</c:v>
                </c:pt>
                <c:pt idx="644">
                  <c:v>43026</c:v>
                </c:pt>
                <c:pt idx="645">
                  <c:v>43027</c:v>
                </c:pt>
                <c:pt idx="646">
                  <c:v>43028</c:v>
                </c:pt>
                <c:pt idx="647">
                  <c:v>43031</c:v>
                </c:pt>
                <c:pt idx="648">
                  <c:v>43032</c:v>
                </c:pt>
                <c:pt idx="649">
                  <c:v>43033</c:v>
                </c:pt>
                <c:pt idx="650">
                  <c:v>43034</c:v>
                </c:pt>
                <c:pt idx="651">
                  <c:v>43035</c:v>
                </c:pt>
                <c:pt idx="652">
                  <c:v>43038</c:v>
                </c:pt>
                <c:pt idx="653">
                  <c:v>43039</c:v>
                </c:pt>
                <c:pt idx="654">
                  <c:v>43040</c:v>
                </c:pt>
                <c:pt idx="655">
                  <c:v>43041</c:v>
                </c:pt>
                <c:pt idx="656">
                  <c:v>43042</c:v>
                </c:pt>
                <c:pt idx="657">
                  <c:v>43045</c:v>
                </c:pt>
                <c:pt idx="658">
                  <c:v>43046</c:v>
                </c:pt>
                <c:pt idx="659">
                  <c:v>43047</c:v>
                </c:pt>
                <c:pt idx="660">
                  <c:v>43048</c:v>
                </c:pt>
                <c:pt idx="661">
                  <c:v>43049</c:v>
                </c:pt>
                <c:pt idx="662">
                  <c:v>43052</c:v>
                </c:pt>
                <c:pt idx="663">
                  <c:v>43053</c:v>
                </c:pt>
                <c:pt idx="664">
                  <c:v>43054</c:v>
                </c:pt>
                <c:pt idx="665">
                  <c:v>43055</c:v>
                </c:pt>
                <c:pt idx="666">
                  <c:v>43056</c:v>
                </c:pt>
                <c:pt idx="667">
                  <c:v>43059</c:v>
                </c:pt>
                <c:pt idx="668">
                  <c:v>43060</c:v>
                </c:pt>
                <c:pt idx="669">
                  <c:v>43061</c:v>
                </c:pt>
                <c:pt idx="670">
                  <c:v>43062</c:v>
                </c:pt>
                <c:pt idx="671">
                  <c:v>43063</c:v>
                </c:pt>
                <c:pt idx="672">
                  <c:v>43066</c:v>
                </c:pt>
                <c:pt idx="673">
                  <c:v>43067</c:v>
                </c:pt>
                <c:pt idx="674">
                  <c:v>43068</c:v>
                </c:pt>
                <c:pt idx="675">
                  <c:v>43069</c:v>
                </c:pt>
                <c:pt idx="676">
                  <c:v>43070</c:v>
                </c:pt>
                <c:pt idx="677">
                  <c:v>43073</c:v>
                </c:pt>
                <c:pt idx="678">
                  <c:v>43074</c:v>
                </c:pt>
                <c:pt idx="679">
                  <c:v>43075</c:v>
                </c:pt>
                <c:pt idx="680">
                  <c:v>43076</c:v>
                </c:pt>
                <c:pt idx="681">
                  <c:v>43077</c:v>
                </c:pt>
                <c:pt idx="682">
                  <c:v>43080</c:v>
                </c:pt>
                <c:pt idx="683">
                  <c:v>43081</c:v>
                </c:pt>
                <c:pt idx="684">
                  <c:v>43082</c:v>
                </c:pt>
                <c:pt idx="685">
                  <c:v>43083</c:v>
                </c:pt>
                <c:pt idx="686">
                  <c:v>43084</c:v>
                </c:pt>
                <c:pt idx="687">
                  <c:v>43087</c:v>
                </c:pt>
                <c:pt idx="688">
                  <c:v>43088</c:v>
                </c:pt>
                <c:pt idx="689">
                  <c:v>43089</c:v>
                </c:pt>
                <c:pt idx="690">
                  <c:v>43090</c:v>
                </c:pt>
                <c:pt idx="691">
                  <c:v>43091</c:v>
                </c:pt>
                <c:pt idx="692">
                  <c:v>43096</c:v>
                </c:pt>
                <c:pt idx="693">
                  <c:v>43097</c:v>
                </c:pt>
                <c:pt idx="694">
                  <c:v>43098</c:v>
                </c:pt>
                <c:pt idx="695">
                  <c:v>43102</c:v>
                </c:pt>
                <c:pt idx="696">
                  <c:v>43103</c:v>
                </c:pt>
                <c:pt idx="697">
                  <c:v>43104</c:v>
                </c:pt>
                <c:pt idx="698">
                  <c:v>43105</c:v>
                </c:pt>
                <c:pt idx="699">
                  <c:v>43108</c:v>
                </c:pt>
                <c:pt idx="700">
                  <c:v>43109</c:v>
                </c:pt>
                <c:pt idx="701">
                  <c:v>43110</c:v>
                </c:pt>
                <c:pt idx="702">
                  <c:v>43111</c:v>
                </c:pt>
                <c:pt idx="703">
                  <c:v>43112</c:v>
                </c:pt>
                <c:pt idx="704">
                  <c:v>43115</c:v>
                </c:pt>
                <c:pt idx="705">
                  <c:v>43116</c:v>
                </c:pt>
                <c:pt idx="706">
                  <c:v>43117</c:v>
                </c:pt>
                <c:pt idx="707">
                  <c:v>43118</c:v>
                </c:pt>
                <c:pt idx="708">
                  <c:v>43119</c:v>
                </c:pt>
                <c:pt idx="709">
                  <c:v>43122</c:v>
                </c:pt>
                <c:pt idx="710">
                  <c:v>43123</c:v>
                </c:pt>
                <c:pt idx="711">
                  <c:v>43124</c:v>
                </c:pt>
                <c:pt idx="712">
                  <c:v>43125</c:v>
                </c:pt>
                <c:pt idx="713">
                  <c:v>43126</c:v>
                </c:pt>
                <c:pt idx="714">
                  <c:v>43129</c:v>
                </c:pt>
                <c:pt idx="715">
                  <c:v>43130</c:v>
                </c:pt>
                <c:pt idx="716">
                  <c:v>43131</c:v>
                </c:pt>
                <c:pt idx="717">
                  <c:v>43132</c:v>
                </c:pt>
                <c:pt idx="718">
                  <c:v>43133</c:v>
                </c:pt>
                <c:pt idx="719">
                  <c:v>43136</c:v>
                </c:pt>
                <c:pt idx="720">
                  <c:v>43137</c:v>
                </c:pt>
                <c:pt idx="721">
                  <c:v>43138</c:v>
                </c:pt>
                <c:pt idx="722">
                  <c:v>43139</c:v>
                </c:pt>
                <c:pt idx="723">
                  <c:v>43140</c:v>
                </c:pt>
                <c:pt idx="724">
                  <c:v>43143</c:v>
                </c:pt>
                <c:pt idx="725">
                  <c:v>43144</c:v>
                </c:pt>
                <c:pt idx="726">
                  <c:v>43145</c:v>
                </c:pt>
                <c:pt idx="727">
                  <c:v>43146</c:v>
                </c:pt>
                <c:pt idx="728">
                  <c:v>43147</c:v>
                </c:pt>
                <c:pt idx="729">
                  <c:v>43150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43189</c:v>
                </c:pt>
                <c:pt idx="759">
                  <c:v>43192</c:v>
                </c:pt>
                <c:pt idx="760">
                  <c:v>43193</c:v>
                </c:pt>
                <c:pt idx="761">
                  <c:v>43194</c:v>
                </c:pt>
                <c:pt idx="762">
                  <c:v>43195</c:v>
                </c:pt>
                <c:pt idx="763">
                  <c:v>43196</c:v>
                </c:pt>
                <c:pt idx="764">
                  <c:v>43199</c:v>
                </c:pt>
                <c:pt idx="765">
                  <c:v>43200</c:v>
                </c:pt>
                <c:pt idx="766">
                  <c:v>43201</c:v>
                </c:pt>
                <c:pt idx="767">
                  <c:v>43202</c:v>
                </c:pt>
                <c:pt idx="768">
                  <c:v>43203</c:v>
                </c:pt>
                <c:pt idx="769">
                  <c:v>43206</c:v>
                </c:pt>
                <c:pt idx="770">
                  <c:v>43207</c:v>
                </c:pt>
                <c:pt idx="771">
                  <c:v>43208</c:v>
                </c:pt>
                <c:pt idx="772">
                  <c:v>43209</c:v>
                </c:pt>
                <c:pt idx="773">
                  <c:v>43210</c:v>
                </c:pt>
                <c:pt idx="774">
                  <c:v>43213</c:v>
                </c:pt>
                <c:pt idx="775">
                  <c:v>43214</c:v>
                </c:pt>
                <c:pt idx="776">
                  <c:v>43215</c:v>
                </c:pt>
                <c:pt idx="777">
                  <c:v>43216</c:v>
                </c:pt>
                <c:pt idx="778">
                  <c:v>43217</c:v>
                </c:pt>
                <c:pt idx="779">
                  <c:v>43220</c:v>
                </c:pt>
                <c:pt idx="780">
                  <c:v>43221</c:v>
                </c:pt>
                <c:pt idx="781">
                  <c:v>43222</c:v>
                </c:pt>
                <c:pt idx="782">
                  <c:v>43223</c:v>
                </c:pt>
                <c:pt idx="783">
                  <c:v>43224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43285</c:v>
                </c:pt>
                <c:pt idx="825">
                  <c:v>43286</c:v>
                </c:pt>
                <c:pt idx="826">
                  <c:v>43287</c:v>
                </c:pt>
                <c:pt idx="827">
                  <c:v>43290</c:v>
                </c:pt>
                <c:pt idx="828">
                  <c:v>43291</c:v>
                </c:pt>
                <c:pt idx="829">
                  <c:v>43292</c:v>
                </c:pt>
                <c:pt idx="830">
                  <c:v>43293</c:v>
                </c:pt>
                <c:pt idx="831">
                  <c:v>43294</c:v>
                </c:pt>
                <c:pt idx="832">
                  <c:v>43297</c:v>
                </c:pt>
                <c:pt idx="833">
                  <c:v>43298</c:v>
                </c:pt>
                <c:pt idx="834">
                  <c:v>43299</c:v>
                </c:pt>
                <c:pt idx="835">
                  <c:v>43300</c:v>
                </c:pt>
                <c:pt idx="836">
                  <c:v>43301</c:v>
                </c:pt>
                <c:pt idx="837">
                  <c:v>43304</c:v>
                </c:pt>
                <c:pt idx="838">
                  <c:v>43305</c:v>
                </c:pt>
                <c:pt idx="839">
                  <c:v>43306</c:v>
                </c:pt>
                <c:pt idx="840">
                  <c:v>43307</c:v>
                </c:pt>
                <c:pt idx="841">
                  <c:v>43308</c:v>
                </c:pt>
                <c:pt idx="842">
                  <c:v>43311</c:v>
                </c:pt>
                <c:pt idx="843">
                  <c:v>43312</c:v>
                </c:pt>
                <c:pt idx="844">
                  <c:v>43313</c:v>
                </c:pt>
                <c:pt idx="845">
                  <c:v>43314</c:v>
                </c:pt>
                <c:pt idx="846">
                  <c:v>43315</c:v>
                </c:pt>
                <c:pt idx="847">
                  <c:v>43318</c:v>
                </c:pt>
                <c:pt idx="848">
                  <c:v>43319</c:v>
                </c:pt>
                <c:pt idx="849">
                  <c:v>43320</c:v>
                </c:pt>
                <c:pt idx="850">
                  <c:v>43321</c:v>
                </c:pt>
                <c:pt idx="851">
                  <c:v>43322</c:v>
                </c:pt>
                <c:pt idx="852">
                  <c:v>43325</c:v>
                </c:pt>
                <c:pt idx="853">
                  <c:v>43326</c:v>
                </c:pt>
                <c:pt idx="854">
                  <c:v>43327</c:v>
                </c:pt>
                <c:pt idx="855">
                  <c:v>43328</c:v>
                </c:pt>
                <c:pt idx="856">
                  <c:v>43329</c:v>
                </c:pt>
                <c:pt idx="857">
                  <c:v>43332</c:v>
                </c:pt>
                <c:pt idx="858">
                  <c:v>43333</c:v>
                </c:pt>
                <c:pt idx="859">
                  <c:v>43334</c:v>
                </c:pt>
                <c:pt idx="860">
                  <c:v>43335</c:v>
                </c:pt>
                <c:pt idx="861">
                  <c:v>43336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43346</c:v>
                </c:pt>
                <c:pt idx="867">
                  <c:v>43347</c:v>
                </c:pt>
                <c:pt idx="868">
                  <c:v>43348</c:v>
                </c:pt>
                <c:pt idx="869">
                  <c:v>43349</c:v>
                </c:pt>
                <c:pt idx="870">
                  <c:v>43350</c:v>
                </c:pt>
                <c:pt idx="871">
                  <c:v>43353</c:v>
                </c:pt>
                <c:pt idx="872">
                  <c:v>43354</c:v>
                </c:pt>
                <c:pt idx="873">
                  <c:v>43355</c:v>
                </c:pt>
                <c:pt idx="874">
                  <c:v>43356</c:v>
                </c:pt>
                <c:pt idx="875">
                  <c:v>43357</c:v>
                </c:pt>
                <c:pt idx="876">
                  <c:v>43360</c:v>
                </c:pt>
                <c:pt idx="877">
                  <c:v>43361</c:v>
                </c:pt>
                <c:pt idx="878">
                  <c:v>43362</c:v>
                </c:pt>
                <c:pt idx="879">
                  <c:v>43363</c:v>
                </c:pt>
                <c:pt idx="880">
                  <c:v>43364</c:v>
                </c:pt>
                <c:pt idx="881">
                  <c:v>43367</c:v>
                </c:pt>
                <c:pt idx="882">
                  <c:v>43368</c:v>
                </c:pt>
                <c:pt idx="883">
                  <c:v>43369</c:v>
                </c:pt>
                <c:pt idx="884">
                  <c:v>43370</c:v>
                </c:pt>
                <c:pt idx="885">
                  <c:v>43371</c:v>
                </c:pt>
                <c:pt idx="886">
                  <c:v>43374</c:v>
                </c:pt>
                <c:pt idx="887">
                  <c:v>43375</c:v>
                </c:pt>
                <c:pt idx="888">
                  <c:v>43376</c:v>
                </c:pt>
                <c:pt idx="889">
                  <c:v>43377</c:v>
                </c:pt>
                <c:pt idx="890">
                  <c:v>43378</c:v>
                </c:pt>
                <c:pt idx="891">
                  <c:v>43381</c:v>
                </c:pt>
                <c:pt idx="892">
                  <c:v>43382</c:v>
                </c:pt>
                <c:pt idx="893">
                  <c:v>43383</c:v>
                </c:pt>
                <c:pt idx="894">
                  <c:v>43384</c:v>
                </c:pt>
                <c:pt idx="895">
                  <c:v>43385</c:v>
                </c:pt>
                <c:pt idx="896">
                  <c:v>43388</c:v>
                </c:pt>
                <c:pt idx="897">
                  <c:v>43389</c:v>
                </c:pt>
                <c:pt idx="898">
                  <c:v>43390</c:v>
                </c:pt>
                <c:pt idx="899">
                  <c:v>43391</c:v>
                </c:pt>
                <c:pt idx="900">
                  <c:v>43392</c:v>
                </c:pt>
                <c:pt idx="901">
                  <c:v>43395</c:v>
                </c:pt>
                <c:pt idx="902">
                  <c:v>43396</c:v>
                </c:pt>
                <c:pt idx="903">
                  <c:v>43397</c:v>
                </c:pt>
                <c:pt idx="904">
                  <c:v>43398</c:v>
                </c:pt>
                <c:pt idx="905">
                  <c:v>43399</c:v>
                </c:pt>
                <c:pt idx="906">
                  <c:v>43402</c:v>
                </c:pt>
                <c:pt idx="907">
                  <c:v>43403</c:v>
                </c:pt>
                <c:pt idx="908">
                  <c:v>43404</c:v>
                </c:pt>
                <c:pt idx="909">
                  <c:v>43405</c:v>
                </c:pt>
                <c:pt idx="910">
                  <c:v>43406</c:v>
                </c:pt>
                <c:pt idx="911">
                  <c:v>43409</c:v>
                </c:pt>
                <c:pt idx="912">
                  <c:v>43410</c:v>
                </c:pt>
                <c:pt idx="913">
                  <c:v>43411</c:v>
                </c:pt>
                <c:pt idx="914">
                  <c:v>43412</c:v>
                </c:pt>
                <c:pt idx="915">
                  <c:v>43413</c:v>
                </c:pt>
                <c:pt idx="916">
                  <c:v>43416</c:v>
                </c:pt>
                <c:pt idx="917">
                  <c:v>43417</c:v>
                </c:pt>
                <c:pt idx="918">
                  <c:v>43418</c:v>
                </c:pt>
                <c:pt idx="919">
                  <c:v>43419</c:v>
                </c:pt>
                <c:pt idx="920">
                  <c:v>43420</c:v>
                </c:pt>
                <c:pt idx="921">
                  <c:v>43423</c:v>
                </c:pt>
                <c:pt idx="922">
                  <c:v>43424</c:v>
                </c:pt>
                <c:pt idx="923">
                  <c:v>43425</c:v>
                </c:pt>
                <c:pt idx="924">
                  <c:v>43426</c:v>
                </c:pt>
                <c:pt idx="925">
                  <c:v>43427</c:v>
                </c:pt>
                <c:pt idx="926">
                  <c:v>43430</c:v>
                </c:pt>
                <c:pt idx="927">
                  <c:v>43431</c:v>
                </c:pt>
                <c:pt idx="928">
                  <c:v>43432</c:v>
                </c:pt>
                <c:pt idx="929">
                  <c:v>43433</c:v>
                </c:pt>
                <c:pt idx="930">
                  <c:v>43434</c:v>
                </c:pt>
                <c:pt idx="931">
                  <c:v>43437</c:v>
                </c:pt>
                <c:pt idx="932">
                  <c:v>43438</c:v>
                </c:pt>
                <c:pt idx="933">
                  <c:v>43439</c:v>
                </c:pt>
                <c:pt idx="934">
                  <c:v>43440</c:v>
                </c:pt>
                <c:pt idx="935">
                  <c:v>43441</c:v>
                </c:pt>
                <c:pt idx="936">
                  <c:v>43444</c:v>
                </c:pt>
                <c:pt idx="937">
                  <c:v>43445</c:v>
                </c:pt>
                <c:pt idx="938">
                  <c:v>43446</c:v>
                </c:pt>
                <c:pt idx="939">
                  <c:v>43447</c:v>
                </c:pt>
                <c:pt idx="940">
                  <c:v>43448</c:v>
                </c:pt>
                <c:pt idx="941">
                  <c:v>43451</c:v>
                </c:pt>
                <c:pt idx="942">
                  <c:v>43452</c:v>
                </c:pt>
                <c:pt idx="943">
                  <c:v>43453</c:v>
                </c:pt>
                <c:pt idx="944">
                  <c:v>43454</c:v>
                </c:pt>
                <c:pt idx="945">
                  <c:v>43455</c:v>
                </c:pt>
                <c:pt idx="946">
                  <c:v>43458</c:v>
                </c:pt>
                <c:pt idx="947">
                  <c:v>43461</c:v>
                </c:pt>
                <c:pt idx="948">
                  <c:v>43462</c:v>
                </c:pt>
                <c:pt idx="949">
                  <c:v>43465</c:v>
                </c:pt>
                <c:pt idx="950">
                  <c:v>43467</c:v>
                </c:pt>
                <c:pt idx="951">
                  <c:v>43468</c:v>
                </c:pt>
                <c:pt idx="952">
                  <c:v>43469</c:v>
                </c:pt>
                <c:pt idx="953">
                  <c:v>43472</c:v>
                </c:pt>
                <c:pt idx="954">
                  <c:v>43473</c:v>
                </c:pt>
                <c:pt idx="955">
                  <c:v>43474</c:v>
                </c:pt>
                <c:pt idx="956">
                  <c:v>43475</c:v>
                </c:pt>
                <c:pt idx="957">
                  <c:v>43476</c:v>
                </c:pt>
                <c:pt idx="958">
                  <c:v>43479</c:v>
                </c:pt>
                <c:pt idx="959">
                  <c:v>43480</c:v>
                </c:pt>
                <c:pt idx="960">
                  <c:v>43481</c:v>
                </c:pt>
                <c:pt idx="961">
                  <c:v>43482</c:v>
                </c:pt>
                <c:pt idx="962">
                  <c:v>43483</c:v>
                </c:pt>
                <c:pt idx="963">
                  <c:v>43486</c:v>
                </c:pt>
                <c:pt idx="964">
                  <c:v>43487</c:v>
                </c:pt>
                <c:pt idx="965">
                  <c:v>43488</c:v>
                </c:pt>
                <c:pt idx="966">
                  <c:v>43489</c:v>
                </c:pt>
                <c:pt idx="967">
                  <c:v>43490</c:v>
                </c:pt>
                <c:pt idx="968">
                  <c:v>43493</c:v>
                </c:pt>
                <c:pt idx="969">
                  <c:v>43494</c:v>
                </c:pt>
                <c:pt idx="970">
                  <c:v>43495</c:v>
                </c:pt>
                <c:pt idx="971">
                  <c:v>43496</c:v>
                </c:pt>
                <c:pt idx="972">
                  <c:v>43497</c:v>
                </c:pt>
                <c:pt idx="973">
                  <c:v>43500</c:v>
                </c:pt>
                <c:pt idx="974">
                  <c:v>43501</c:v>
                </c:pt>
                <c:pt idx="975">
                  <c:v>43502</c:v>
                </c:pt>
                <c:pt idx="976">
                  <c:v>43503</c:v>
                </c:pt>
                <c:pt idx="977">
                  <c:v>43504</c:v>
                </c:pt>
                <c:pt idx="978">
                  <c:v>43507</c:v>
                </c:pt>
                <c:pt idx="979">
                  <c:v>43508</c:v>
                </c:pt>
                <c:pt idx="980">
                  <c:v>43509</c:v>
                </c:pt>
                <c:pt idx="981">
                  <c:v>43510</c:v>
                </c:pt>
                <c:pt idx="982">
                  <c:v>43511</c:v>
                </c:pt>
                <c:pt idx="983">
                  <c:v>43514</c:v>
                </c:pt>
                <c:pt idx="984">
                  <c:v>43515</c:v>
                </c:pt>
                <c:pt idx="985">
                  <c:v>43516</c:v>
                </c:pt>
                <c:pt idx="986">
                  <c:v>43517</c:v>
                </c:pt>
                <c:pt idx="987">
                  <c:v>43518</c:v>
                </c:pt>
                <c:pt idx="988">
                  <c:v>43521</c:v>
                </c:pt>
                <c:pt idx="989">
                  <c:v>43522</c:v>
                </c:pt>
                <c:pt idx="990">
                  <c:v>43523</c:v>
                </c:pt>
                <c:pt idx="991">
                  <c:v>43524</c:v>
                </c:pt>
                <c:pt idx="992">
                  <c:v>43525</c:v>
                </c:pt>
                <c:pt idx="993">
                  <c:v>43528</c:v>
                </c:pt>
                <c:pt idx="994">
                  <c:v>43529</c:v>
                </c:pt>
                <c:pt idx="995">
                  <c:v>43530</c:v>
                </c:pt>
                <c:pt idx="996">
                  <c:v>43531</c:v>
                </c:pt>
                <c:pt idx="997">
                  <c:v>43532</c:v>
                </c:pt>
                <c:pt idx="998">
                  <c:v>43535</c:v>
                </c:pt>
                <c:pt idx="999">
                  <c:v>43536</c:v>
                </c:pt>
                <c:pt idx="1000">
                  <c:v>43537</c:v>
                </c:pt>
                <c:pt idx="1001">
                  <c:v>43538</c:v>
                </c:pt>
                <c:pt idx="1002">
                  <c:v>43539</c:v>
                </c:pt>
                <c:pt idx="1003">
                  <c:v>43542</c:v>
                </c:pt>
                <c:pt idx="1004">
                  <c:v>43543</c:v>
                </c:pt>
                <c:pt idx="1005">
                  <c:v>43544</c:v>
                </c:pt>
                <c:pt idx="1006">
                  <c:v>43545</c:v>
                </c:pt>
                <c:pt idx="1007">
                  <c:v>43546</c:v>
                </c:pt>
                <c:pt idx="1008">
                  <c:v>43549</c:v>
                </c:pt>
                <c:pt idx="1009">
                  <c:v>43550</c:v>
                </c:pt>
                <c:pt idx="1010">
                  <c:v>43551</c:v>
                </c:pt>
                <c:pt idx="1011">
                  <c:v>43552</c:v>
                </c:pt>
                <c:pt idx="1012">
                  <c:v>43553</c:v>
                </c:pt>
                <c:pt idx="1013">
                  <c:v>43556</c:v>
                </c:pt>
                <c:pt idx="1014">
                  <c:v>43557</c:v>
                </c:pt>
                <c:pt idx="1015">
                  <c:v>43558</c:v>
                </c:pt>
                <c:pt idx="1016">
                  <c:v>43559</c:v>
                </c:pt>
                <c:pt idx="1017">
                  <c:v>43560</c:v>
                </c:pt>
                <c:pt idx="1018">
                  <c:v>43563</c:v>
                </c:pt>
                <c:pt idx="1019">
                  <c:v>43564</c:v>
                </c:pt>
                <c:pt idx="1020">
                  <c:v>43565</c:v>
                </c:pt>
                <c:pt idx="1021">
                  <c:v>43566</c:v>
                </c:pt>
                <c:pt idx="1022">
                  <c:v>43567</c:v>
                </c:pt>
                <c:pt idx="1023">
                  <c:v>43570</c:v>
                </c:pt>
                <c:pt idx="1024">
                  <c:v>43571</c:v>
                </c:pt>
                <c:pt idx="1025">
                  <c:v>43572</c:v>
                </c:pt>
                <c:pt idx="1026">
                  <c:v>43573</c:v>
                </c:pt>
                <c:pt idx="1027">
                  <c:v>43578</c:v>
                </c:pt>
                <c:pt idx="1028">
                  <c:v>43579</c:v>
                </c:pt>
                <c:pt idx="1029">
                  <c:v>43580</c:v>
                </c:pt>
                <c:pt idx="1030">
                  <c:v>43581</c:v>
                </c:pt>
                <c:pt idx="1031">
                  <c:v>43584</c:v>
                </c:pt>
                <c:pt idx="1032">
                  <c:v>43585</c:v>
                </c:pt>
                <c:pt idx="1033">
                  <c:v>43586</c:v>
                </c:pt>
                <c:pt idx="1034">
                  <c:v>43587</c:v>
                </c:pt>
                <c:pt idx="1035">
                  <c:v>43588</c:v>
                </c:pt>
                <c:pt idx="1036">
                  <c:v>43592</c:v>
                </c:pt>
                <c:pt idx="1037">
                  <c:v>43593</c:v>
                </c:pt>
                <c:pt idx="1038">
                  <c:v>43594</c:v>
                </c:pt>
                <c:pt idx="1039">
                  <c:v>43595</c:v>
                </c:pt>
                <c:pt idx="1040">
                  <c:v>43598</c:v>
                </c:pt>
                <c:pt idx="1041">
                  <c:v>43599</c:v>
                </c:pt>
                <c:pt idx="1042">
                  <c:v>43600</c:v>
                </c:pt>
                <c:pt idx="1043">
                  <c:v>43601</c:v>
                </c:pt>
                <c:pt idx="1044">
                  <c:v>43602</c:v>
                </c:pt>
                <c:pt idx="1045">
                  <c:v>43605</c:v>
                </c:pt>
                <c:pt idx="1046">
                  <c:v>43606</c:v>
                </c:pt>
                <c:pt idx="1047">
                  <c:v>43607</c:v>
                </c:pt>
                <c:pt idx="1048">
                  <c:v>43608</c:v>
                </c:pt>
                <c:pt idx="1049">
                  <c:v>43609</c:v>
                </c:pt>
                <c:pt idx="1050">
                  <c:v>43613</c:v>
                </c:pt>
                <c:pt idx="1051">
                  <c:v>43614</c:v>
                </c:pt>
                <c:pt idx="1052">
                  <c:v>43615</c:v>
                </c:pt>
                <c:pt idx="1053">
                  <c:v>43616</c:v>
                </c:pt>
                <c:pt idx="1054">
                  <c:v>43619</c:v>
                </c:pt>
                <c:pt idx="1055">
                  <c:v>43620</c:v>
                </c:pt>
                <c:pt idx="1056">
                  <c:v>43621</c:v>
                </c:pt>
                <c:pt idx="1057">
                  <c:v>43622</c:v>
                </c:pt>
                <c:pt idx="1058">
                  <c:v>43623</c:v>
                </c:pt>
                <c:pt idx="1059">
                  <c:v>43626</c:v>
                </c:pt>
                <c:pt idx="1060">
                  <c:v>43627</c:v>
                </c:pt>
                <c:pt idx="1061">
                  <c:v>43628</c:v>
                </c:pt>
                <c:pt idx="1062">
                  <c:v>43629</c:v>
                </c:pt>
                <c:pt idx="1063">
                  <c:v>43630</c:v>
                </c:pt>
                <c:pt idx="1064">
                  <c:v>43633</c:v>
                </c:pt>
                <c:pt idx="1065">
                  <c:v>43634</c:v>
                </c:pt>
                <c:pt idx="1066">
                  <c:v>43635</c:v>
                </c:pt>
                <c:pt idx="1067">
                  <c:v>43636</c:v>
                </c:pt>
                <c:pt idx="1068">
                  <c:v>43637</c:v>
                </c:pt>
                <c:pt idx="1069">
                  <c:v>43640</c:v>
                </c:pt>
                <c:pt idx="1070">
                  <c:v>43641</c:v>
                </c:pt>
                <c:pt idx="1071">
                  <c:v>43642</c:v>
                </c:pt>
                <c:pt idx="1072">
                  <c:v>43643</c:v>
                </c:pt>
                <c:pt idx="1073">
                  <c:v>43644</c:v>
                </c:pt>
                <c:pt idx="1074">
                  <c:v>43647</c:v>
                </c:pt>
                <c:pt idx="1075">
                  <c:v>43648</c:v>
                </c:pt>
                <c:pt idx="1076">
                  <c:v>43649</c:v>
                </c:pt>
                <c:pt idx="1077">
                  <c:v>43650</c:v>
                </c:pt>
                <c:pt idx="1078">
                  <c:v>43651</c:v>
                </c:pt>
                <c:pt idx="1079">
                  <c:v>43654</c:v>
                </c:pt>
                <c:pt idx="1080">
                  <c:v>43655</c:v>
                </c:pt>
                <c:pt idx="1081">
                  <c:v>43656</c:v>
                </c:pt>
                <c:pt idx="1082">
                  <c:v>43657</c:v>
                </c:pt>
                <c:pt idx="1083">
                  <c:v>43658</c:v>
                </c:pt>
                <c:pt idx="1084">
                  <c:v>43661</c:v>
                </c:pt>
                <c:pt idx="1085">
                  <c:v>43662</c:v>
                </c:pt>
                <c:pt idx="1086">
                  <c:v>43663</c:v>
                </c:pt>
                <c:pt idx="1087">
                  <c:v>43664</c:v>
                </c:pt>
                <c:pt idx="1088">
                  <c:v>43665</c:v>
                </c:pt>
                <c:pt idx="1089">
                  <c:v>43668</c:v>
                </c:pt>
                <c:pt idx="1090">
                  <c:v>43669</c:v>
                </c:pt>
                <c:pt idx="1091">
                  <c:v>43670</c:v>
                </c:pt>
                <c:pt idx="1092">
                  <c:v>43671</c:v>
                </c:pt>
                <c:pt idx="1093">
                  <c:v>43672</c:v>
                </c:pt>
                <c:pt idx="1094">
                  <c:v>43675</c:v>
                </c:pt>
                <c:pt idx="1095">
                  <c:v>43676</c:v>
                </c:pt>
                <c:pt idx="1096">
                  <c:v>43677</c:v>
                </c:pt>
                <c:pt idx="1097">
                  <c:v>43678</c:v>
                </c:pt>
                <c:pt idx="1098">
                  <c:v>43679</c:v>
                </c:pt>
                <c:pt idx="1099">
                  <c:v>43682</c:v>
                </c:pt>
                <c:pt idx="1100">
                  <c:v>43683</c:v>
                </c:pt>
                <c:pt idx="1101">
                  <c:v>43684</c:v>
                </c:pt>
                <c:pt idx="1102">
                  <c:v>43685</c:v>
                </c:pt>
                <c:pt idx="1103">
                  <c:v>43686</c:v>
                </c:pt>
                <c:pt idx="1104">
                  <c:v>43689</c:v>
                </c:pt>
                <c:pt idx="1105">
                  <c:v>43690</c:v>
                </c:pt>
                <c:pt idx="1106">
                  <c:v>43691</c:v>
                </c:pt>
                <c:pt idx="1107">
                  <c:v>43692</c:v>
                </c:pt>
                <c:pt idx="1108">
                  <c:v>43693</c:v>
                </c:pt>
                <c:pt idx="1109">
                  <c:v>43696</c:v>
                </c:pt>
                <c:pt idx="1110">
                  <c:v>43697</c:v>
                </c:pt>
                <c:pt idx="1111">
                  <c:v>43698</c:v>
                </c:pt>
                <c:pt idx="1112">
                  <c:v>43699</c:v>
                </c:pt>
                <c:pt idx="1113">
                  <c:v>43700</c:v>
                </c:pt>
                <c:pt idx="1114">
                  <c:v>43704</c:v>
                </c:pt>
                <c:pt idx="1115">
                  <c:v>43705</c:v>
                </c:pt>
                <c:pt idx="1116">
                  <c:v>43706</c:v>
                </c:pt>
                <c:pt idx="1117">
                  <c:v>43707</c:v>
                </c:pt>
                <c:pt idx="1118">
                  <c:v>43710</c:v>
                </c:pt>
                <c:pt idx="1119">
                  <c:v>43711</c:v>
                </c:pt>
                <c:pt idx="1120">
                  <c:v>43712</c:v>
                </c:pt>
                <c:pt idx="1121">
                  <c:v>43713</c:v>
                </c:pt>
                <c:pt idx="1122">
                  <c:v>43714</c:v>
                </c:pt>
                <c:pt idx="1123">
                  <c:v>43717</c:v>
                </c:pt>
                <c:pt idx="1124">
                  <c:v>43718</c:v>
                </c:pt>
                <c:pt idx="1125">
                  <c:v>43719</c:v>
                </c:pt>
                <c:pt idx="1126">
                  <c:v>43720</c:v>
                </c:pt>
                <c:pt idx="1127">
                  <c:v>43721</c:v>
                </c:pt>
                <c:pt idx="1128">
                  <c:v>43724</c:v>
                </c:pt>
                <c:pt idx="1129">
                  <c:v>43725</c:v>
                </c:pt>
                <c:pt idx="1130">
                  <c:v>43726</c:v>
                </c:pt>
                <c:pt idx="1131">
                  <c:v>43727</c:v>
                </c:pt>
                <c:pt idx="1132">
                  <c:v>43728</c:v>
                </c:pt>
                <c:pt idx="1133">
                  <c:v>43731</c:v>
                </c:pt>
                <c:pt idx="1134">
                  <c:v>43732</c:v>
                </c:pt>
                <c:pt idx="1135">
                  <c:v>43733</c:v>
                </c:pt>
                <c:pt idx="1136">
                  <c:v>43734</c:v>
                </c:pt>
                <c:pt idx="1137">
                  <c:v>43735</c:v>
                </c:pt>
                <c:pt idx="1138">
                  <c:v>43738</c:v>
                </c:pt>
                <c:pt idx="1139">
                  <c:v>43739</c:v>
                </c:pt>
                <c:pt idx="1140">
                  <c:v>43740</c:v>
                </c:pt>
                <c:pt idx="1141">
                  <c:v>43741</c:v>
                </c:pt>
                <c:pt idx="1142">
                  <c:v>43742</c:v>
                </c:pt>
                <c:pt idx="1143">
                  <c:v>43745</c:v>
                </c:pt>
                <c:pt idx="1144">
                  <c:v>43746</c:v>
                </c:pt>
                <c:pt idx="1145">
                  <c:v>43747</c:v>
                </c:pt>
                <c:pt idx="1146">
                  <c:v>43748</c:v>
                </c:pt>
                <c:pt idx="1147">
                  <c:v>43749</c:v>
                </c:pt>
                <c:pt idx="1148">
                  <c:v>43752</c:v>
                </c:pt>
                <c:pt idx="1149">
                  <c:v>43753</c:v>
                </c:pt>
                <c:pt idx="1150">
                  <c:v>43754</c:v>
                </c:pt>
                <c:pt idx="1151">
                  <c:v>43755</c:v>
                </c:pt>
                <c:pt idx="1152">
                  <c:v>43756</c:v>
                </c:pt>
                <c:pt idx="1153">
                  <c:v>43759</c:v>
                </c:pt>
                <c:pt idx="1154">
                  <c:v>43760</c:v>
                </c:pt>
                <c:pt idx="1155">
                  <c:v>43761</c:v>
                </c:pt>
                <c:pt idx="1156">
                  <c:v>43762</c:v>
                </c:pt>
                <c:pt idx="1157">
                  <c:v>43763</c:v>
                </c:pt>
                <c:pt idx="1158">
                  <c:v>43766</c:v>
                </c:pt>
                <c:pt idx="1159">
                  <c:v>43767</c:v>
                </c:pt>
                <c:pt idx="1160">
                  <c:v>43768</c:v>
                </c:pt>
                <c:pt idx="1161">
                  <c:v>43769</c:v>
                </c:pt>
                <c:pt idx="1162">
                  <c:v>43770</c:v>
                </c:pt>
                <c:pt idx="1163">
                  <c:v>43773</c:v>
                </c:pt>
                <c:pt idx="1164">
                  <c:v>43774</c:v>
                </c:pt>
                <c:pt idx="1165">
                  <c:v>43775</c:v>
                </c:pt>
                <c:pt idx="1166">
                  <c:v>43776</c:v>
                </c:pt>
                <c:pt idx="1167">
                  <c:v>43777</c:v>
                </c:pt>
                <c:pt idx="1168">
                  <c:v>43780</c:v>
                </c:pt>
                <c:pt idx="1169">
                  <c:v>43781</c:v>
                </c:pt>
                <c:pt idx="1170">
                  <c:v>43782</c:v>
                </c:pt>
                <c:pt idx="1171">
                  <c:v>43783</c:v>
                </c:pt>
                <c:pt idx="1172">
                  <c:v>43784</c:v>
                </c:pt>
                <c:pt idx="1173">
                  <c:v>43787</c:v>
                </c:pt>
                <c:pt idx="1174">
                  <c:v>43788</c:v>
                </c:pt>
                <c:pt idx="1175">
                  <c:v>43789</c:v>
                </c:pt>
                <c:pt idx="1176">
                  <c:v>43790</c:v>
                </c:pt>
                <c:pt idx="1177">
                  <c:v>43791</c:v>
                </c:pt>
                <c:pt idx="1178">
                  <c:v>43794</c:v>
                </c:pt>
                <c:pt idx="1179">
                  <c:v>43795</c:v>
                </c:pt>
                <c:pt idx="1180">
                  <c:v>43796</c:v>
                </c:pt>
                <c:pt idx="1181">
                  <c:v>43797</c:v>
                </c:pt>
                <c:pt idx="1182">
                  <c:v>43798</c:v>
                </c:pt>
                <c:pt idx="1183">
                  <c:v>43801</c:v>
                </c:pt>
                <c:pt idx="1184">
                  <c:v>43802</c:v>
                </c:pt>
                <c:pt idx="1185">
                  <c:v>43803</c:v>
                </c:pt>
                <c:pt idx="1186">
                  <c:v>43804</c:v>
                </c:pt>
                <c:pt idx="1187">
                  <c:v>43805</c:v>
                </c:pt>
                <c:pt idx="1188">
                  <c:v>43808</c:v>
                </c:pt>
                <c:pt idx="1189">
                  <c:v>43809</c:v>
                </c:pt>
                <c:pt idx="1190">
                  <c:v>43810</c:v>
                </c:pt>
                <c:pt idx="1191">
                  <c:v>43811</c:v>
                </c:pt>
                <c:pt idx="1192">
                  <c:v>43812</c:v>
                </c:pt>
                <c:pt idx="1193">
                  <c:v>43815</c:v>
                </c:pt>
                <c:pt idx="1194">
                  <c:v>43816</c:v>
                </c:pt>
                <c:pt idx="1195">
                  <c:v>43817</c:v>
                </c:pt>
                <c:pt idx="1196">
                  <c:v>43818</c:v>
                </c:pt>
                <c:pt idx="1197">
                  <c:v>43819</c:v>
                </c:pt>
                <c:pt idx="1198">
                  <c:v>43822</c:v>
                </c:pt>
                <c:pt idx="1199">
                  <c:v>43823</c:v>
                </c:pt>
                <c:pt idx="1200">
                  <c:v>43826</c:v>
                </c:pt>
                <c:pt idx="1201">
                  <c:v>43829</c:v>
                </c:pt>
                <c:pt idx="1202">
                  <c:v>43830</c:v>
                </c:pt>
                <c:pt idx="1203">
                  <c:v>43832</c:v>
                </c:pt>
                <c:pt idx="1204">
                  <c:v>43833</c:v>
                </c:pt>
                <c:pt idx="1205">
                  <c:v>43836</c:v>
                </c:pt>
                <c:pt idx="1206">
                  <c:v>43837</c:v>
                </c:pt>
                <c:pt idx="1207">
                  <c:v>43838</c:v>
                </c:pt>
                <c:pt idx="1208">
                  <c:v>43839</c:v>
                </c:pt>
                <c:pt idx="1209">
                  <c:v>43840</c:v>
                </c:pt>
                <c:pt idx="1210">
                  <c:v>43843</c:v>
                </c:pt>
                <c:pt idx="1211">
                  <c:v>43844</c:v>
                </c:pt>
                <c:pt idx="1212">
                  <c:v>43845</c:v>
                </c:pt>
                <c:pt idx="1213">
                  <c:v>43846</c:v>
                </c:pt>
                <c:pt idx="1214">
                  <c:v>43847</c:v>
                </c:pt>
                <c:pt idx="1215">
                  <c:v>43850</c:v>
                </c:pt>
                <c:pt idx="1216">
                  <c:v>43851</c:v>
                </c:pt>
                <c:pt idx="1217">
                  <c:v>43852</c:v>
                </c:pt>
                <c:pt idx="1218">
                  <c:v>43853</c:v>
                </c:pt>
                <c:pt idx="1219">
                  <c:v>43854</c:v>
                </c:pt>
                <c:pt idx="1220">
                  <c:v>43857</c:v>
                </c:pt>
                <c:pt idx="1221">
                  <c:v>43858</c:v>
                </c:pt>
                <c:pt idx="1222">
                  <c:v>43859</c:v>
                </c:pt>
                <c:pt idx="1223">
                  <c:v>43860</c:v>
                </c:pt>
                <c:pt idx="1224">
                  <c:v>43861</c:v>
                </c:pt>
                <c:pt idx="1225">
                  <c:v>43864</c:v>
                </c:pt>
                <c:pt idx="1226">
                  <c:v>43865</c:v>
                </c:pt>
                <c:pt idx="1227">
                  <c:v>43866</c:v>
                </c:pt>
                <c:pt idx="1228">
                  <c:v>43867</c:v>
                </c:pt>
                <c:pt idx="1229">
                  <c:v>43868</c:v>
                </c:pt>
                <c:pt idx="1230">
                  <c:v>43871</c:v>
                </c:pt>
                <c:pt idx="1231">
                  <c:v>43872</c:v>
                </c:pt>
                <c:pt idx="1232">
                  <c:v>43873</c:v>
                </c:pt>
                <c:pt idx="1233">
                  <c:v>43874</c:v>
                </c:pt>
                <c:pt idx="1234">
                  <c:v>43875</c:v>
                </c:pt>
                <c:pt idx="1235">
                  <c:v>43878</c:v>
                </c:pt>
                <c:pt idx="1236">
                  <c:v>43879</c:v>
                </c:pt>
                <c:pt idx="1237">
                  <c:v>43880</c:v>
                </c:pt>
                <c:pt idx="1238">
                  <c:v>43881</c:v>
                </c:pt>
                <c:pt idx="1239">
                  <c:v>43882</c:v>
                </c:pt>
                <c:pt idx="1240">
                  <c:v>43885</c:v>
                </c:pt>
                <c:pt idx="1241">
                  <c:v>43886</c:v>
                </c:pt>
                <c:pt idx="1242">
                  <c:v>43887</c:v>
                </c:pt>
                <c:pt idx="1243">
                  <c:v>43888</c:v>
                </c:pt>
                <c:pt idx="1244">
                  <c:v>43889</c:v>
                </c:pt>
                <c:pt idx="1245">
                  <c:v>43892</c:v>
                </c:pt>
                <c:pt idx="1246">
                  <c:v>43893</c:v>
                </c:pt>
                <c:pt idx="1247">
                  <c:v>43894</c:v>
                </c:pt>
                <c:pt idx="1248">
                  <c:v>43895</c:v>
                </c:pt>
                <c:pt idx="1249">
                  <c:v>43896</c:v>
                </c:pt>
                <c:pt idx="1250">
                  <c:v>43899</c:v>
                </c:pt>
                <c:pt idx="1251">
                  <c:v>43900</c:v>
                </c:pt>
                <c:pt idx="1252">
                  <c:v>43901</c:v>
                </c:pt>
                <c:pt idx="1253">
                  <c:v>43902</c:v>
                </c:pt>
                <c:pt idx="1254">
                  <c:v>43903</c:v>
                </c:pt>
                <c:pt idx="1255">
                  <c:v>43906</c:v>
                </c:pt>
                <c:pt idx="1256">
                  <c:v>43907</c:v>
                </c:pt>
                <c:pt idx="1257">
                  <c:v>43908</c:v>
                </c:pt>
                <c:pt idx="1258">
                  <c:v>43909</c:v>
                </c:pt>
                <c:pt idx="1259">
                  <c:v>43910</c:v>
                </c:pt>
                <c:pt idx="1260">
                  <c:v>43913</c:v>
                </c:pt>
                <c:pt idx="1261">
                  <c:v>43914</c:v>
                </c:pt>
                <c:pt idx="1262">
                  <c:v>43915</c:v>
                </c:pt>
                <c:pt idx="1263">
                  <c:v>43916</c:v>
                </c:pt>
                <c:pt idx="1264">
                  <c:v>43917</c:v>
                </c:pt>
                <c:pt idx="1265">
                  <c:v>43920</c:v>
                </c:pt>
                <c:pt idx="1266">
                  <c:v>43921</c:v>
                </c:pt>
                <c:pt idx="1267">
                  <c:v>43922</c:v>
                </c:pt>
                <c:pt idx="1268">
                  <c:v>43923</c:v>
                </c:pt>
                <c:pt idx="1269">
                  <c:v>43924</c:v>
                </c:pt>
                <c:pt idx="1270">
                  <c:v>43927</c:v>
                </c:pt>
                <c:pt idx="1271">
                  <c:v>43928</c:v>
                </c:pt>
                <c:pt idx="1272">
                  <c:v>43929</c:v>
                </c:pt>
                <c:pt idx="1273">
                  <c:v>43930</c:v>
                </c:pt>
                <c:pt idx="1274">
                  <c:v>43935</c:v>
                </c:pt>
                <c:pt idx="1275">
                  <c:v>43936</c:v>
                </c:pt>
                <c:pt idx="1276">
                  <c:v>43937</c:v>
                </c:pt>
                <c:pt idx="1277">
                  <c:v>43938</c:v>
                </c:pt>
                <c:pt idx="1278">
                  <c:v>43941</c:v>
                </c:pt>
                <c:pt idx="1279">
                  <c:v>43942</c:v>
                </c:pt>
                <c:pt idx="1280">
                  <c:v>43943</c:v>
                </c:pt>
                <c:pt idx="1281">
                  <c:v>43944</c:v>
                </c:pt>
                <c:pt idx="1282">
                  <c:v>43945</c:v>
                </c:pt>
                <c:pt idx="1283">
                  <c:v>43948</c:v>
                </c:pt>
                <c:pt idx="1284">
                  <c:v>43949</c:v>
                </c:pt>
                <c:pt idx="1285">
                  <c:v>43950</c:v>
                </c:pt>
                <c:pt idx="1286">
                  <c:v>43951</c:v>
                </c:pt>
                <c:pt idx="1287">
                  <c:v>43952</c:v>
                </c:pt>
                <c:pt idx="1288">
                  <c:v>43955</c:v>
                </c:pt>
                <c:pt idx="1289">
                  <c:v>43956</c:v>
                </c:pt>
                <c:pt idx="1290">
                  <c:v>43957</c:v>
                </c:pt>
                <c:pt idx="1291">
                  <c:v>43958</c:v>
                </c:pt>
                <c:pt idx="1292">
                  <c:v>43962</c:v>
                </c:pt>
                <c:pt idx="1293">
                  <c:v>43963</c:v>
                </c:pt>
                <c:pt idx="1294">
                  <c:v>43964</c:v>
                </c:pt>
                <c:pt idx="1295">
                  <c:v>43965</c:v>
                </c:pt>
                <c:pt idx="1296">
                  <c:v>43966</c:v>
                </c:pt>
                <c:pt idx="1297">
                  <c:v>43969</c:v>
                </c:pt>
                <c:pt idx="1298">
                  <c:v>43970</c:v>
                </c:pt>
                <c:pt idx="1299">
                  <c:v>43971</c:v>
                </c:pt>
                <c:pt idx="1300">
                  <c:v>43972</c:v>
                </c:pt>
                <c:pt idx="1301">
                  <c:v>43973</c:v>
                </c:pt>
                <c:pt idx="1302">
                  <c:v>43977</c:v>
                </c:pt>
                <c:pt idx="1303">
                  <c:v>43978</c:v>
                </c:pt>
                <c:pt idx="1304">
                  <c:v>43979</c:v>
                </c:pt>
                <c:pt idx="1305">
                  <c:v>43980</c:v>
                </c:pt>
                <c:pt idx="1306">
                  <c:v>43983</c:v>
                </c:pt>
                <c:pt idx="1307">
                  <c:v>43984</c:v>
                </c:pt>
                <c:pt idx="1308">
                  <c:v>43985</c:v>
                </c:pt>
                <c:pt idx="1309">
                  <c:v>43986</c:v>
                </c:pt>
                <c:pt idx="1310">
                  <c:v>43987</c:v>
                </c:pt>
                <c:pt idx="1311">
                  <c:v>43990</c:v>
                </c:pt>
                <c:pt idx="1312">
                  <c:v>43991</c:v>
                </c:pt>
                <c:pt idx="1313">
                  <c:v>43992</c:v>
                </c:pt>
                <c:pt idx="1314">
                  <c:v>43993</c:v>
                </c:pt>
                <c:pt idx="1315">
                  <c:v>43994</c:v>
                </c:pt>
                <c:pt idx="1316">
                  <c:v>43997</c:v>
                </c:pt>
                <c:pt idx="1317">
                  <c:v>43998</c:v>
                </c:pt>
                <c:pt idx="1318">
                  <c:v>43999</c:v>
                </c:pt>
                <c:pt idx="1319">
                  <c:v>44000</c:v>
                </c:pt>
                <c:pt idx="1320">
                  <c:v>44001</c:v>
                </c:pt>
                <c:pt idx="1321">
                  <c:v>44004</c:v>
                </c:pt>
                <c:pt idx="1322">
                  <c:v>44005</c:v>
                </c:pt>
                <c:pt idx="1323">
                  <c:v>44006</c:v>
                </c:pt>
                <c:pt idx="1324">
                  <c:v>44007</c:v>
                </c:pt>
                <c:pt idx="1325">
                  <c:v>44008</c:v>
                </c:pt>
                <c:pt idx="1326">
                  <c:v>44011</c:v>
                </c:pt>
                <c:pt idx="1327">
                  <c:v>44012</c:v>
                </c:pt>
                <c:pt idx="1328">
                  <c:v>44013</c:v>
                </c:pt>
                <c:pt idx="1329">
                  <c:v>44014</c:v>
                </c:pt>
                <c:pt idx="1330">
                  <c:v>44015</c:v>
                </c:pt>
                <c:pt idx="1331">
                  <c:v>44018</c:v>
                </c:pt>
                <c:pt idx="1332">
                  <c:v>44019</c:v>
                </c:pt>
                <c:pt idx="1333">
                  <c:v>44020</c:v>
                </c:pt>
                <c:pt idx="1334">
                  <c:v>44021</c:v>
                </c:pt>
                <c:pt idx="1335">
                  <c:v>44022</c:v>
                </c:pt>
                <c:pt idx="1336">
                  <c:v>44025</c:v>
                </c:pt>
                <c:pt idx="1337">
                  <c:v>44026</c:v>
                </c:pt>
                <c:pt idx="1338">
                  <c:v>44027</c:v>
                </c:pt>
                <c:pt idx="1339">
                  <c:v>44028</c:v>
                </c:pt>
                <c:pt idx="1340">
                  <c:v>44029</c:v>
                </c:pt>
                <c:pt idx="1341">
                  <c:v>44032</c:v>
                </c:pt>
                <c:pt idx="1342">
                  <c:v>44033</c:v>
                </c:pt>
                <c:pt idx="1343">
                  <c:v>44034</c:v>
                </c:pt>
                <c:pt idx="1344">
                  <c:v>44035</c:v>
                </c:pt>
                <c:pt idx="1345">
                  <c:v>44036</c:v>
                </c:pt>
                <c:pt idx="1346">
                  <c:v>44039</c:v>
                </c:pt>
                <c:pt idx="1347">
                  <c:v>44040</c:v>
                </c:pt>
                <c:pt idx="1348">
                  <c:v>44041</c:v>
                </c:pt>
                <c:pt idx="1349">
                  <c:v>44042</c:v>
                </c:pt>
                <c:pt idx="1350">
                  <c:v>44043</c:v>
                </c:pt>
                <c:pt idx="1351">
                  <c:v>44046</c:v>
                </c:pt>
                <c:pt idx="1352">
                  <c:v>44047</c:v>
                </c:pt>
                <c:pt idx="1353">
                  <c:v>44048</c:v>
                </c:pt>
                <c:pt idx="1354">
                  <c:v>44049</c:v>
                </c:pt>
                <c:pt idx="1355">
                  <c:v>44050</c:v>
                </c:pt>
                <c:pt idx="1356">
                  <c:v>44053</c:v>
                </c:pt>
                <c:pt idx="1357">
                  <c:v>44054</c:v>
                </c:pt>
                <c:pt idx="1358">
                  <c:v>44055</c:v>
                </c:pt>
                <c:pt idx="1359">
                  <c:v>44056</c:v>
                </c:pt>
                <c:pt idx="1360">
                  <c:v>44057</c:v>
                </c:pt>
                <c:pt idx="1361">
                  <c:v>44060</c:v>
                </c:pt>
                <c:pt idx="1362">
                  <c:v>44061</c:v>
                </c:pt>
                <c:pt idx="1363">
                  <c:v>44062</c:v>
                </c:pt>
                <c:pt idx="1364">
                  <c:v>44063</c:v>
                </c:pt>
                <c:pt idx="1365">
                  <c:v>44064</c:v>
                </c:pt>
                <c:pt idx="1366">
                  <c:v>44067</c:v>
                </c:pt>
                <c:pt idx="1367">
                  <c:v>44068</c:v>
                </c:pt>
                <c:pt idx="1368">
                  <c:v>44069</c:v>
                </c:pt>
                <c:pt idx="1369">
                  <c:v>44070</c:v>
                </c:pt>
                <c:pt idx="1370">
                  <c:v>44071</c:v>
                </c:pt>
                <c:pt idx="1371">
                  <c:v>44074</c:v>
                </c:pt>
                <c:pt idx="1372">
                  <c:v>44075</c:v>
                </c:pt>
                <c:pt idx="1373">
                  <c:v>44076</c:v>
                </c:pt>
                <c:pt idx="1374">
                  <c:v>44077</c:v>
                </c:pt>
                <c:pt idx="1375">
                  <c:v>44078</c:v>
                </c:pt>
                <c:pt idx="1376">
                  <c:v>44081</c:v>
                </c:pt>
                <c:pt idx="1377">
                  <c:v>44082</c:v>
                </c:pt>
                <c:pt idx="1378">
                  <c:v>44083</c:v>
                </c:pt>
                <c:pt idx="1379">
                  <c:v>44084</c:v>
                </c:pt>
                <c:pt idx="1380">
                  <c:v>44085</c:v>
                </c:pt>
                <c:pt idx="1381">
                  <c:v>44088</c:v>
                </c:pt>
                <c:pt idx="1382">
                  <c:v>44089</c:v>
                </c:pt>
                <c:pt idx="1383">
                  <c:v>44090</c:v>
                </c:pt>
                <c:pt idx="1384">
                  <c:v>44091</c:v>
                </c:pt>
                <c:pt idx="1385">
                  <c:v>44092</c:v>
                </c:pt>
                <c:pt idx="1386">
                  <c:v>44095</c:v>
                </c:pt>
                <c:pt idx="1387">
                  <c:v>44096</c:v>
                </c:pt>
                <c:pt idx="1388">
                  <c:v>44097</c:v>
                </c:pt>
                <c:pt idx="1389">
                  <c:v>44098</c:v>
                </c:pt>
                <c:pt idx="1390">
                  <c:v>44099</c:v>
                </c:pt>
                <c:pt idx="1391">
                  <c:v>44102</c:v>
                </c:pt>
                <c:pt idx="1392">
                  <c:v>44103</c:v>
                </c:pt>
                <c:pt idx="1393">
                  <c:v>44104</c:v>
                </c:pt>
                <c:pt idx="1394">
                  <c:v>44105</c:v>
                </c:pt>
                <c:pt idx="1395">
                  <c:v>44106</c:v>
                </c:pt>
                <c:pt idx="1396">
                  <c:v>44109</c:v>
                </c:pt>
                <c:pt idx="1397">
                  <c:v>44110</c:v>
                </c:pt>
                <c:pt idx="1398">
                  <c:v>44111</c:v>
                </c:pt>
                <c:pt idx="1399">
                  <c:v>44112</c:v>
                </c:pt>
                <c:pt idx="1400">
                  <c:v>44113</c:v>
                </c:pt>
                <c:pt idx="1401">
                  <c:v>44116</c:v>
                </c:pt>
                <c:pt idx="1402">
                  <c:v>44117</c:v>
                </c:pt>
                <c:pt idx="1403">
                  <c:v>44118</c:v>
                </c:pt>
                <c:pt idx="1404">
                  <c:v>44119</c:v>
                </c:pt>
                <c:pt idx="1405">
                  <c:v>44120</c:v>
                </c:pt>
                <c:pt idx="1406">
                  <c:v>44123</c:v>
                </c:pt>
                <c:pt idx="1407">
                  <c:v>44124</c:v>
                </c:pt>
                <c:pt idx="1408">
                  <c:v>44125</c:v>
                </c:pt>
                <c:pt idx="1409">
                  <c:v>44126</c:v>
                </c:pt>
                <c:pt idx="1410">
                  <c:v>44127</c:v>
                </c:pt>
                <c:pt idx="1411">
                  <c:v>44130</c:v>
                </c:pt>
                <c:pt idx="1412">
                  <c:v>44131</c:v>
                </c:pt>
                <c:pt idx="1413">
                  <c:v>44132</c:v>
                </c:pt>
                <c:pt idx="1414">
                  <c:v>44133</c:v>
                </c:pt>
                <c:pt idx="1415">
                  <c:v>44134</c:v>
                </c:pt>
                <c:pt idx="1416">
                  <c:v>44137</c:v>
                </c:pt>
                <c:pt idx="1417">
                  <c:v>44138</c:v>
                </c:pt>
                <c:pt idx="1418">
                  <c:v>44139</c:v>
                </c:pt>
                <c:pt idx="1419">
                  <c:v>44140</c:v>
                </c:pt>
                <c:pt idx="1420">
                  <c:v>44141</c:v>
                </c:pt>
                <c:pt idx="1421">
                  <c:v>44144</c:v>
                </c:pt>
                <c:pt idx="1422">
                  <c:v>44145</c:v>
                </c:pt>
                <c:pt idx="1423">
                  <c:v>44146</c:v>
                </c:pt>
                <c:pt idx="1424">
                  <c:v>44147</c:v>
                </c:pt>
                <c:pt idx="1425">
                  <c:v>44148</c:v>
                </c:pt>
                <c:pt idx="1426">
                  <c:v>44151</c:v>
                </c:pt>
                <c:pt idx="1427">
                  <c:v>44152</c:v>
                </c:pt>
                <c:pt idx="1428">
                  <c:v>44153</c:v>
                </c:pt>
                <c:pt idx="1429">
                  <c:v>44154</c:v>
                </c:pt>
                <c:pt idx="1430">
                  <c:v>44155</c:v>
                </c:pt>
                <c:pt idx="1431">
                  <c:v>44158</c:v>
                </c:pt>
                <c:pt idx="1432">
                  <c:v>44159</c:v>
                </c:pt>
                <c:pt idx="1433">
                  <c:v>44160</c:v>
                </c:pt>
                <c:pt idx="1434">
                  <c:v>44161</c:v>
                </c:pt>
                <c:pt idx="1435">
                  <c:v>44162</c:v>
                </c:pt>
                <c:pt idx="1436">
                  <c:v>44165</c:v>
                </c:pt>
                <c:pt idx="1437">
                  <c:v>44166</c:v>
                </c:pt>
                <c:pt idx="1438">
                  <c:v>44167</c:v>
                </c:pt>
                <c:pt idx="1439">
                  <c:v>44168</c:v>
                </c:pt>
                <c:pt idx="1440">
                  <c:v>44169</c:v>
                </c:pt>
                <c:pt idx="1441">
                  <c:v>44172</c:v>
                </c:pt>
                <c:pt idx="1442">
                  <c:v>44173</c:v>
                </c:pt>
                <c:pt idx="1443">
                  <c:v>44174</c:v>
                </c:pt>
                <c:pt idx="1444">
                  <c:v>44175</c:v>
                </c:pt>
                <c:pt idx="1445">
                  <c:v>44176</c:v>
                </c:pt>
                <c:pt idx="1446">
                  <c:v>44179</c:v>
                </c:pt>
                <c:pt idx="1447">
                  <c:v>44180</c:v>
                </c:pt>
                <c:pt idx="1448">
                  <c:v>44181</c:v>
                </c:pt>
                <c:pt idx="1449">
                  <c:v>44182</c:v>
                </c:pt>
                <c:pt idx="1450">
                  <c:v>44183</c:v>
                </c:pt>
                <c:pt idx="1451">
                  <c:v>44186</c:v>
                </c:pt>
                <c:pt idx="1452">
                  <c:v>44187</c:v>
                </c:pt>
                <c:pt idx="1453">
                  <c:v>44188</c:v>
                </c:pt>
                <c:pt idx="1454">
                  <c:v>44189</c:v>
                </c:pt>
                <c:pt idx="1455">
                  <c:v>44194</c:v>
                </c:pt>
                <c:pt idx="1456">
                  <c:v>44195</c:v>
                </c:pt>
                <c:pt idx="1457">
                  <c:v>44196</c:v>
                </c:pt>
                <c:pt idx="1458">
                  <c:v>44200</c:v>
                </c:pt>
                <c:pt idx="1459">
                  <c:v>44201</c:v>
                </c:pt>
                <c:pt idx="1460">
                  <c:v>44202</c:v>
                </c:pt>
                <c:pt idx="1461">
                  <c:v>44203</c:v>
                </c:pt>
                <c:pt idx="1462">
                  <c:v>44204</c:v>
                </c:pt>
                <c:pt idx="1463">
                  <c:v>44207</c:v>
                </c:pt>
                <c:pt idx="1464">
                  <c:v>44208</c:v>
                </c:pt>
                <c:pt idx="1465">
                  <c:v>44209</c:v>
                </c:pt>
                <c:pt idx="1466">
                  <c:v>44210</c:v>
                </c:pt>
                <c:pt idx="1467">
                  <c:v>44211</c:v>
                </c:pt>
                <c:pt idx="1468">
                  <c:v>44214</c:v>
                </c:pt>
                <c:pt idx="1469">
                  <c:v>44215</c:v>
                </c:pt>
                <c:pt idx="1470">
                  <c:v>44216</c:v>
                </c:pt>
                <c:pt idx="1471">
                  <c:v>44217</c:v>
                </c:pt>
                <c:pt idx="1472">
                  <c:v>44218</c:v>
                </c:pt>
                <c:pt idx="1473">
                  <c:v>44221</c:v>
                </c:pt>
                <c:pt idx="1474">
                  <c:v>44222</c:v>
                </c:pt>
                <c:pt idx="1475">
                  <c:v>44223</c:v>
                </c:pt>
                <c:pt idx="1476">
                  <c:v>44224</c:v>
                </c:pt>
                <c:pt idx="1477">
                  <c:v>44225</c:v>
                </c:pt>
                <c:pt idx="1478">
                  <c:v>44228</c:v>
                </c:pt>
                <c:pt idx="1479">
                  <c:v>44229</c:v>
                </c:pt>
                <c:pt idx="1480">
                  <c:v>44230</c:v>
                </c:pt>
                <c:pt idx="1481">
                  <c:v>44231</c:v>
                </c:pt>
                <c:pt idx="1482">
                  <c:v>44232</c:v>
                </c:pt>
                <c:pt idx="1483">
                  <c:v>44235</c:v>
                </c:pt>
                <c:pt idx="1484">
                  <c:v>44236</c:v>
                </c:pt>
                <c:pt idx="1485">
                  <c:v>44237</c:v>
                </c:pt>
                <c:pt idx="1486">
                  <c:v>44238</c:v>
                </c:pt>
                <c:pt idx="1487">
                  <c:v>44239</c:v>
                </c:pt>
                <c:pt idx="1488">
                  <c:v>44242</c:v>
                </c:pt>
                <c:pt idx="1489">
                  <c:v>44243</c:v>
                </c:pt>
                <c:pt idx="1490">
                  <c:v>44244</c:v>
                </c:pt>
                <c:pt idx="1491">
                  <c:v>44245</c:v>
                </c:pt>
                <c:pt idx="1492">
                  <c:v>44246</c:v>
                </c:pt>
                <c:pt idx="1493">
                  <c:v>44249</c:v>
                </c:pt>
                <c:pt idx="1494">
                  <c:v>44250</c:v>
                </c:pt>
                <c:pt idx="1495">
                  <c:v>44251</c:v>
                </c:pt>
                <c:pt idx="1496">
                  <c:v>44252</c:v>
                </c:pt>
                <c:pt idx="1497">
                  <c:v>44253</c:v>
                </c:pt>
                <c:pt idx="1498">
                  <c:v>44256</c:v>
                </c:pt>
                <c:pt idx="1499">
                  <c:v>44257</c:v>
                </c:pt>
                <c:pt idx="1500">
                  <c:v>44258</c:v>
                </c:pt>
                <c:pt idx="1501">
                  <c:v>44259</c:v>
                </c:pt>
                <c:pt idx="1502">
                  <c:v>44260</c:v>
                </c:pt>
                <c:pt idx="1503">
                  <c:v>44263</c:v>
                </c:pt>
                <c:pt idx="1504">
                  <c:v>44264</c:v>
                </c:pt>
                <c:pt idx="1505">
                  <c:v>44265</c:v>
                </c:pt>
                <c:pt idx="1506">
                  <c:v>44266</c:v>
                </c:pt>
                <c:pt idx="1507">
                  <c:v>44267</c:v>
                </c:pt>
                <c:pt idx="1508">
                  <c:v>44270</c:v>
                </c:pt>
                <c:pt idx="1509">
                  <c:v>44271</c:v>
                </c:pt>
                <c:pt idx="1510">
                  <c:v>44272</c:v>
                </c:pt>
                <c:pt idx="1511">
                  <c:v>44273</c:v>
                </c:pt>
                <c:pt idx="1512">
                  <c:v>44274</c:v>
                </c:pt>
                <c:pt idx="1513">
                  <c:v>44277</c:v>
                </c:pt>
                <c:pt idx="1514">
                  <c:v>44278</c:v>
                </c:pt>
                <c:pt idx="1515">
                  <c:v>44279</c:v>
                </c:pt>
                <c:pt idx="1516">
                  <c:v>44280</c:v>
                </c:pt>
                <c:pt idx="1517">
                  <c:v>44281</c:v>
                </c:pt>
                <c:pt idx="1518">
                  <c:v>44284</c:v>
                </c:pt>
                <c:pt idx="1519">
                  <c:v>44285</c:v>
                </c:pt>
                <c:pt idx="1520">
                  <c:v>44286</c:v>
                </c:pt>
                <c:pt idx="1521">
                  <c:v>44287</c:v>
                </c:pt>
                <c:pt idx="1522">
                  <c:v>44292</c:v>
                </c:pt>
                <c:pt idx="1523">
                  <c:v>44293</c:v>
                </c:pt>
                <c:pt idx="1524">
                  <c:v>44294</c:v>
                </c:pt>
                <c:pt idx="1525">
                  <c:v>44295</c:v>
                </c:pt>
                <c:pt idx="1526">
                  <c:v>44298</c:v>
                </c:pt>
                <c:pt idx="1527">
                  <c:v>44299</c:v>
                </c:pt>
                <c:pt idx="1528">
                  <c:v>44300</c:v>
                </c:pt>
                <c:pt idx="1529">
                  <c:v>44301</c:v>
                </c:pt>
                <c:pt idx="1530">
                  <c:v>44302</c:v>
                </c:pt>
                <c:pt idx="1531">
                  <c:v>44305</c:v>
                </c:pt>
                <c:pt idx="1532">
                  <c:v>44306</c:v>
                </c:pt>
                <c:pt idx="1533">
                  <c:v>44307</c:v>
                </c:pt>
                <c:pt idx="1534">
                  <c:v>44308</c:v>
                </c:pt>
                <c:pt idx="1535">
                  <c:v>44309</c:v>
                </c:pt>
                <c:pt idx="1536">
                  <c:v>44312</c:v>
                </c:pt>
                <c:pt idx="1537">
                  <c:v>44313</c:v>
                </c:pt>
                <c:pt idx="1538">
                  <c:v>44314</c:v>
                </c:pt>
                <c:pt idx="1539">
                  <c:v>44315</c:v>
                </c:pt>
                <c:pt idx="1540">
                  <c:v>44316</c:v>
                </c:pt>
                <c:pt idx="1541">
                  <c:v>44319</c:v>
                </c:pt>
                <c:pt idx="1542">
                  <c:v>44320</c:v>
                </c:pt>
                <c:pt idx="1543">
                  <c:v>44321</c:v>
                </c:pt>
                <c:pt idx="1544">
                  <c:v>44322</c:v>
                </c:pt>
                <c:pt idx="1545">
                  <c:v>44323</c:v>
                </c:pt>
                <c:pt idx="1546">
                  <c:v>44326</c:v>
                </c:pt>
                <c:pt idx="1547">
                  <c:v>44327</c:v>
                </c:pt>
                <c:pt idx="1548">
                  <c:v>44328</c:v>
                </c:pt>
                <c:pt idx="1549">
                  <c:v>44329</c:v>
                </c:pt>
                <c:pt idx="1550">
                  <c:v>44330</c:v>
                </c:pt>
                <c:pt idx="1551">
                  <c:v>44333</c:v>
                </c:pt>
                <c:pt idx="1552">
                  <c:v>44334</c:v>
                </c:pt>
                <c:pt idx="1553">
                  <c:v>44335</c:v>
                </c:pt>
                <c:pt idx="1554">
                  <c:v>44336</c:v>
                </c:pt>
                <c:pt idx="1555">
                  <c:v>44337</c:v>
                </c:pt>
                <c:pt idx="1556">
                  <c:v>44340</c:v>
                </c:pt>
                <c:pt idx="1557">
                  <c:v>44341</c:v>
                </c:pt>
                <c:pt idx="1558">
                  <c:v>44342</c:v>
                </c:pt>
                <c:pt idx="1559">
                  <c:v>44343</c:v>
                </c:pt>
                <c:pt idx="1560">
                  <c:v>44344</c:v>
                </c:pt>
                <c:pt idx="1561">
                  <c:v>44347</c:v>
                </c:pt>
                <c:pt idx="1562">
                  <c:v>44348</c:v>
                </c:pt>
                <c:pt idx="1563">
                  <c:v>44349</c:v>
                </c:pt>
                <c:pt idx="1564">
                  <c:v>44350</c:v>
                </c:pt>
                <c:pt idx="1565">
                  <c:v>44351</c:v>
                </c:pt>
                <c:pt idx="1566">
                  <c:v>44354</c:v>
                </c:pt>
                <c:pt idx="1567">
                  <c:v>44355</c:v>
                </c:pt>
                <c:pt idx="1568">
                  <c:v>44356</c:v>
                </c:pt>
                <c:pt idx="1569">
                  <c:v>44357</c:v>
                </c:pt>
                <c:pt idx="1570">
                  <c:v>44358</c:v>
                </c:pt>
                <c:pt idx="1571">
                  <c:v>44361</c:v>
                </c:pt>
                <c:pt idx="1572">
                  <c:v>44362</c:v>
                </c:pt>
                <c:pt idx="1573">
                  <c:v>44363</c:v>
                </c:pt>
                <c:pt idx="1574">
                  <c:v>44364</c:v>
                </c:pt>
                <c:pt idx="1575">
                  <c:v>44365</c:v>
                </c:pt>
                <c:pt idx="1576">
                  <c:v>44368</c:v>
                </c:pt>
                <c:pt idx="1577">
                  <c:v>44369</c:v>
                </c:pt>
                <c:pt idx="1578">
                  <c:v>44370</c:v>
                </c:pt>
                <c:pt idx="1579">
                  <c:v>44371</c:v>
                </c:pt>
                <c:pt idx="1580">
                  <c:v>44372</c:v>
                </c:pt>
                <c:pt idx="1581">
                  <c:v>44375</c:v>
                </c:pt>
                <c:pt idx="1582">
                  <c:v>44376</c:v>
                </c:pt>
                <c:pt idx="1583">
                  <c:v>44377</c:v>
                </c:pt>
                <c:pt idx="1584">
                  <c:v>44378</c:v>
                </c:pt>
                <c:pt idx="1585">
                  <c:v>44379</c:v>
                </c:pt>
                <c:pt idx="1586">
                  <c:v>44382</c:v>
                </c:pt>
                <c:pt idx="1587">
                  <c:v>44383</c:v>
                </c:pt>
                <c:pt idx="1588">
                  <c:v>44384</c:v>
                </c:pt>
                <c:pt idx="1589">
                  <c:v>44385</c:v>
                </c:pt>
                <c:pt idx="1590">
                  <c:v>44386</c:v>
                </c:pt>
                <c:pt idx="1591">
                  <c:v>44389</c:v>
                </c:pt>
                <c:pt idx="1592">
                  <c:v>44390</c:v>
                </c:pt>
                <c:pt idx="1593">
                  <c:v>44391</c:v>
                </c:pt>
                <c:pt idx="1594">
                  <c:v>44392</c:v>
                </c:pt>
                <c:pt idx="1595">
                  <c:v>44393</c:v>
                </c:pt>
                <c:pt idx="1596">
                  <c:v>44396</c:v>
                </c:pt>
                <c:pt idx="1597">
                  <c:v>44397</c:v>
                </c:pt>
                <c:pt idx="1598">
                  <c:v>44398</c:v>
                </c:pt>
                <c:pt idx="1599">
                  <c:v>44399</c:v>
                </c:pt>
                <c:pt idx="1600">
                  <c:v>44400</c:v>
                </c:pt>
                <c:pt idx="1601">
                  <c:v>44403</c:v>
                </c:pt>
                <c:pt idx="1602">
                  <c:v>44404</c:v>
                </c:pt>
                <c:pt idx="1603">
                  <c:v>44405</c:v>
                </c:pt>
                <c:pt idx="1604">
                  <c:v>44406</c:v>
                </c:pt>
                <c:pt idx="1605">
                  <c:v>44407</c:v>
                </c:pt>
                <c:pt idx="1606">
                  <c:v>44410</c:v>
                </c:pt>
                <c:pt idx="1607">
                  <c:v>44411</c:v>
                </c:pt>
                <c:pt idx="1608">
                  <c:v>44412</c:v>
                </c:pt>
                <c:pt idx="1609">
                  <c:v>44413</c:v>
                </c:pt>
                <c:pt idx="1610">
                  <c:v>44414</c:v>
                </c:pt>
                <c:pt idx="1611">
                  <c:v>44417</c:v>
                </c:pt>
                <c:pt idx="1612">
                  <c:v>44418</c:v>
                </c:pt>
                <c:pt idx="1613">
                  <c:v>44419</c:v>
                </c:pt>
                <c:pt idx="1614">
                  <c:v>44420</c:v>
                </c:pt>
                <c:pt idx="1615">
                  <c:v>44421</c:v>
                </c:pt>
                <c:pt idx="1616">
                  <c:v>44424</c:v>
                </c:pt>
                <c:pt idx="1617">
                  <c:v>44425</c:v>
                </c:pt>
                <c:pt idx="1618">
                  <c:v>44426</c:v>
                </c:pt>
                <c:pt idx="1619">
                  <c:v>44427</c:v>
                </c:pt>
                <c:pt idx="1620">
                  <c:v>44428</c:v>
                </c:pt>
                <c:pt idx="1621">
                  <c:v>44431</c:v>
                </c:pt>
                <c:pt idx="1622">
                  <c:v>44432</c:v>
                </c:pt>
                <c:pt idx="1623">
                  <c:v>44433</c:v>
                </c:pt>
                <c:pt idx="1624">
                  <c:v>44434</c:v>
                </c:pt>
                <c:pt idx="1625">
                  <c:v>44435</c:v>
                </c:pt>
                <c:pt idx="1626">
                  <c:v>44439</c:v>
                </c:pt>
                <c:pt idx="1627">
                  <c:v>44440</c:v>
                </c:pt>
                <c:pt idx="1628">
                  <c:v>44441</c:v>
                </c:pt>
                <c:pt idx="1629">
                  <c:v>44442</c:v>
                </c:pt>
                <c:pt idx="1630">
                  <c:v>44445</c:v>
                </c:pt>
                <c:pt idx="1631">
                  <c:v>44446</c:v>
                </c:pt>
                <c:pt idx="1632">
                  <c:v>44447</c:v>
                </c:pt>
                <c:pt idx="1633">
                  <c:v>44448</c:v>
                </c:pt>
                <c:pt idx="1634">
                  <c:v>44449</c:v>
                </c:pt>
                <c:pt idx="1635">
                  <c:v>44452</c:v>
                </c:pt>
                <c:pt idx="1636">
                  <c:v>44453</c:v>
                </c:pt>
                <c:pt idx="1637">
                  <c:v>44454</c:v>
                </c:pt>
                <c:pt idx="1638">
                  <c:v>44455</c:v>
                </c:pt>
                <c:pt idx="1639">
                  <c:v>44456</c:v>
                </c:pt>
                <c:pt idx="1640">
                  <c:v>44459</c:v>
                </c:pt>
                <c:pt idx="1641">
                  <c:v>44460</c:v>
                </c:pt>
                <c:pt idx="1642">
                  <c:v>44461</c:v>
                </c:pt>
                <c:pt idx="1643">
                  <c:v>44462</c:v>
                </c:pt>
                <c:pt idx="1644">
                  <c:v>44463</c:v>
                </c:pt>
                <c:pt idx="1645">
                  <c:v>44466</c:v>
                </c:pt>
                <c:pt idx="1646">
                  <c:v>44467</c:v>
                </c:pt>
                <c:pt idx="1647">
                  <c:v>44468</c:v>
                </c:pt>
                <c:pt idx="1648">
                  <c:v>44469</c:v>
                </c:pt>
                <c:pt idx="1649">
                  <c:v>44470</c:v>
                </c:pt>
                <c:pt idx="1650">
                  <c:v>44473</c:v>
                </c:pt>
                <c:pt idx="1651">
                  <c:v>44474</c:v>
                </c:pt>
                <c:pt idx="1652">
                  <c:v>44475</c:v>
                </c:pt>
                <c:pt idx="1653">
                  <c:v>44476</c:v>
                </c:pt>
                <c:pt idx="1654">
                  <c:v>44477</c:v>
                </c:pt>
                <c:pt idx="1655">
                  <c:v>44480</c:v>
                </c:pt>
                <c:pt idx="1656">
                  <c:v>44481</c:v>
                </c:pt>
                <c:pt idx="1657">
                  <c:v>44482</c:v>
                </c:pt>
                <c:pt idx="1658">
                  <c:v>44483</c:v>
                </c:pt>
                <c:pt idx="1659">
                  <c:v>44484</c:v>
                </c:pt>
                <c:pt idx="1660">
                  <c:v>44487</c:v>
                </c:pt>
                <c:pt idx="1661">
                  <c:v>44488</c:v>
                </c:pt>
                <c:pt idx="1662">
                  <c:v>44489</c:v>
                </c:pt>
                <c:pt idx="1663">
                  <c:v>44490</c:v>
                </c:pt>
                <c:pt idx="1664">
                  <c:v>44491</c:v>
                </c:pt>
                <c:pt idx="1665">
                  <c:v>44494</c:v>
                </c:pt>
                <c:pt idx="1666">
                  <c:v>44495</c:v>
                </c:pt>
                <c:pt idx="1667">
                  <c:v>44496</c:v>
                </c:pt>
                <c:pt idx="1668">
                  <c:v>44497</c:v>
                </c:pt>
                <c:pt idx="1669">
                  <c:v>44498</c:v>
                </c:pt>
                <c:pt idx="1670">
                  <c:v>44501</c:v>
                </c:pt>
                <c:pt idx="1671">
                  <c:v>44502</c:v>
                </c:pt>
                <c:pt idx="1672">
                  <c:v>44503</c:v>
                </c:pt>
                <c:pt idx="1673">
                  <c:v>44504</c:v>
                </c:pt>
                <c:pt idx="1674">
                  <c:v>44505</c:v>
                </c:pt>
                <c:pt idx="1675">
                  <c:v>44508</c:v>
                </c:pt>
                <c:pt idx="1676">
                  <c:v>44509</c:v>
                </c:pt>
                <c:pt idx="1677">
                  <c:v>44510</c:v>
                </c:pt>
                <c:pt idx="1678">
                  <c:v>44511</c:v>
                </c:pt>
                <c:pt idx="1679">
                  <c:v>44512</c:v>
                </c:pt>
                <c:pt idx="1680">
                  <c:v>44515</c:v>
                </c:pt>
                <c:pt idx="1681">
                  <c:v>44516</c:v>
                </c:pt>
                <c:pt idx="1682">
                  <c:v>44517</c:v>
                </c:pt>
                <c:pt idx="1683">
                  <c:v>44518</c:v>
                </c:pt>
                <c:pt idx="1684">
                  <c:v>44519</c:v>
                </c:pt>
                <c:pt idx="1685">
                  <c:v>44522</c:v>
                </c:pt>
                <c:pt idx="1686">
                  <c:v>44523</c:v>
                </c:pt>
                <c:pt idx="1687">
                  <c:v>44524</c:v>
                </c:pt>
                <c:pt idx="1688">
                  <c:v>44525</c:v>
                </c:pt>
                <c:pt idx="1689">
                  <c:v>44526</c:v>
                </c:pt>
                <c:pt idx="1690">
                  <c:v>44529</c:v>
                </c:pt>
                <c:pt idx="1691">
                  <c:v>44530</c:v>
                </c:pt>
                <c:pt idx="1692">
                  <c:v>44531</c:v>
                </c:pt>
                <c:pt idx="1693">
                  <c:v>44532</c:v>
                </c:pt>
                <c:pt idx="1694">
                  <c:v>44533</c:v>
                </c:pt>
                <c:pt idx="1695">
                  <c:v>44536</c:v>
                </c:pt>
                <c:pt idx="1696">
                  <c:v>44537</c:v>
                </c:pt>
                <c:pt idx="1697">
                  <c:v>44538</c:v>
                </c:pt>
                <c:pt idx="1698">
                  <c:v>44539</c:v>
                </c:pt>
                <c:pt idx="1699">
                  <c:v>44540</c:v>
                </c:pt>
                <c:pt idx="1700">
                  <c:v>44543</c:v>
                </c:pt>
                <c:pt idx="1701">
                  <c:v>44544</c:v>
                </c:pt>
                <c:pt idx="1702">
                  <c:v>44545</c:v>
                </c:pt>
                <c:pt idx="1703">
                  <c:v>44546</c:v>
                </c:pt>
                <c:pt idx="1704">
                  <c:v>44547</c:v>
                </c:pt>
                <c:pt idx="1705">
                  <c:v>44550</c:v>
                </c:pt>
                <c:pt idx="1706">
                  <c:v>44551</c:v>
                </c:pt>
                <c:pt idx="1707">
                  <c:v>44552</c:v>
                </c:pt>
                <c:pt idx="1708">
                  <c:v>44553</c:v>
                </c:pt>
                <c:pt idx="1709">
                  <c:v>44554</c:v>
                </c:pt>
                <c:pt idx="1710">
                  <c:v>44557</c:v>
                </c:pt>
                <c:pt idx="1711">
                  <c:v>44558</c:v>
                </c:pt>
                <c:pt idx="1712">
                  <c:v>44559</c:v>
                </c:pt>
                <c:pt idx="1713">
                  <c:v>44560</c:v>
                </c:pt>
                <c:pt idx="1714">
                  <c:v>44561</c:v>
                </c:pt>
                <c:pt idx="1715">
                  <c:v>44564</c:v>
                </c:pt>
                <c:pt idx="1716">
                  <c:v>44565</c:v>
                </c:pt>
                <c:pt idx="1717">
                  <c:v>44566</c:v>
                </c:pt>
                <c:pt idx="1718">
                  <c:v>44567</c:v>
                </c:pt>
                <c:pt idx="1719">
                  <c:v>44568</c:v>
                </c:pt>
                <c:pt idx="1720">
                  <c:v>44571</c:v>
                </c:pt>
                <c:pt idx="1721">
                  <c:v>44572</c:v>
                </c:pt>
                <c:pt idx="1722">
                  <c:v>44573</c:v>
                </c:pt>
                <c:pt idx="1723">
                  <c:v>44574</c:v>
                </c:pt>
                <c:pt idx="1724">
                  <c:v>44575</c:v>
                </c:pt>
                <c:pt idx="1725">
                  <c:v>44578</c:v>
                </c:pt>
                <c:pt idx="1726">
                  <c:v>44579</c:v>
                </c:pt>
                <c:pt idx="1727">
                  <c:v>44580</c:v>
                </c:pt>
                <c:pt idx="1728">
                  <c:v>44581</c:v>
                </c:pt>
                <c:pt idx="1729">
                  <c:v>44582</c:v>
                </c:pt>
                <c:pt idx="1730">
                  <c:v>44585</c:v>
                </c:pt>
                <c:pt idx="1731">
                  <c:v>44586</c:v>
                </c:pt>
                <c:pt idx="1732">
                  <c:v>44587</c:v>
                </c:pt>
                <c:pt idx="1733">
                  <c:v>44588</c:v>
                </c:pt>
                <c:pt idx="1734">
                  <c:v>44589</c:v>
                </c:pt>
                <c:pt idx="1735">
                  <c:v>44592</c:v>
                </c:pt>
                <c:pt idx="1736">
                  <c:v>44593</c:v>
                </c:pt>
                <c:pt idx="1737">
                  <c:v>44594</c:v>
                </c:pt>
                <c:pt idx="1738">
                  <c:v>44595</c:v>
                </c:pt>
                <c:pt idx="1739">
                  <c:v>44596</c:v>
                </c:pt>
                <c:pt idx="1740">
                  <c:v>44599</c:v>
                </c:pt>
                <c:pt idx="1741">
                  <c:v>44600</c:v>
                </c:pt>
                <c:pt idx="1742">
                  <c:v>44601</c:v>
                </c:pt>
                <c:pt idx="1743">
                  <c:v>44602</c:v>
                </c:pt>
                <c:pt idx="1744">
                  <c:v>44603</c:v>
                </c:pt>
                <c:pt idx="1745">
                  <c:v>44606</c:v>
                </c:pt>
                <c:pt idx="1746">
                  <c:v>44607</c:v>
                </c:pt>
                <c:pt idx="1747">
                  <c:v>44608</c:v>
                </c:pt>
                <c:pt idx="1748">
                  <c:v>44609</c:v>
                </c:pt>
                <c:pt idx="1749">
                  <c:v>44610</c:v>
                </c:pt>
                <c:pt idx="1750">
                  <c:v>44613</c:v>
                </c:pt>
                <c:pt idx="1751">
                  <c:v>44614</c:v>
                </c:pt>
                <c:pt idx="1752">
                  <c:v>44615</c:v>
                </c:pt>
                <c:pt idx="1753">
                  <c:v>44616</c:v>
                </c:pt>
                <c:pt idx="1754">
                  <c:v>44617</c:v>
                </c:pt>
                <c:pt idx="1755">
                  <c:v>44620</c:v>
                </c:pt>
                <c:pt idx="1756">
                  <c:v>44621</c:v>
                </c:pt>
                <c:pt idx="1757">
                  <c:v>44622</c:v>
                </c:pt>
                <c:pt idx="1758">
                  <c:v>44623</c:v>
                </c:pt>
                <c:pt idx="1759">
                  <c:v>44624</c:v>
                </c:pt>
                <c:pt idx="1760">
                  <c:v>44627</c:v>
                </c:pt>
                <c:pt idx="1761">
                  <c:v>44628</c:v>
                </c:pt>
                <c:pt idx="1762">
                  <c:v>44629</c:v>
                </c:pt>
                <c:pt idx="1763">
                  <c:v>44630</c:v>
                </c:pt>
                <c:pt idx="1764">
                  <c:v>44631</c:v>
                </c:pt>
                <c:pt idx="1765">
                  <c:v>44634</c:v>
                </c:pt>
                <c:pt idx="1766">
                  <c:v>44635</c:v>
                </c:pt>
                <c:pt idx="1767">
                  <c:v>44636</c:v>
                </c:pt>
                <c:pt idx="1768">
                  <c:v>44637</c:v>
                </c:pt>
                <c:pt idx="1769">
                  <c:v>44638</c:v>
                </c:pt>
                <c:pt idx="1770">
                  <c:v>44641</c:v>
                </c:pt>
                <c:pt idx="1771">
                  <c:v>44642</c:v>
                </c:pt>
                <c:pt idx="1772">
                  <c:v>44643</c:v>
                </c:pt>
                <c:pt idx="1773">
                  <c:v>44644</c:v>
                </c:pt>
                <c:pt idx="1774">
                  <c:v>44645</c:v>
                </c:pt>
                <c:pt idx="1775">
                  <c:v>44648</c:v>
                </c:pt>
                <c:pt idx="1776">
                  <c:v>44649</c:v>
                </c:pt>
                <c:pt idx="1777">
                  <c:v>44650</c:v>
                </c:pt>
                <c:pt idx="1778">
                  <c:v>44651</c:v>
                </c:pt>
                <c:pt idx="1779">
                  <c:v>44652</c:v>
                </c:pt>
                <c:pt idx="1780">
                  <c:v>44655</c:v>
                </c:pt>
                <c:pt idx="1781">
                  <c:v>44656</c:v>
                </c:pt>
                <c:pt idx="1782">
                  <c:v>44657</c:v>
                </c:pt>
                <c:pt idx="1783">
                  <c:v>44658</c:v>
                </c:pt>
                <c:pt idx="1784">
                  <c:v>44659</c:v>
                </c:pt>
                <c:pt idx="1785">
                  <c:v>44662</c:v>
                </c:pt>
                <c:pt idx="1786">
                  <c:v>44663</c:v>
                </c:pt>
                <c:pt idx="1787">
                  <c:v>44664</c:v>
                </c:pt>
                <c:pt idx="1788">
                  <c:v>44665</c:v>
                </c:pt>
                <c:pt idx="1789">
                  <c:v>44670</c:v>
                </c:pt>
                <c:pt idx="1790">
                  <c:v>44671</c:v>
                </c:pt>
                <c:pt idx="1791">
                  <c:v>44672</c:v>
                </c:pt>
                <c:pt idx="1792">
                  <c:v>44673</c:v>
                </c:pt>
                <c:pt idx="1793">
                  <c:v>44676</c:v>
                </c:pt>
                <c:pt idx="1794">
                  <c:v>44677</c:v>
                </c:pt>
                <c:pt idx="1795">
                  <c:v>44678</c:v>
                </c:pt>
                <c:pt idx="1796">
                  <c:v>44679</c:v>
                </c:pt>
                <c:pt idx="1797">
                  <c:v>44680</c:v>
                </c:pt>
                <c:pt idx="1798">
                  <c:v>44683</c:v>
                </c:pt>
                <c:pt idx="1799">
                  <c:v>44684</c:v>
                </c:pt>
                <c:pt idx="1800">
                  <c:v>44685</c:v>
                </c:pt>
                <c:pt idx="1801">
                  <c:v>44686</c:v>
                </c:pt>
                <c:pt idx="1802">
                  <c:v>44687</c:v>
                </c:pt>
                <c:pt idx="1803">
                  <c:v>44690</c:v>
                </c:pt>
                <c:pt idx="1804">
                  <c:v>44691</c:v>
                </c:pt>
                <c:pt idx="1805">
                  <c:v>44692</c:v>
                </c:pt>
                <c:pt idx="1806">
                  <c:v>44693</c:v>
                </c:pt>
                <c:pt idx="1807">
                  <c:v>44694</c:v>
                </c:pt>
                <c:pt idx="1808">
                  <c:v>44697</c:v>
                </c:pt>
                <c:pt idx="1809">
                  <c:v>44698</c:v>
                </c:pt>
                <c:pt idx="1810">
                  <c:v>44699</c:v>
                </c:pt>
                <c:pt idx="1811">
                  <c:v>44700</c:v>
                </c:pt>
                <c:pt idx="1812">
                  <c:v>44701</c:v>
                </c:pt>
                <c:pt idx="1813">
                  <c:v>44704</c:v>
                </c:pt>
                <c:pt idx="1814">
                  <c:v>44705</c:v>
                </c:pt>
                <c:pt idx="1815">
                  <c:v>44706</c:v>
                </c:pt>
                <c:pt idx="1816">
                  <c:v>44707</c:v>
                </c:pt>
                <c:pt idx="1817">
                  <c:v>44708</c:v>
                </c:pt>
                <c:pt idx="1818">
                  <c:v>44711</c:v>
                </c:pt>
                <c:pt idx="1819">
                  <c:v>44712</c:v>
                </c:pt>
                <c:pt idx="1820">
                  <c:v>44713</c:v>
                </c:pt>
                <c:pt idx="1821">
                  <c:v>44718</c:v>
                </c:pt>
                <c:pt idx="1822">
                  <c:v>44719</c:v>
                </c:pt>
                <c:pt idx="1823">
                  <c:v>44720</c:v>
                </c:pt>
                <c:pt idx="1824">
                  <c:v>44721</c:v>
                </c:pt>
                <c:pt idx="1825">
                  <c:v>44722</c:v>
                </c:pt>
                <c:pt idx="1826">
                  <c:v>44725</c:v>
                </c:pt>
                <c:pt idx="1827">
                  <c:v>44726</c:v>
                </c:pt>
                <c:pt idx="1828">
                  <c:v>44727</c:v>
                </c:pt>
                <c:pt idx="1829">
                  <c:v>44728</c:v>
                </c:pt>
                <c:pt idx="1830">
                  <c:v>44729</c:v>
                </c:pt>
                <c:pt idx="1831">
                  <c:v>44732</c:v>
                </c:pt>
                <c:pt idx="1832">
                  <c:v>44733</c:v>
                </c:pt>
                <c:pt idx="1833">
                  <c:v>44734</c:v>
                </c:pt>
                <c:pt idx="1834">
                  <c:v>44735</c:v>
                </c:pt>
                <c:pt idx="1835">
                  <c:v>44736</c:v>
                </c:pt>
                <c:pt idx="1836">
                  <c:v>44739</c:v>
                </c:pt>
                <c:pt idx="1837">
                  <c:v>44740</c:v>
                </c:pt>
                <c:pt idx="1838">
                  <c:v>44741</c:v>
                </c:pt>
                <c:pt idx="1839">
                  <c:v>44742</c:v>
                </c:pt>
                <c:pt idx="1840">
                  <c:v>44743</c:v>
                </c:pt>
                <c:pt idx="1841">
                  <c:v>44746</c:v>
                </c:pt>
                <c:pt idx="1842">
                  <c:v>44747</c:v>
                </c:pt>
                <c:pt idx="1843">
                  <c:v>44748</c:v>
                </c:pt>
                <c:pt idx="1844">
                  <c:v>44749</c:v>
                </c:pt>
                <c:pt idx="1845">
                  <c:v>44750</c:v>
                </c:pt>
                <c:pt idx="1846">
                  <c:v>44753</c:v>
                </c:pt>
                <c:pt idx="1847">
                  <c:v>44754</c:v>
                </c:pt>
                <c:pt idx="1848">
                  <c:v>44755</c:v>
                </c:pt>
                <c:pt idx="1849">
                  <c:v>44756</c:v>
                </c:pt>
                <c:pt idx="1850">
                  <c:v>44757</c:v>
                </c:pt>
                <c:pt idx="1851">
                  <c:v>44760</c:v>
                </c:pt>
                <c:pt idx="1852">
                  <c:v>44761</c:v>
                </c:pt>
                <c:pt idx="1853">
                  <c:v>44762</c:v>
                </c:pt>
                <c:pt idx="1854">
                  <c:v>44763</c:v>
                </c:pt>
                <c:pt idx="1855">
                  <c:v>44764</c:v>
                </c:pt>
                <c:pt idx="1856">
                  <c:v>44767</c:v>
                </c:pt>
                <c:pt idx="1857">
                  <c:v>44768</c:v>
                </c:pt>
                <c:pt idx="1858">
                  <c:v>44769</c:v>
                </c:pt>
                <c:pt idx="1859">
                  <c:v>44770</c:v>
                </c:pt>
                <c:pt idx="1860">
                  <c:v>44771</c:v>
                </c:pt>
                <c:pt idx="1861">
                  <c:v>44774</c:v>
                </c:pt>
                <c:pt idx="1862">
                  <c:v>44775</c:v>
                </c:pt>
                <c:pt idx="1863">
                  <c:v>44776</c:v>
                </c:pt>
                <c:pt idx="1864">
                  <c:v>44777</c:v>
                </c:pt>
                <c:pt idx="1865">
                  <c:v>44778</c:v>
                </c:pt>
                <c:pt idx="1866">
                  <c:v>44781</c:v>
                </c:pt>
                <c:pt idx="1867">
                  <c:v>44782</c:v>
                </c:pt>
                <c:pt idx="1868">
                  <c:v>44783</c:v>
                </c:pt>
                <c:pt idx="1869">
                  <c:v>44784</c:v>
                </c:pt>
                <c:pt idx="1870">
                  <c:v>44785</c:v>
                </c:pt>
                <c:pt idx="1871">
                  <c:v>44788</c:v>
                </c:pt>
                <c:pt idx="1872">
                  <c:v>44789</c:v>
                </c:pt>
                <c:pt idx="1873">
                  <c:v>44790</c:v>
                </c:pt>
                <c:pt idx="1874">
                  <c:v>44791</c:v>
                </c:pt>
                <c:pt idx="1875">
                  <c:v>44792</c:v>
                </c:pt>
                <c:pt idx="1876">
                  <c:v>44795</c:v>
                </c:pt>
                <c:pt idx="1877">
                  <c:v>44796</c:v>
                </c:pt>
                <c:pt idx="1878">
                  <c:v>44797</c:v>
                </c:pt>
                <c:pt idx="1879">
                  <c:v>44798</c:v>
                </c:pt>
                <c:pt idx="1880">
                  <c:v>44799</c:v>
                </c:pt>
                <c:pt idx="1881">
                  <c:v>44803</c:v>
                </c:pt>
                <c:pt idx="1882">
                  <c:v>44804</c:v>
                </c:pt>
                <c:pt idx="1883">
                  <c:v>44805</c:v>
                </c:pt>
                <c:pt idx="1884">
                  <c:v>44806</c:v>
                </c:pt>
                <c:pt idx="1885">
                  <c:v>44809</c:v>
                </c:pt>
                <c:pt idx="1886">
                  <c:v>44810</c:v>
                </c:pt>
                <c:pt idx="1887">
                  <c:v>44811</c:v>
                </c:pt>
                <c:pt idx="1888">
                  <c:v>44812</c:v>
                </c:pt>
                <c:pt idx="1889">
                  <c:v>44813</c:v>
                </c:pt>
                <c:pt idx="1890">
                  <c:v>44816</c:v>
                </c:pt>
                <c:pt idx="1891">
                  <c:v>44817</c:v>
                </c:pt>
                <c:pt idx="1892">
                  <c:v>44818</c:v>
                </c:pt>
                <c:pt idx="1893">
                  <c:v>44819</c:v>
                </c:pt>
                <c:pt idx="1894">
                  <c:v>44820</c:v>
                </c:pt>
                <c:pt idx="1895">
                  <c:v>44824</c:v>
                </c:pt>
                <c:pt idx="1896">
                  <c:v>44825</c:v>
                </c:pt>
                <c:pt idx="1897">
                  <c:v>44826</c:v>
                </c:pt>
                <c:pt idx="1898">
                  <c:v>44827</c:v>
                </c:pt>
                <c:pt idx="1899">
                  <c:v>44830</c:v>
                </c:pt>
                <c:pt idx="1900">
                  <c:v>44831</c:v>
                </c:pt>
                <c:pt idx="1901">
                  <c:v>44832</c:v>
                </c:pt>
                <c:pt idx="1902">
                  <c:v>44833</c:v>
                </c:pt>
                <c:pt idx="1903">
                  <c:v>44834</c:v>
                </c:pt>
                <c:pt idx="1904">
                  <c:v>44837</c:v>
                </c:pt>
                <c:pt idx="1905">
                  <c:v>44838</c:v>
                </c:pt>
                <c:pt idx="1906">
                  <c:v>44839</c:v>
                </c:pt>
                <c:pt idx="1907">
                  <c:v>44840</c:v>
                </c:pt>
                <c:pt idx="1908">
                  <c:v>44841</c:v>
                </c:pt>
                <c:pt idx="1909">
                  <c:v>44844</c:v>
                </c:pt>
                <c:pt idx="1910">
                  <c:v>44845</c:v>
                </c:pt>
                <c:pt idx="1911">
                  <c:v>44846</c:v>
                </c:pt>
                <c:pt idx="1912">
                  <c:v>44847</c:v>
                </c:pt>
                <c:pt idx="1913">
                  <c:v>44848</c:v>
                </c:pt>
                <c:pt idx="1914">
                  <c:v>44851</c:v>
                </c:pt>
                <c:pt idx="1915">
                  <c:v>44852</c:v>
                </c:pt>
                <c:pt idx="1916">
                  <c:v>44853</c:v>
                </c:pt>
                <c:pt idx="1917">
                  <c:v>44854</c:v>
                </c:pt>
                <c:pt idx="1918">
                  <c:v>44855</c:v>
                </c:pt>
                <c:pt idx="1919">
                  <c:v>44858</c:v>
                </c:pt>
                <c:pt idx="1920">
                  <c:v>44859</c:v>
                </c:pt>
                <c:pt idx="1921">
                  <c:v>44860</c:v>
                </c:pt>
                <c:pt idx="1922">
                  <c:v>44861</c:v>
                </c:pt>
                <c:pt idx="1923">
                  <c:v>44862</c:v>
                </c:pt>
                <c:pt idx="1924">
                  <c:v>44865</c:v>
                </c:pt>
                <c:pt idx="1925">
                  <c:v>44866</c:v>
                </c:pt>
                <c:pt idx="1926">
                  <c:v>44867</c:v>
                </c:pt>
                <c:pt idx="1927">
                  <c:v>44868</c:v>
                </c:pt>
                <c:pt idx="1928">
                  <c:v>44869</c:v>
                </c:pt>
                <c:pt idx="1929">
                  <c:v>44872</c:v>
                </c:pt>
                <c:pt idx="1930">
                  <c:v>44873</c:v>
                </c:pt>
                <c:pt idx="1931">
                  <c:v>44874</c:v>
                </c:pt>
                <c:pt idx="1932">
                  <c:v>44875</c:v>
                </c:pt>
                <c:pt idx="1933">
                  <c:v>44876</c:v>
                </c:pt>
                <c:pt idx="1934">
                  <c:v>44879</c:v>
                </c:pt>
                <c:pt idx="1935">
                  <c:v>44880</c:v>
                </c:pt>
                <c:pt idx="1936">
                  <c:v>44881</c:v>
                </c:pt>
                <c:pt idx="1937">
                  <c:v>44882</c:v>
                </c:pt>
                <c:pt idx="1938">
                  <c:v>44883</c:v>
                </c:pt>
                <c:pt idx="1939">
                  <c:v>44886</c:v>
                </c:pt>
                <c:pt idx="1940">
                  <c:v>44887</c:v>
                </c:pt>
                <c:pt idx="1941">
                  <c:v>44888</c:v>
                </c:pt>
                <c:pt idx="1942">
                  <c:v>44889</c:v>
                </c:pt>
                <c:pt idx="1943">
                  <c:v>44890</c:v>
                </c:pt>
                <c:pt idx="1944">
                  <c:v>44893</c:v>
                </c:pt>
                <c:pt idx="1945">
                  <c:v>44894</c:v>
                </c:pt>
                <c:pt idx="1946">
                  <c:v>44895</c:v>
                </c:pt>
                <c:pt idx="1947">
                  <c:v>44896</c:v>
                </c:pt>
                <c:pt idx="1948">
                  <c:v>44897</c:v>
                </c:pt>
                <c:pt idx="1949">
                  <c:v>44900</c:v>
                </c:pt>
                <c:pt idx="1950">
                  <c:v>44901</c:v>
                </c:pt>
                <c:pt idx="1951">
                  <c:v>44902</c:v>
                </c:pt>
                <c:pt idx="1952">
                  <c:v>44903</c:v>
                </c:pt>
                <c:pt idx="1953">
                  <c:v>44904</c:v>
                </c:pt>
                <c:pt idx="1954">
                  <c:v>44907</c:v>
                </c:pt>
                <c:pt idx="1955">
                  <c:v>44908</c:v>
                </c:pt>
                <c:pt idx="1956">
                  <c:v>44909</c:v>
                </c:pt>
                <c:pt idx="1957">
                  <c:v>44910</c:v>
                </c:pt>
                <c:pt idx="1958">
                  <c:v>44911</c:v>
                </c:pt>
                <c:pt idx="1959">
                  <c:v>44914</c:v>
                </c:pt>
                <c:pt idx="1960">
                  <c:v>44915</c:v>
                </c:pt>
                <c:pt idx="1961">
                  <c:v>44916</c:v>
                </c:pt>
                <c:pt idx="1962">
                  <c:v>44917</c:v>
                </c:pt>
                <c:pt idx="1963">
                  <c:v>44918</c:v>
                </c:pt>
                <c:pt idx="1964">
                  <c:v>44923</c:v>
                </c:pt>
                <c:pt idx="1965">
                  <c:v>44924</c:v>
                </c:pt>
                <c:pt idx="1966">
                  <c:v>44925</c:v>
                </c:pt>
                <c:pt idx="1967">
                  <c:v>44929</c:v>
                </c:pt>
                <c:pt idx="1968">
                  <c:v>44930</c:v>
                </c:pt>
                <c:pt idx="1969">
                  <c:v>44931</c:v>
                </c:pt>
                <c:pt idx="1970">
                  <c:v>44932</c:v>
                </c:pt>
                <c:pt idx="1971">
                  <c:v>44935</c:v>
                </c:pt>
                <c:pt idx="1972">
                  <c:v>44936</c:v>
                </c:pt>
                <c:pt idx="1973">
                  <c:v>44937</c:v>
                </c:pt>
                <c:pt idx="1974">
                  <c:v>44938</c:v>
                </c:pt>
                <c:pt idx="1975">
                  <c:v>44939</c:v>
                </c:pt>
                <c:pt idx="1976">
                  <c:v>44942</c:v>
                </c:pt>
                <c:pt idx="1977">
                  <c:v>44943</c:v>
                </c:pt>
                <c:pt idx="1978">
                  <c:v>44944</c:v>
                </c:pt>
                <c:pt idx="1979">
                  <c:v>44945</c:v>
                </c:pt>
                <c:pt idx="1980">
                  <c:v>44946</c:v>
                </c:pt>
                <c:pt idx="1981">
                  <c:v>44949</c:v>
                </c:pt>
                <c:pt idx="1982">
                  <c:v>44950</c:v>
                </c:pt>
                <c:pt idx="1983">
                  <c:v>44951</c:v>
                </c:pt>
                <c:pt idx="1984">
                  <c:v>44952</c:v>
                </c:pt>
                <c:pt idx="1985">
                  <c:v>44953</c:v>
                </c:pt>
                <c:pt idx="1986">
                  <c:v>44956</c:v>
                </c:pt>
                <c:pt idx="1987">
                  <c:v>44957</c:v>
                </c:pt>
                <c:pt idx="1988">
                  <c:v>44958</c:v>
                </c:pt>
                <c:pt idx="1989">
                  <c:v>44959</c:v>
                </c:pt>
                <c:pt idx="1990">
                  <c:v>44960</c:v>
                </c:pt>
                <c:pt idx="1991">
                  <c:v>44963</c:v>
                </c:pt>
                <c:pt idx="1992">
                  <c:v>44964</c:v>
                </c:pt>
                <c:pt idx="1993">
                  <c:v>44965</c:v>
                </c:pt>
                <c:pt idx="1994">
                  <c:v>44966</c:v>
                </c:pt>
                <c:pt idx="1995">
                  <c:v>44967</c:v>
                </c:pt>
                <c:pt idx="1996">
                  <c:v>44970</c:v>
                </c:pt>
                <c:pt idx="1997">
                  <c:v>44971</c:v>
                </c:pt>
                <c:pt idx="1998">
                  <c:v>44972</c:v>
                </c:pt>
                <c:pt idx="1999">
                  <c:v>44973</c:v>
                </c:pt>
                <c:pt idx="2000">
                  <c:v>44974</c:v>
                </c:pt>
                <c:pt idx="2001">
                  <c:v>44977</c:v>
                </c:pt>
                <c:pt idx="2002">
                  <c:v>44978</c:v>
                </c:pt>
                <c:pt idx="2003">
                  <c:v>44979</c:v>
                </c:pt>
                <c:pt idx="2004">
                  <c:v>44980</c:v>
                </c:pt>
                <c:pt idx="2005">
                  <c:v>44981</c:v>
                </c:pt>
                <c:pt idx="2006">
                  <c:v>44984</c:v>
                </c:pt>
                <c:pt idx="2007">
                  <c:v>44985</c:v>
                </c:pt>
                <c:pt idx="2008">
                  <c:v>44986</c:v>
                </c:pt>
                <c:pt idx="2009">
                  <c:v>44987</c:v>
                </c:pt>
                <c:pt idx="2010">
                  <c:v>44988</c:v>
                </c:pt>
                <c:pt idx="2011">
                  <c:v>44991</c:v>
                </c:pt>
                <c:pt idx="2012">
                  <c:v>44992</c:v>
                </c:pt>
                <c:pt idx="2013">
                  <c:v>44993</c:v>
                </c:pt>
                <c:pt idx="2014">
                  <c:v>44994</c:v>
                </c:pt>
                <c:pt idx="2015">
                  <c:v>44995</c:v>
                </c:pt>
                <c:pt idx="2016">
                  <c:v>44998</c:v>
                </c:pt>
                <c:pt idx="2017">
                  <c:v>44999</c:v>
                </c:pt>
                <c:pt idx="2018">
                  <c:v>45000</c:v>
                </c:pt>
                <c:pt idx="2019">
                  <c:v>45001</c:v>
                </c:pt>
                <c:pt idx="2020">
                  <c:v>45002</c:v>
                </c:pt>
                <c:pt idx="2021">
                  <c:v>45005</c:v>
                </c:pt>
                <c:pt idx="2022">
                  <c:v>45006</c:v>
                </c:pt>
                <c:pt idx="2023">
                  <c:v>45007</c:v>
                </c:pt>
                <c:pt idx="2024">
                  <c:v>45008</c:v>
                </c:pt>
                <c:pt idx="2025">
                  <c:v>45009</c:v>
                </c:pt>
                <c:pt idx="2026">
                  <c:v>45012</c:v>
                </c:pt>
                <c:pt idx="2027">
                  <c:v>45013</c:v>
                </c:pt>
                <c:pt idx="2028">
                  <c:v>45014</c:v>
                </c:pt>
                <c:pt idx="2029">
                  <c:v>45015</c:v>
                </c:pt>
                <c:pt idx="2030">
                  <c:v>45016</c:v>
                </c:pt>
                <c:pt idx="2031">
                  <c:v>45019</c:v>
                </c:pt>
                <c:pt idx="2032">
                  <c:v>45020</c:v>
                </c:pt>
                <c:pt idx="2033">
                  <c:v>45021</c:v>
                </c:pt>
                <c:pt idx="2034">
                  <c:v>45022</c:v>
                </c:pt>
                <c:pt idx="2035">
                  <c:v>45027</c:v>
                </c:pt>
                <c:pt idx="2036">
                  <c:v>45028</c:v>
                </c:pt>
                <c:pt idx="2037">
                  <c:v>45029</c:v>
                </c:pt>
                <c:pt idx="2038">
                  <c:v>45030</c:v>
                </c:pt>
                <c:pt idx="2039">
                  <c:v>45033</c:v>
                </c:pt>
                <c:pt idx="2040">
                  <c:v>45034</c:v>
                </c:pt>
                <c:pt idx="2041">
                  <c:v>45035</c:v>
                </c:pt>
                <c:pt idx="2042">
                  <c:v>45036</c:v>
                </c:pt>
                <c:pt idx="2043">
                  <c:v>45037</c:v>
                </c:pt>
                <c:pt idx="2044">
                  <c:v>45040</c:v>
                </c:pt>
                <c:pt idx="2045">
                  <c:v>45041</c:v>
                </c:pt>
                <c:pt idx="2046">
                  <c:v>45042</c:v>
                </c:pt>
                <c:pt idx="2047">
                  <c:v>45043</c:v>
                </c:pt>
                <c:pt idx="2048">
                  <c:v>45044</c:v>
                </c:pt>
                <c:pt idx="2049">
                  <c:v>45047</c:v>
                </c:pt>
                <c:pt idx="2050">
                  <c:v>45048</c:v>
                </c:pt>
                <c:pt idx="2051">
                  <c:v>45049</c:v>
                </c:pt>
                <c:pt idx="2052">
                  <c:v>45050</c:v>
                </c:pt>
                <c:pt idx="2053">
                  <c:v>45051</c:v>
                </c:pt>
                <c:pt idx="2054">
                  <c:v>45054</c:v>
                </c:pt>
                <c:pt idx="2055">
                  <c:v>45055</c:v>
                </c:pt>
                <c:pt idx="2056">
                  <c:v>45056</c:v>
                </c:pt>
                <c:pt idx="2057">
                  <c:v>45057</c:v>
                </c:pt>
                <c:pt idx="2058">
                  <c:v>45058</c:v>
                </c:pt>
                <c:pt idx="2059">
                  <c:v>45061</c:v>
                </c:pt>
                <c:pt idx="2060">
                  <c:v>45062</c:v>
                </c:pt>
                <c:pt idx="2061">
                  <c:v>45063</c:v>
                </c:pt>
                <c:pt idx="2062">
                  <c:v>45064</c:v>
                </c:pt>
                <c:pt idx="2063">
                  <c:v>45065</c:v>
                </c:pt>
                <c:pt idx="2064">
                  <c:v>45068</c:v>
                </c:pt>
                <c:pt idx="2065">
                  <c:v>45069</c:v>
                </c:pt>
                <c:pt idx="2066">
                  <c:v>45070</c:v>
                </c:pt>
                <c:pt idx="2067">
                  <c:v>45071</c:v>
                </c:pt>
                <c:pt idx="2068">
                  <c:v>45072</c:v>
                </c:pt>
                <c:pt idx="2069">
                  <c:v>45075</c:v>
                </c:pt>
                <c:pt idx="2070">
                  <c:v>45076</c:v>
                </c:pt>
                <c:pt idx="2071">
                  <c:v>45077</c:v>
                </c:pt>
                <c:pt idx="2072">
                  <c:v>45078</c:v>
                </c:pt>
                <c:pt idx="2073">
                  <c:v>45079</c:v>
                </c:pt>
                <c:pt idx="2074">
                  <c:v>45082</c:v>
                </c:pt>
                <c:pt idx="2075">
                  <c:v>45083</c:v>
                </c:pt>
                <c:pt idx="2076">
                  <c:v>45084</c:v>
                </c:pt>
                <c:pt idx="2077">
                  <c:v>45085</c:v>
                </c:pt>
                <c:pt idx="2078">
                  <c:v>45086</c:v>
                </c:pt>
                <c:pt idx="2079">
                  <c:v>45089</c:v>
                </c:pt>
                <c:pt idx="2080">
                  <c:v>45090</c:v>
                </c:pt>
                <c:pt idx="2081">
                  <c:v>45091</c:v>
                </c:pt>
                <c:pt idx="2082">
                  <c:v>45092</c:v>
                </c:pt>
                <c:pt idx="2083">
                  <c:v>45093</c:v>
                </c:pt>
                <c:pt idx="2084">
                  <c:v>45096</c:v>
                </c:pt>
                <c:pt idx="2085">
                  <c:v>45097</c:v>
                </c:pt>
                <c:pt idx="2086">
                  <c:v>45098</c:v>
                </c:pt>
                <c:pt idx="2087">
                  <c:v>45099</c:v>
                </c:pt>
                <c:pt idx="2088">
                  <c:v>45100</c:v>
                </c:pt>
                <c:pt idx="2089">
                  <c:v>45103</c:v>
                </c:pt>
                <c:pt idx="2090">
                  <c:v>45104</c:v>
                </c:pt>
                <c:pt idx="2091">
                  <c:v>45105</c:v>
                </c:pt>
                <c:pt idx="2092">
                  <c:v>45106</c:v>
                </c:pt>
                <c:pt idx="2093">
                  <c:v>45107</c:v>
                </c:pt>
                <c:pt idx="2094">
                  <c:v>45110</c:v>
                </c:pt>
                <c:pt idx="2095">
                  <c:v>45111</c:v>
                </c:pt>
                <c:pt idx="2096">
                  <c:v>45112</c:v>
                </c:pt>
                <c:pt idx="2097">
                  <c:v>45113</c:v>
                </c:pt>
                <c:pt idx="2098">
                  <c:v>45114</c:v>
                </c:pt>
                <c:pt idx="2099">
                  <c:v>45117</c:v>
                </c:pt>
                <c:pt idx="2100">
                  <c:v>45118</c:v>
                </c:pt>
                <c:pt idx="2101">
                  <c:v>45119</c:v>
                </c:pt>
                <c:pt idx="2102">
                  <c:v>45120</c:v>
                </c:pt>
                <c:pt idx="2103">
                  <c:v>45121</c:v>
                </c:pt>
                <c:pt idx="2104">
                  <c:v>45124</c:v>
                </c:pt>
                <c:pt idx="2105">
                  <c:v>45125</c:v>
                </c:pt>
                <c:pt idx="2106">
                  <c:v>45126</c:v>
                </c:pt>
                <c:pt idx="2107">
                  <c:v>45127</c:v>
                </c:pt>
                <c:pt idx="2108">
                  <c:v>45128</c:v>
                </c:pt>
                <c:pt idx="2109">
                  <c:v>45131</c:v>
                </c:pt>
                <c:pt idx="2110">
                  <c:v>45132</c:v>
                </c:pt>
                <c:pt idx="2111">
                  <c:v>45133</c:v>
                </c:pt>
                <c:pt idx="2112">
                  <c:v>45134</c:v>
                </c:pt>
                <c:pt idx="2113">
                  <c:v>45135</c:v>
                </c:pt>
                <c:pt idx="2114">
                  <c:v>45138</c:v>
                </c:pt>
                <c:pt idx="2115">
                  <c:v>45139</c:v>
                </c:pt>
                <c:pt idx="2116">
                  <c:v>45140</c:v>
                </c:pt>
                <c:pt idx="2117">
                  <c:v>45141</c:v>
                </c:pt>
                <c:pt idx="2118">
                  <c:v>45142</c:v>
                </c:pt>
                <c:pt idx="2119">
                  <c:v>45145</c:v>
                </c:pt>
                <c:pt idx="2120">
                  <c:v>45146</c:v>
                </c:pt>
                <c:pt idx="2121">
                  <c:v>45147</c:v>
                </c:pt>
                <c:pt idx="2122">
                  <c:v>45148</c:v>
                </c:pt>
                <c:pt idx="2123">
                  <c:v>45149</c:v>
                </c:pt>
                <c:pt idx="2124">
                  <c:v>45152</c:v>
                </c:pt>
                <c:pt idx="2125">
                  <c:v>45153</c:v>
                </c:pt>
                <c:pt idx="2126">
                  <c:v>45154</c:v>
                </c:pt>
                <c:pt idx="2127">
                  <c:v>45155</c:v>
                </c:pt>
                <c:pt idx="2128">
                  <c:v>45156</c:v>
                </c:pt>
                <c:pt idx="2129">
                  <c:v>45159</c:v>
                </c:pt>
                <c:pt idx="2130">
                  <c:v>45160</c:v>
                </c:pt>
                <c:pt idx="2131">
                  <c:v>45161</c:v>
                </c:pt>
                <c:pt idx="2132">
                  <c:v>45162</c:v>
                </c:pt>
                <c:pt idx="2133">
                  <c:v>45163</c:v>
                </c:pt>
                <c:pt idx="2134">
                  <c:v>45166</c:v>
                </c:pt>
                <c:pt idx="2135">
                  <c:v>45167</c:v>
                </c:pt>
                <c:pt idx="2136">
                  <c:v>45168</c:v>
                </c:pt>
                <c:pt idx="2137">
                  <c:v>45169</c:v>
                </c:pt>
                <c:pt idx="2138">
                  <c:v>45170</c:v>
                </c:pt>
                <c:pt idx="2139">
                  <c:v>45173</c:v>
                </c:pt>
                <c:pt idx="2140">
                  <c:v>45174</c:v>
                </c:pt>
                <c:pt idx="2141">
                  <c:v>45175</c:v>
                </c:pt>
                <c:pt idx="2142">
                  <c:v>45176</c:v>
                </c:pt>
                <c:pt idx="2143">
                  <c:v>45177</c:v>
                </c:pt>
                <c:pt idx="2144">
                  <c:v>45180</c:v>
                </c:pt>
                <c:pt idx="2145">
                  <c:v>45181</c:v>
                </c:pt>
                <c:pt idx="2146">
                  <c:v>45182</c:v>
                </c:pt>
                <c:pt idx="2147">
                  <c:v>45183</c:v>
                </c:pt>
                <c:pt idx="2148">
                  <c:v>45184</c:v>
                </c:pt>
                <c:pt idx="2149">
                  <c:v>45187</c:v>
                </c:pt>
                <c:pt idx="2150">
                  <c:v>45188</c:v>
                </c:pt>
                <c:pt idx="2151">
                  <c:v>45189</c:v>
                </c:pt>
                <c:pt idx="2152">
                  <c:v>45190</c:v>
                </c:pt>
                <c:pt idx="2153">
                  <c:v>45191</c:v>
                </c:pt>
                <c:pt idx="2154">
                  <c:v>45194</c:v>
                </c:pt>
                <c:pt idx="2155">
                  <c:v>45195</c:v>
                </c:pt>
                <c:pt idx="2156">
                  <c:v>45196</c:v>
                </c:pt>
                <c:pt idx="2157">
                  <c:v>45197</c:v>
                </c:pt>
                <c:pt idx="2158">
                  <c:v>45198</c:v>
                </c:pt>
                <c:pt idx="2159">
                  <c:v>45201</c:v>
                </c:pt>
                <c:pt idx="2160">
                  <c:v>45202</c:v>
                </c:pt>
                <c:pt idx="2161">
                  <c:v>45203</c:v>
                </c:pt>
                <c:pt idx="2162">
                  <c:v>45204</c:v>
                </c:pt>
                <c:pt idx="2163">
                  <c:v>45205</c:v>
                </c:pt>
                <c:pt idx="2164">
                  <c:v>45208</c:v>
                </c:pt>
                <c:pt idx="2165">
                  <c:v>45209</c:v>
                </c:pt>
                <c:pt idx="2166">
                  <c:v>45210</c:v>
                </c:pt>
                <c:pt idx="2167">
                  <c:v>45211</c:v>
                </c:pt>
                <c:pt idx="2168">
                  <c:v>45212</c:v>
                </c:pt>
                <c:pt idx="2169">
                  <c:v>45215</c:v>
                </c:pt>
                <c:pt idx="2170">
                  <c:v>45216</c:v>
                </c:pt>
                <c:pt idx="2171">
                  <c:v>45217</c:v>
                </c:pt>
                <c:pt idx="2172">
                  <c:v>45218</c:v>
                </c:pt>
                <c:pt idx="2173">
                  <c:v>45219</c:v>
                </c:pt>
                <c:pt idx="2174">
                  <c:v>45222</c:v>
                </c:pt>
                <c:pt idx="2175">
                  <c:v>45223</c:v>
                </c:pt>
                <c:pt idx="2176">
                  <c:v>45224</c:v>
                </c:pt>
                <c:pt idx="2177">
                  <c:v>45225</c:v>
                </c:pt>
                <c:pt idx="2178">
                  <c:v>45226</c:v>
                </c:pt>
                <c:pt idx="2179">
                  <c:v>45229</c:v>
                </c:pt>
                <c:pt idx="2180">
                  <c:v>45230</c:v>
                </c:pt>
                <c:pt idx="2181">
                  <c:v>45231</c:v>
                </c:pt>
                <c:pt idx="2182">
                  <c:v>45232</c:v>
                </c:pt>
                <c:pt idx="2183">
                  <c:v>45233</c:v>
                </c:pt>
                <c:pt idx="2184">
                  <c:v>45236</c:v>
                </c:pt>
                <c:pt idx="2185">
                  <c:v>45237</c:v>
                </c:pt>
                <c:pt idx="2186">
                  <c:v>45238</c:v>
                </c:pt>
                <c:pt idx="2187">
                  <c:v>45239</c:v>
                </c:pt>
                <c:pt idx="2188">
                  <c:v>45240</c:v>
                </c:pt>
                <c:pt idx="2189">
                  <c:v>45243</c:v>
                </c:pt>
                <c:pt idx="2190">
                  <c:v>45244</c:v>
                </c:pt>
                <c:pt idx="2191">
                  <c:v>45245</c:v>
                </c:pt>
                <c:pt idx="2192">
                  <c:v>45246</c:v>
                </c:pt>
                <c:pt idx="2193">
                  <c:v>45247</c:v>
                </c:pt>
                <c:pt idx="2194">
                  <c:v>45250</c:v>
                </c:pt>
                <c:pt idx="2195">
                  <c:v>45251</c:v>
                </c:pt>
                <c:pt idx="2196">
                  <c:v>45252</c:v>
                </c:pt>
                <c:pt idx="2197">
                  <c:v>45253</c:v>
                </c:pt>
                <c:pt idx="2198">
                  <c:v>45254</c:v>
                </c:pt>
                <c:pt idx="2199">
                  <c:v>45257</c:v>
                </c:pt>
                <c:pt idx="2200">
                  <c:v>45258</c:v>
                </c:pt>
                <c:pt idx="2201">
                  <c:v>45259</c:v>
                </c:pt>
                <c:pt idx="2202">
                  <c:v>45260</c:v>
                </c:pt>
                <c:pt idx="2203">
                  <c:v>45261</c:v>
                </c:pt>
                <c:pt idx="2204">
                  <c:v>45264</c:v>
                </c:pt>
                <c:pt idx="2205">
                  <c:v>45265</c:v>
                </c:pt>
                <c:pt idx="2206">
                  <c:v>45266</c:v>
                </c:pt>
                <c:pt idx="2207">
                  <c:v>45267</c:v>
                </c:pt>
                <c:pt idx="2208">
                  <c:v>45268</c:v>
                </c:pt>
                <c:pt idx="2209">
                  <c:v>45271</c:v>
                </c:pt>
                <c:pt idx="2210">
                  <c:v>45272</c:v>
                </c:pt>
                <c:pt idx="2211">
                  <c:v>45273</c:v>
                </c:pt>
                <c:pt idx="2212">
                  <c:v>45274</c:v>
                </c:pt>
                <c:pt idx="2213">
                  <c:v>45275</c:v>
                </c:pt>
                <c:pt idx="2214">
                  <c:v>45278</c:v>
                </c:pt>
                <c:pt idx="2215">
                  <c:v>45279</c:v>
                </c:pt>
                <c:pt idx="2216">
                  <c:v>45280</c:v>
                </c:pt>
                <c:pt idx="2217">
                  <c:v>45281</c:v>
                </c:pt>
                <c:pt idx="2218">
                  <c:v>45282</c:v>
                </c:pt>
                <c:pt idx="2219">
                  <c:v>45287</c:v>
                </c:pt>
                <c:pt idx="2220">
                  <c:v>45288</c:v>
                </c:pt>
                <c:pt idx="2221">
                  <c:v>45289</c:v>
                </c:pt>
                <c:pt idx="2222">
                  <c:v>45293</c:v>
                </c:pt>
                <c:pt idx="2223">
                  <c:v>45294</c:v>
                </c:pt>
                <c:pt idx="2224">
                  <c:v>45295</c:v>
                </c:pt>
                <c:pt idx="2225">
                  <c:v>45296</c:v>
                </c:pt>
                <c:pt idx="2226">
                  <c:v>45299</c:v>
                </c:pt>
                <c:pt idx="2227">
                  <c:v>45300</c:v>
                </c:pt>
                <c:pt idx="2228">
                  <c:v>45301</c:v>
                </c:pt>
                <c:pt idx="2229">
                  <c:v>45302</c:v>
                </c:pt>
                <c:pt idx="2230">
                  <c:v>45303</c:v>
                </c:pt>
                <c:pt idx="2231">
                  <c:v>45306</c:v>
                </c:pt>
                <c:pt idx="2232">
                  <c:v>45307</c:v>
                </c:pt>
                <c:pt idx="2233">
                  <c:v>45308</c:v>
                </c:pt>
                <c:pt idx="2234">
                  <c:v>45309</c:v>
                </c:pt>
                <c:pt idx="2235">
                  <c:v>45310</c:v>
                </c:pt>
                <c:pt idx="2236">
                  <c:v>45313</c:v>
                </c:pt>
                <c:pt idx="2237">
                  <c:v>45314</c:v>
                </c:pt>
                <c:pt idx="2238">
                  <c:v>45315</c:v>
                </c:pt>
                <c:pt idx="2239">
                  <c:v>45316</c:v>
                </c:pt>
                <c:pt idx="2240">
                  <c:v>45317</c:v>
                </c:pt>
                <c:pt idx="2241">
                  <c:v>45320</c:v>
                </c:pt>
                <c:pt idx="2242">
                  <c:v>45321</c:v>
                </c:pt>
                <c:pt idx="2243">
                  <c:v>45322</c:v>
                </c:pt>
                <c:pt idx="2244">
                  <c:v>45323</c:v>
                </c:pt>
                <c:pt idx="2245">
                  <c:v>45324</c:v>
                </c:pt>
                <c:pt idx="2246">
                  <c:v>45327</c:v>
                </c:pt>
                <c:pt idx="2247">
                  <c:v>45328</c:v>
                </c:pt>
                <c:pt idx="2248">
                  <c:v>45329</c:v>
                </c:pt>
                <c:pt idx="2249">
                  <c:v>45330</c:v>
                </c:pt>
                <c:pt idx="2250">
                  <c:v>45331</c:v>
                </c:pt>
                <c:pt idx="2251">
                  <c:v>45334</c:v>
                </c:pt>
                <c:pt idx="2252">
                  <c:v>45335</c:v>
                </c:pt>
                <c:pt idx="2253">
                  <c:v>45336</c:v>
                </c:pt>
                <c:pt idx="2254">
                  <c:v>45337</c:v>
                </c:pt>
                <c:pt idx="2255">
                  <c:v>45338</c:v>
                </c:pt>
                <c:pt idx="2256">
                  <c:v>45341</c:v>
                </c:pt>
                <c:pt idx="2257">
                  <c:v>45342</c:v>
                </c:pt>
                <c:pt idx="2258">
                  <c:v>45343</c:v>
                </c:pt>
                <c:pt idx="2259">
                  <c:v>45344</c:v>
                </c:pt>
                <c:pt idx="2260">
                  <c:v>45345</c:v>
                </c:pt>
                <c:pt idx="2261">
                  <c:v>45348</c:v>
                </c:pt>
                <c:pt idx="2262">
                  <c:v>45349</c:v>
                </c:pt>
                <c:pt idx="2263">
                  <c:v>45350</c:v>
                </c:pt>
                <c:pt idx="2264">
                  <c:v>45351</c:v>
                </c:pt>
                <c:pt idx="2265">
                  <c:v>45352</c:v>
                </c:pt>
                <c:pt idx="2266">
                  <c:v>45355</c:v>
                </c:pt>
                <c:pt idx="2267">
                  <c:v>45356</c:v>
                </c:pt>
                <c:pt idx="2268">
                  <c:v>45357</c:v>
                </c:pt>
                <c:pt idx="2269">
                  <c:v>45358</c:v>
                </c:pt>
                <c:pt idx="2270">
                  <c:v>45359</c:v>
                </c:pt>
                <c:pt idx="2271">
                  <c:v>45362</c:v>
                </c:pt>
                <c:pt idx="2272">
                  <c:v>45363</c:v>
                </c:pt>
                <c:pt idx="2273">
                  <c:v>45364</c:v>
                </c:pt>
                <c:pt idx="2274">
                  <c:v>45365</c:v>
                </c:pt>
                <c:pt idx="2275">
                  <c:v>45366</c:v>
                </c:pt>
                <c:pt idx="2276">
                  <c:v>45369</c:v>
                </c:pt>
                <c:pt idx="2277">
                  <c:v>45370</c:v>
                </c:pt>
                <c:pt idx="2278">
                  <c:v>45371</c:v>
                </c:pt>
                <c:pt idx="2279">
                  <c:v>45372</c:v>
                </c:pt>
                <c:pt idx="2280">
                  <c:v>45373</c:v>
                </c:pt>
                <c:pt idx="2281">
                  <c:v>45376</c:v>
                </c:pt>
                <c:pt idx="2282">
                  <c:v>45377</c:v>
                </c:pt>
                <c:pt idx="2283">
                  <c:v>45378</c:v>
                </c:pt>
                <c:pt idx="2284">
                  <c:v>45379</c:v>
                </c:pt>
                <c:pt idx="2285">
                  <c:v>45380</c:v>
                </c:pt>
                <c:pt idx="2286">
                  <c:v>45383</c:v>
                </c:pt>
                <c:pt idx="2287">
                  <c:v>45384</c:v>
                </c:pt>
                <c:pt idx="2288">
                  <c:v>45385</c:v>
                </c:pt>
                <c:pt idx="2289">
                  <c:v>45386</c:v>
                </c:pt>
                <c:pt idx="2290">
                  <c:v>45387</c:v>
                </c:pt>
                <c:pt idx="2291">
                  <c:v>45390</c:v>
                </c:pt>
                <c:pt idx="2292">
                  <c:v>45391</c:v>
                </c:pt>
                <c:pt idx="2293">
                  <c:v>45392</c:v>
                </c:pt>
                <c:pt idx="2294">
                  <c:v>45393</c:v>
                </c:pt>
                <c:pt idx="2295">
                  <c:v>45394</c:v>
                </c:pt>
                <c:pt idx="2296">
                  <c:v>45397</c:v>
                </c:pt>
                <c:pt idx="2297">
                  <c:v>45398</c:v>
                </c:pt>
                <c:pt idx="2298">
                  <c:v>45399</c:v>
                </c:pt>
                <c:pt idx="2299">
                  <c:v>45400</c:v>
                </c:pt>
                <c:pt idx="2300">
                  <c:v>45401</c:v>
                </c:pt>
                <c:pt idx="2301">
                  <c:v>45404</c:v>
                </c:pt>
                <c:pt idx="2302">
                  <c:v>45405</c:v>
                </c:pt>
                <c:pt idx="2303">
                  <c:v>45406</c:v>
                </c:pt>
                <c:pt idx="2304">
                  <c:v>45407</c:v>
                </c:pt>
                <c:pt idx="2305">
                  <c:v>45408</c:v>
                </c:pt>
                <c:pt idx="2306">
                  <c:v>45411</c:v>
                </c:pt>
                <c:pt idx="2307">
                  <c:v>45412</c:v>
                </c:pt>
                <c:pt idx="2308">
                  <c:v>45413</c:v>
                </c:pt>
                <c:pt idx="2309">
                  <c:v>45414</c:v>
                </c:pt>
                <c:pt idx="2310">
                  <c:v>45415</c:v>
                </c:pt>
                <c:pt idx="2311">
                  <c:v>45418</c:v>
                </c:pt>
                <c:pt idx="2312">
                  <c:v>45419</c:v>
                </c:pt>
                <c:pt idx="2313">
                  <c:v>45420</c:v>
                </c:pt>
                <c:pt idx="2314">
                  <c:v>45421</c:v>
                </c:pt>
                <c:pt idx="2315">
                  <c:v>45422</c:v>
                </c:pt>
                <c:pt idx="2316">
                  <c:v>45425</c:v>
                </c:pt>
                <c:pt idx="2317">
                  <c:v>45426</c:v>
                </c:pt>
                <c:pt idx="2318">
                  <c:v>45427</c:v>
                </c:pt>
                <c:pt idx="2319">
                  <c:v>45428</c:v>
                </c:pt>
                <c:pt idx="2320">
                  <c:v>45429</c:v>
                </c:pt>
                <c:pt idx="2321">
                  <c:v>45432</c:v>
                </c:pt>
                <c:pt idx="2322">
                  <c:v>45433</c:v>
                </c:pt>
                <c:pt idx="2323">
                  <c:v>45434</c:v>
                </c:pt>
                <c:pt idx="2324">
                  <c:v>45435</c:v>
                </c:pt>
                <c:pt idx="2325">
                  <c:v>45436</c:v>
                </c:pt>
                <c:pt idx="2326">
                  <c:v>45439</c:v>
                </c:pt>
                <c:pt idx="2327">
                  <c:v>45440</c:v>
                </c:pt>
                <c:pt idx="2328">
                  <c:v>45441</c:v>
                </c:pt>
                <c:pt idx="2329">
                  <c:v>45442</c:v>
                </c:pt>
                <c:pt idx="2330">
                  <c:v>45443</c:v>
                </c:pt>
                <c:pt idx="2331">
                  <c:v>45446</c:v>
                </c:pt>
                <c:pt idx="2332">
                  <c:v>45447</c:v>
                </c:pt>
                <c:pt idx="2333">
                  <c:v>45448</c:v>
                </c:pt>
                <c:pt idx="2334">
                  <c:v>45449</c:v>
                </c:pt>
                <c:pt idx="2335">
                  <c:v>45450</c:v>
                </c:pt>
                <c:pt idx="2336">
                  <c:v>45453</c:v>
                </c:pt>
                <c:pt idx="2337">
                  <c:v>45454</c:v>
                </c:pt>
                <c:pt idx="2338">
                  <c:v>45455</c:v>
                </c:pt>
                <c:pt idx="2339">
                  <c:v>45456</c:v>
                </c:pt>
                <c:pt idx="2340">
                  <c:v>45457</c:v>
                </c:pt>
                <c:pt idx="2341">
                  <c:v>45460</c:v>
                </c:pt>
                <c:pt idx="2342">
                  <c:v>45461</c:v>
                </c:pt>
                <c:pt idx="2343">
                  <c:v>45462</c:v>
                </c:pt>
                <c:pt idx="2344">
                  <c:v>45463</c:v>
                </c:pt>
                <c:pt idx="2345">
                  <c:v>45464</c:v>
                </c:pt>
                <c:pt idx="2346">
                  <c:v>45467</c:v>
                </c:pt>
                <c:pt idx="2347">
                  <c:v>45468</c:v>
                </c:pt>
                <c:pt idx="2348">
                  <c:v>45469</c:v>
                </c:pt>
                <c:pt idx="2349">
                  <c:v>45470</c:v>
                </c:pt>
                <c:pt idx="2350">
                  <c:v>45471</c:v>
                </c:pt>
                <c:pt idx="2351">
                  <c:v>45474</c:v>
                </c:pt>
                <c:pt idx="2352">
                  <c:v>45475</c:v>
                </c:pt>
                <c:pt idx="2353">
                  <c:v>45476</c:v>
                </c:pt>
                <c:pt idx="2354">
                  <c:v>45477</c:v>
                </c:pt>
                <c:pt idx="2355">
                  <c:v>45478</c:v>
                </c:pt>
                <c:pt idx="2356">
                  <c:v>45481</c:v>
                </c:pt>
                <c:pt idx="2357">
                  <c:v>45482</c:v>
                </c:pt>
                <c:pt idx="2358">
                  <c:v>45483</c:v>
                </c:pt>
                <c:pt idx="2359">
                  <c:v>45484</c:v>
                </c:pt>
                <c:pt idx="2360">
                  <c:v>45485</c:v>
                </c:pt>
                <c:pt idx="2361">
                  <c:v>45488</c:v>
                </c:pt>
                <c:pt idx="2362">
                  <c:v>45489</c:v>
                </c:pt>
                <c:pt idx="2363">
                  <c:v>45490</c:v>
                </c:pt>
                <c:pt idx="2364">
                  <c:v>45491</c:v>
                </c:pt>
                <c:pt idx="2365">
                  <c:v>45492</c:v>
                </c:pt>
                <c:pt idx="2366">
                  <c:v>45495</c:v>
                </c:pt>
                <c:pt idx="2367">
                  <c:v>45496</c:v>
                </c:pt>
                <c:pt idx="2368">
                  <c:v>45497</c:v>
                </c:pt>
                <c:pt idx="2369">
                  <c:v>45498</c:v>
                </c:pt>
                <c:pt idx="2370">
                  <c:v>45499</c:v>
                </c:pt>
                <c:pt idx="2371">
                  <c:v>45502</c:v>
                </c:pt>
                <c:pt idx="2372">
                  <c:v>45503</c:v>
                </c:pt>
                <c:pt idx="2373">
                  <c:v>45504</c:v>
                </c:pt>
                <c:pt idx="2374">
                  <c:v>45505</c:v>
                </c:pt>
                <c:pt idx="2375">
                  <c:v>45506</c:v>
                </c:pt>
                <c:pt idx="2376">
                  <c:v>45509</c:v>
                </c:pt>
                <c:pt idx="2377">
                  <c:v>45510</c:v>
                </c:pt>
                <c:pt idx="2378">
                  <c:v>45511</c:v>
                </c:pt>
                <c:pt idx="2379">
                  <c:v>45512</c:v>
                </c:pt>
                <c:pt idx="2380">
                  <c:v>45513</c:v>
                </c:pt>
                <c:pt idx="2381">
                  <c:v>45516</c:v>
                </c:pt>
                <c:pt idx="2382">
                  <c:v>45517</c:v>
                </c:pt>
                <c:pt idx="2383">
                  <c:v>45518</c:v>
                </c:pt>
                <c:pt idx="2384">
                  <c:v>45519</c:v>
                </c:pt>
                <c:pt idx="2385">
                  <c:v>45520</c:v>
                </c:pt>
                <c:pt idx="2386">
                  <c:v>45523</c:v>
                </c:pt>
                <c:pt idx="2387">
                  <c:v>45524</c:v>
                </c:pt>
                <c:pt idx="2388">
                  <c:v>45525</c:v>
                </c:pt>
                <c:pt idx="2389">
                  <c:v>45526</c:v>
                </c:pt>
                <c:pt idx="2390">
                  <c:v>45527</c:v>
                </c:pt>
                <c:pt idx="2391">
                  <c:v>45530</c:v>
                </c:pt>
                <c:pt idx="2392">
                  <c:v>45531</c:v>
                </c:pt>
                <c:pt idx="2393">
                  <c:v>45532</c:v>
                </c:pt>
                <c:pt idx="2394">
                  <c:v>45533</c:v>
                </c:pt>
                <c:pt idx="2395">
                  <c:v>45534</c:v>
                </c:pt>
                <c:pt idx="2396">
                  <c:v>45537</c:v>
                </c:pt>
                <c:pt idx="2397">
                  <c:v>45538</c:v>
                </c:pt>
                <c:pt idx="2398">
                  <c:v>45539</c:v>
                </c:pt>
                <c:pt idx="2399">
                  <c:v>45540</c:v>
                </c:pt>
                <c:pt idx="2400">
                  <c:v>45541</c:v>
                </c:pt>
                <c:pt idx="2401">
                  <c:v>45544</c:v>
                </c:pt>
                <c:pt idx="2402">
                  <c:v>45545</c:v>
                </c:pt>
                <c:pt idx="2403">
                  <c:v>45546</c:v>
                </c:pt>
                <c:pt idx="2404">
                  <c:v>45547</c:v>
                </c:pt>
                <c:pt idx="2405">
                  <c:v>45548</c:v>
                </c:pt>
                <c:pt idx="2406">
                  <c:v>45551</c:v>
                </c:pt>
                <c:pt idx="2407">
                  <c:v>45552</c:v>
                </c:pt>
                <c:pt idx="2408">
                  <c:v>45553</c:v>
                </c:pt>
                <c:pt idx="2409">
                  <c:v>45554</c:v>
                </c:pt>
                <c:pt idx="2410">
                  <c:v>45555</c:v>
                </c:pt>
                <c:pt idx="2411">
                  <c:v>45558</c:v>
                </c:pt>
                <c:pt idx="2412">
                  <c:v>45559</c:v>
                </c:pt>
                <c:pt idx="2413">
                  <c:v>45560</c:v>
                </c:pt>
                <c:pt idx="2414">
                  <c:v>45561</c:v>
                </c:pt>
                <c:pt idx="2415">
                  <c:v>45562</c:v>
                </c:pt>
                <c:pt idx="2416">
                  <c:v>45565</c:v>
                </c:pt>
                <c:pt idx="2417">
                  <c:v>45566</c:v>
                </c:pt>
                <c:pt idx="2418">
                  <c:v>45567</c:v>
                </c:pt>
                <c:pt idx="2419">
                  <c:v>45568</c:v>
                </c:pt>
                <c:pt idx="2420">
                  <c:v>45569</c:v>
                </c:pt>
                <c:pt idx="2421">
                  <c:v>45572</c:v>
                </c:pt>
                <c:pt idx="2422">
                  <c:v>45573</c:v>
                </c:pt>
                <c:pt idx="2423">
                  <c:v>45574</c:v>
                </c:pt>
                <c:pt idx="2424">
                  <c:v>45575</c:v>
                </c:pt>
                <c:pt idx="2425">
                  <c:v>45576</c:v>
                </c:pt>
                <c:pt idx="2426">
                  <c:v>45579</c:v>
                </c:pt>
                <c:pt idx="2427">
                  <c:v>45580</c:v>
                </c:pt>
                <c:pt idx="2428">
                  <c:v>45581</c:v>
                </c:pt>
                <c:pt idx="2429">
                  <c:v>45582</c:v>
                </c:pt>
                <c:pt idx="2430">
                  <c:v>45583</c:v>
                </c:pt>
                <c:pt idx="2431">
                  <c:v>45586</c:v>
                </c:pt>
                <c:pt idx="2432">
                  <c:v>45587</c:v>
                </c:pt>
                <c:pt idx="2433">
                  <c:v>45588</c:v>
                </c:pt>
                <c:pt idx="2434">
                  <c:v>45589</c:v>
                </c:pt>
                <c:pt idx="2435">
                  <c:v>45590</c:v>
                </c:pt>
                <c:pt idx="2436">
                  <c:v>45593</c:v>
                </c:pt>
                <c:pt idx="2437">
                  <c:v>45594</c:v>
                </c:pt>
                <c:pt idx="2438">
                  <c:v>45595</c:v>
                </c:pt>
                <c:pt idx="2439">
                  <c:v>45596</c:v>
                </c:pt>
                <c:pt idx="2440">
                  <c:v>45597</c:v>
                </c:pt>
                <c:pt idx="2441">
                  <c:v>45600</c:v>
                </c:pt>
                <c:pt idx="2442">
                  <c:v>45601</c:v>
                </c:pt>
                <c:pt idx="2443">
                  <c:v>45602</c:v>
                </c:pt>
                <c:pt idx="2444">
                  <c:v>45603</c:v>
                </c:pt>
                <c:pt idx="2445">
                  <c:v>45604</c:v>
                </c:pt>
                <c:pt idx="2446">
                  <c:v>45607</c:v>
                </c:pt>
                <c:pt idx="2447">
                  <c:v>45608</c:v>
                </c:pt>
                <c:pt idx="2448">
                  <c:v>45609</c:v>
                </c:pt>
                <c:pt idx="2449">
                  <c:v>45610</c:v>
                </c:pt>
                <c:pt idx="2450">
                  <c:v>45611</c:v>
                </c:pt>
                <c:pt idx="2451">
                  <c:v>45614</c:v>
                </c:pt>
                <c:pt idx="2452">
                  <c:v>45615</c:v>
                </c:pt>
                <c:pt idx="2453">
                  <c:v>45616</c:v>
                </c:pt>
                <c:pt idx="2454">
                  <c:v>45617</c:v>
                </c:pt>
                <c:pt idx="2455">
                  <c:v>45618</c:v>
                </c:pt>
                <c:pt idx="2456">
                  <c:v>45621</c:v>
                </c:pt>
                <c:pt idx="2457">
                  <c:v>45622</c:v>
                </c:pt>
                <c:pt idx="2458">
                  <c:v>45623</c:v>
                </c:pt>
                <c:pt idx="2459">
                  <c:v>45624</c:v>
                </c:pt>
                <c:pt idx="2460">
                  <c:v>45625</c:v>
                </c:pt>
                <c:pt idx="2461">
                  <c:v>45628</c:v>
                </c:pt>
                <c:pt idx="2462">
                  <c:v>45629</c:v>
                </c:pt>
                <c:pt idx="2463">
                  <c:v>45630</c:v>
                </c:pt>
                <c:pt idx="2464">
                  <c:v>45631</c:v>
                </c:pt>
                <c:pt idx="2465">
                  <c:v>45632</c:v>
                </c:pt>
                <c:pt idx="2466">
                  <c:v>45635</c:v>
                </c:pt>
                <c:pt idx="2467">
                  <c:v>45636</c:v>
                </c:pt>
                <c:pt idx="2468">
                  <c:v>45637</c:v>
                </c:pt>
                <c:pt idx="2469">
                  <c:v>45638</c:v>
                </c:pt>
                <c:pt idx="2470">
                  <c:v>45639</c:v>
                </c:pt>
                <c:pt idx="2471">
                  <c:v>45642</c:v>
                </c:pt>
                <c:pt idx="2472">
                  <c:v>45643</c:v>
                </c:pt>
                <c:pt idx="2473">
                  <c:v>45644</c:v>
                </c:pt>
                <c:pt idx="2474">
                  <c:v>45645</c:v>
                </c:pt>
                <c:pt idx="2475">
                  <c:v>45646</c:v>
                </c:pt>
                <c:pt idx="2476">
                  <c:v>45649</c:v>
                </c:pt>
                <c:pt idx="2477">
                  <c:v>45650</c:v>
                </c:pt>
                <c:pt idx="2478">
                  <c:v>45651</c:v>
                </c:pt>
                <c:pt idx="2479">
                  <c:v>45652</c:v>
                </c:pt>
                <c:pt idx="2480">
                  <c:v>45653</c:v>
                </c:pt>
                <c:pt idx="2481">
                  <c:v>45656</c:v>
                </c:pt>
                <c:pt idx="2482">
                  <c:v>45657</c:v>
                </c:pt>
                <c:pt idx="2483">
                  <c:v>45659</c:v>
                </c:pt>
                <c:pt idx="2484">
                  <c:v>45660</c:v>
                </c:pt>
                <c:pt idx="2485">
                  <c:v>45663</c:v>
                </c:pt>
                <c:pt idx="2486">
                  <c:v>45664</c:v>
                </c:pt>
                <c:pt idx="2487">
                  <c:v>45665</c:v>
                </c:pt>
                <c:pt idx="2488">
                  <c:v>45666</c:v>
                </c:pt>
                <c:pt idx="2489">
                  <c:v>45667</c:v>
                </c:pt>
                <c:pt idx="2490">
                  <c:v>45670</c:v>
                </c:pt>
                <c:pt idx="2491">
                  <c:v>45671</c:v>
                </c:pt>
                <c:pt idx="2492">
                  <c:v>45672</c:v>
                </c:pt>
                <c:pt idx="2493">
                  <c:v>45673</c:v>
                </c:pt>
                <c:pt idx="2494">
                  <c:v>45674</c:v>
                </c:pt>
                <c:pt idx="2495">
                  <c:v>45677</c:v>
                </c:pt>
                <c:pt idx="2496">
                  <c:v>45678</c:v>
                </c:pt>
                <c:pt idx="2497">
                  <c:v>45679</c:v>
                </c:pt>
                <c:pt idx="2498">
                  <c:v>45680</c:v>
                </c:pt>
                <c:pt idx="2499">
                  <c:v>45681</c:v>
                </c:pt>
                <c:pt idx="2500">
                  <c:v>45684</c:v>
                </c:pt>
                <c:pt idx="2501">
                  <c:v>45685</c:v>
                </c:pt>
                <c:pt idx="2502">
                  <c:v>45686</c:v>
                </c:pt>
                <c:pt idx="2503">
                  <c:v>45687</c:v>
                </c:pt>
                <c:pt idx="2504">
                  <c:v>45688</c:v>
                </c:pt>
                <c:pt idx="2505">
                  <c:v>45691</c:v>
                </c:pt>
                <c:pt idx="2506">
                  <c:v>45692</c:v>
                </c:pt>
                <c:pt idx="2507">
                  <c:v>45693</c:v>
                </c:pt>
                <c:pt idx="2508">
                  <c:v>45694</c:v>
                </c:pt>
                <c:pt idx="2509">
                  <c:v>45695</c:v>
                </c:pt>
                <c:pt idx="2510">
                  <c:v>45698</c:v>
                </c:pt>
                <c:pt idx="2511">
                  <c:v>45699</c:v>
                </c:pt>
                <c:pt idx="2512">
                  <c:v>45700</c:v>
                </c:pt>
                <c:pt idx="2513">
                  <c:v>45701</c:v>
                </c:pt>
                <c:pt idx="2514">
                  <c:v>45702</c:v>
                </c:pt>
                <c:pt idx="2515">
                  <c:v>45705</c:v>
                </c:pt>
              </c:numCache>
            </c:numRef>
          </c:cat>
          <c:val>
            <c:numRef>
              <c:f>'Rendement hist'!$B$2:$B$2517</c:f>
              <c:numCache>
                <c:formatCode>0.00%</c:formatCode>
                <c:ptCount val="2516"/>
                <c:pt idx="0">
                  <c:v>0.21906056614933811</c:v>
                </c:pt>
                <c:pt idx="1">
                  <c:v>0.22712707172633784</c:v>
                </c:pt>
                <c:pt idx="2">
                  <c:v>0.23467314911472115</c:v>
                </c:pt>
                <c:pt idx="3">
                  <c:v>0.21235969676397382</c:v>
                </c:pt>
                <c:pt idx="4">
                  <c:v>0.23096536216350128</c:v>
                </c:pt>
                <c:pt idx="5">
                  <c:v>0.21873545914876158</c:v>
                </c:pt>
                <c:pt idx="6">
                  <c:v>0.20922397540902948</c:v>
                </c:pt>
                <c:pt idx="7">
                  <c:v>0.21917085577754758</c:v>
                </c:pt>
                <c:pt idx="8">
                  <c:v>0.16645940634789147</c:v>
                </c:pt>
                <c:pt idx="9">
                  <c:v>0.1627426406311554</c:v>
                </c:pt>
                <c:pt idx="10">
                  <c:v>0.1667321096590566</c:v>
                </c:pt>
                <c:pt idx="11">
                  <c:v>0.15720311618445293</c:v>
                </c:pt>
                <c:pt idx="12">
                  <c:v>0.14547628494177878</c:v>
                </c:pt>
                <c:pt idx="13">
                  <c:v>0.13004520302019751</c:v>
                </c:pt>
                <c:pt idx="14">
                  <c:v>0.12147956388040493</c:v>
                </c:pt>
                <c:pt idx="15">
                  <c:v>9.8600460660487776E-2</c:v>
                </c:pt>
                <c:pt idx="16">
                  <c:v>8.5138307779074829E-2</c:v>
                </c:pt>
                <c:pt idx="17">
                  <c:v>8.0317429708100629E-2</c:v>
                </c:pt>
                <c:pt idx="18">
                  <c:v>7.8583852561159517E-2</c:v>
                </c:pt>
                <c:pt idx="19">
                  <c:v>7.5317300036383372E-2</c:v>
                </c:pt>
                <c:pt idx="20">
                  <c:v>6.7962157046256522E-2</c:v>
                </c:pt>
                <c:pt idx="21">
                  <c:v>5.9831037651138175E-2</c:v>
                </c:pt>
                <c:pt idx="22">
                  <c:v>8.5040588357011115E-2</c:v>
                </c:pt>
                <c:pt idx="23">
                  <c:v>8.785006545511953E-2</c:v>
                </c:pt>
                <c:pt idx="24">
                  <c:v>7.16543735702313E-2</c:v>
                </c:pt>
                <c:pt idx="25">
                  <c:v>7.7148292782704742E-2</c:v>
                </c:pt>
                <c:pt idx="26">
                  <c:v>7.8371174431501656E-2</c:v>
                </c:pt>
                <c:pt idx="27">
                  <c:v>7.6201447379712128E-2</c:v>
                </c:pt>
                <c:pt idx="28">
                  <c:v>7.3499407321132804E-2</c:v>
                </c:pt>
                <c:pt idx="29">
                  <c:v>8.4429237238568433E-2</c:v>
                </c:pt>
                <c:pt idx="30">
                  <c:v>9.070046298865031E-2</c:v>
                </c:pt>
                <c:pt idx="31">
                  <c:v>9.3574600842685429E-2</c:v>
                </c:pt>
                <c:pt idx="32">
                  <c:v>8.4199262229089245E-2</c:v>
                </c:pt>
                <c:pt idx="33">
                  <c:v>6.9866798664335095E-2</c:v>
                </c:pt>
                <c:pt idx="34">
                  <c:v>8.1624680900587832E-2</c:v>
                </c:pt>
                <c:pt idx="35">
                  <c:v>6.8926571271099579E-2</c:v>
                </c:pt>
                <c:pt idx="36">
                  <c:v>4.4616021039505016E-2</c:v>
                </c:pt>
                <c:pt idx="37">
                  <c:v>4.7343588676436399E-2</c:v>
                </c:pt>
                <c:pt idx="38">
                  <c:v>2.6164441691387319E-2</c:v>
                </c:pt>
                <c:pt idx="39">
                  <c:v>2.0747133522377004E-2</c:v>
                </c:pt>
                <c:pt idx="40">
                  <c:v>1.4860437157173223E-2</c:v>
                </c:pt>
                <c:pt idx="41">
                  <c:v>1.4663717498260675E-2</c:v>
                </c:pt>
                <c:pt idx="42">
                  <c:v>-2.3017231993507359E-3</c:v>
                </c:pt>
                <c:pt idx="43">
                  <c:v>-1.505711420682776E-2</c:v>
                </c:pt>
                <c:pt idx="44">
                  <c:v>2.138138868247097E-3</c:v>
                </c:pt>
                <c:pt idx="45">
                  <c:v>1.0356907716950081E-2</c:v>
                </c:pt>
                <c:pt idx="46">
                  <c:v>1.0569982420565172E-2</c:v>
                </c:pt>
                <c:pt idx="47">
                  <c:v>-2.0497090483329705E-2</c:v>
                </c:pt>
                <c:pt idx="48">
                  <c:v>-1.4234284158885724E-2</c:v>
                </c:pt>
                <c:pt idx="49">
                  <c:v>-2.1481746411506575E-2</c:v>
                </c:pt>
                <c:pt idx="50">
                  <c:v>-2.9049014448955579E-2</c:v>
                </c:pt>
                <c:pt idx="51">
                  <c:v>-1.9149174009613468E-2</c:v>
                </c:pt>
                <c:pt idx="52">
                  <c:v>-1.8694304533128925E-4</c:v>
                </c:pt>
                <c:pt idx="53">
                  <c:v>5.2082405554301214E-3</c:v>
                </c:pt>
                <c:pt idx="54">
                  <c:v>-6.8873212477846835E-3</c:v>
                </c:pt>
                <c:pt idx="55">
                  <c:v>-3.0754757594277926E-3</c:v>
                </c:pt>
                <c:pt idx="56">
                  <c:v>-4.6668854768344703E-3</c:v>
                </c:pt>
                <c:pt idx="57">
                  <c:v>-2.0660662464985324E-2</c:v>
                </c:pt>
                <c:pt idx="58">
                  <c:v>-2.6027973319019626E-2</c:v>
                </c:pt>
                <c:pt idx="59">
                  <c:v>-1.4116340467816957E-2</c:v>
                </c:pt>
                <c:pt idx="60">
                  <c:v>-2.8495399724792869E-2</c:v>
                </c:pt>
                <c:pt idx="61">
                  <c:v>-2.7054126686911095E-2</c:v>
                </c:pt>
                <c:pt idx="62">
                  <c:v>-4.2287965466423882E-2</c:v>
                </c:pt>
                <c:pt idx="63">
                  <c:v>-5.5907202625229635E-2</c:v>
                </c:pt>
                <c:pt idx="64">
                  <c:v>-7.0606385258195736E-2</c:v>
                </c:pt>
                <c:pt idx="65">
                  <c:v>-4.9977996898610599E-2</c:v>
                </c:pt>
                <c:pt idx="66">
                  <c:v>-4.128515773850594E-2</c:v>
                </c:pt>
                <c:pt idx="67">
                  <c:v>-3.1771837830447125E-2</c:v>
                </c:pt>
                <c:pt idx="68">
                  <c:v>-2.8490498353110016E-2</c:v>
                </c:pt>
                <c:pt idx="69">
                  <c:v>-2.0457854685786314E-2</c:v>
                </c:pt>
                <c:pt idx="70">
                  <c:v>-1.327969378588445E-2</c:v>
                </c:pt>
                <c:pt idx="71">
                  <c:v>-5.9621898263463313E-3</c:v>
                </c:pt>
                <c:pt idx="72">
                  <c:v>1.4408309953328979E-2</c:v>
                </c:pt>
                <c:pt idx="73">
                  <c:v>-4.2892455095706605E-3</c:v>
                </c:pt>
                <c:pt idx="74">
                  <c:v>-1.5843000778848038E-2</c:v>
                </c:pt>
                <c:pt idx="75">
                  <c:v>-2.076485724454491E-2</c:v>
                </c:pt>
                <c:pt idx="76">
                  <c:v>-2.595819620996842E-2</c:v>
                </c:pt>
                <c:pt idx="77">
                  <c:v>-5.0216094233739295E-2</c:v>
                </c:pt>
                <c:pt idx="78">
                  <c:v>-4.9788704481104396E-2</c:v>
                </c:pt>
                <c:pt idx="79">
                  <c:v>-2.5519723633653846E-2</c:v>
                </c:pt>
                <c:pt idx="80">
                  <c:v>2.6083530148355294E-3</c:v>
                </c:pt>
                <c:pt idx="81">
                  <c:v>5.9419868063639303E-3</c:v>
                </c:pt>
                <c:pt idx="82">
                  <c:v>1.6798612212413966E-2</c:v>
                </c:pt>
                <c:pt idx="83">
                  <c:v>2.3026449671383453E-2</c:v>
                </c:pt>
                <c:pt idx="84">
                  <c:v>4.2635402775914821E-2</c:v>
                </c:pt>
                <c:pt idx="85">
                  <c:v>3.4370316191137062E-2</c:v>
                </c:pt>
                <c:pt idx="86">
                  <c:v>-3.1178277264821697E-3</c:v>
                </c:pt>
                <c:pt idx="87">
                  <c:v>-1.0071964424485103E-4</c:v>
                </c:pt>
                <c:pt idx="88">
                  <c:v>-3.4749452914901724E-3</c:v>
                </c:pt>
                <c:pt idx="89">
                  <c:v>-2.8487581522673722E-2</c:v>
                </c:pt>
                <c:pt idx="90">
                  <c:v>-2.4885841673513931E-2</c:v>
                </c:pt>
                <c:pt idx="91">
                  <c:v>-2.206877288208986E-2</c:v>
                </c:pt>
                <c:pt idx="92">
                  <c:v>-2.4288546236439168E-2</c:v>
                </c:pt>
                <c:pt idx="93">
                  <c:v>-3.8428110813834904E-2</c:v>
                </c:pt>
                <c:pt idx="94">
                  <c:v>-5.9868179032713242E-2</c:v>
                </c:pt>
                <c:pt idx="95">
                  <c:v>-8.2398644591876624E-2</c:v>
                </c:pt>
                <c:pt idx="96">
                  <c:v>-0.11229016603768271</c:v>
                </c:pt>
                <c:pt idx="97">
                  <c:v>-0.15107759519737274</c:v>
                </c:pt>
                <c:pt idx="98">
                  <c:v>-0.1273769319187098</c:v>
                </c:pt>
                <c:pt idx="99">
                  <c:v>-0.13912686263054219</c:v>
                </c:pt>
                <c:pt idx="100">
                  <c:v>-9.3125349734799356E-2</c:v>
                </c:pt>
                <c:pt idx="101">
                  <c:v>-9.1571891722531773E-2</c:v>
                </c:pt>
                <c:pt idx="102">
                  <c:v>-8.354701328981573E-2</c:v>
                </c:pt>
                <c:pt idx="103">
                  <c:v>-0.10794706786097341</c:v>
                </c:pt>
                <c:pt idx="104">
                  <c:v>-9.8409166520941338E-2</c:v>
                </c:pt>
                <c:pt idx="105">
                  <c:v>-6.8623687445532933E-2</c:v>
                </c:pt>
                <c:pt idx="106">
                  <c:v>-8.4207461375420456E-2</c:v>
                </c:pt>
                <c:pt idx="107">
                  <c:v>-7.599717086388269E-2</c:v>
                </c:pt>
                <c:pt idx="108">
                  <c:v>-8.1868313006797977E-2</c:v>
                </c:pt>
                <c:pt idx="109">
                  <c:v>-7.4864601605085568E-2</c:v>
                </c:pt>
                <c:pt idx="110">
                  <c:v>-7.7718510912231364E-2</c:v>
                </c:pt>
                <c:pt idx="111">
                  <c:v>-7.2099331335438333E-2</c:v>
                </c:pt>
                <c:pt idx="112">
                  <c:v>-8.3490027508441145E-2</c:v>
                </c:pt>
                <c:pt idx="113">
                  <c:v>-7.175495277287558E-2</c:v>
                </c:pt>
                <c:pt idx="114">
                  <c:v>-5.861955980762279E-2</c:v>
                </c:pt>
                <c:pt idx="115">
                  <c:v>-6.3743168180444232E-2</c:v>
                </c:pt>
                <c:pt idx="116">
                  <c:v>-0.10173201693071254</c:v>
                </c:pt>
                <c:pt idx="117">
                  <c:v>-0.10425875432429832</c:v>
                </c:pt>
                <c:pt idx="118">
                  <c:v>-0.12954993319170616</c:v>
                </c:pt>
                <c:pt idx="119">
                  <c:v>-0.12643530806018399</c:v>
                </c:pt>
                <c:pt idx="120">
                  <c:v>-0.14618748811561133</c:v>
                </c:pt>
                <c:pt idx="121">
                  <c:v>-9.7330315891344332E-2</c:v>
                </c:pt>
                <c:pt idx="122">
                  <c:v>-0.105773859670237</c:v>
                </c:pt>
                <c:pt idx="123">
                  <c:v>-0.12445453467459833</c:v>
                </c:pt>
                <c:pt idx="124">
                  <c:v>-9.8634437371831196E-2</c:v>
                </c:pt>
                <c:pt idx="125">
                  <c:v>-9.7821746043379676E-2</c:v>
                </c:pt>
                <c:pt idx="126">
                  <c:v>-8.1971500202444814E-2</c:v>
                </c:pt>
                <c:pt idx="127">
                  <c:v>-3.838940744130126E-2</c:v>
                </c:pt>
                <c:pt idx="128">
                  <c:v>-3.345772711856243E-2</c:v>
                </c:pt>
                <c:pt idx="129">
                  <c:v>-5.1813622155993277E-2</c:v>
                </c:pt>
                <c:pt idx="130">
                  <c:v>-6.8779481465213843E-2</c:v>
                </c:pt>
                <c:pt idx="131">
                  <c:v>-8.2835111989555066E-2</c:v>
                </c:pt>
                <c:pt idx="132">
                  <c:v>-8.9955191443407134E-2</c:v>
                </c:pt>
                <c:pt idx="133">
                  <c:v>-0.10192744565684664</c:v>
                </c:pt>
                <c:pt idx="134">
                  <c:v>-0.12069175134725552</c:v>
                </c:pt>
                <c:pt idx="135">
                  <c:v>-0.10828958060982941</c:v>
                </c:pt>
                <c:pt idx="136">
                  <c:v>-0.10534846486035476</c:v>
                </c:pt>
                <c:pt idx="137">
                  <c:v>-9.3916131108143452E-2</c:v>
                </c:pt>
                <c:pt idx="138">
                  <c:v>-9.2400640941448398E-2</c:v>
                </c:pt>
                <c:pt idx="139">
                  <c:v>-8.7760041444349013E-2</c:v>
                </c:pt>
                <c:pt idx="140">
                  <c:v>-5.9966697817820491E-2</c:v>
                </c:pt>
                <c:pt idx="141">
                  <c:v>-2.0064895150892936E-2</c:v>
                </c:pt>
                <c:pt idx="142">
                  <c:v>-3.3982207708751155E-2</c:v>
                </c:pt>
                <c:pt idx="143">
                  <c:v>-5.3981191739737366E-2</c:v>
                </c:pt>
                <c:pt idx="144">
                  <c:v>-4.9705605786618534E-2</c:v>
                </c:pt>
                <c:pt idx="145">
                  <c:v>-5.0178653229500658E-2</c:v>
                </c:pt>
                <c:pt idx="146">
                  <c:v>-5.8410336344560165E-2</c:v>
                </c:pt>
                <c:pt idx="147">
                  <c:v>-5.3453420346887714E-2</c:v>
                </c:pt>
                <c:pt idx="148">
                  <c:v>-6.1577509210422487E-2</c:v>
                </c:pt>
                <c:pt idx="149">
                  <c:v>-4.9653923015858692E-2</c:v>
                </c:pt>
                <c:pt idx="150">
                  <c:v>-4.5383780905089766E-2</c:v>
                </c:pt>
                <c:pt idx="151">
                  <c:v>-4.9349481289322372E-2</c:v>
                </c:pt>
                <c:pt idx="152">
                  <c:v>-4.440752685406979E-2</c:v>
                </c:pt>
                <c:pt idx="153">
                  <c:v>-1.7114469437984448E-2</c:v>
                </c:pt>
                <c:pt idx="154">
                  <c:v>-2.1399019813889031E-2</c:v>
                </c:pt>
                <c:pt idx="155">
                  <c:v>-3.5313645678548E-2</c:v>
                </c:pt>
                <c:pt idx="156">
                  <c:v>-4.581803305353338E-2</c:v>
                </c:pt>
                <c:pt idx="157">
                  <c:v>-4.4760609561447118E-2</c:v>
                </c:pt>
                <c:pt idx="158">
                  <c:v>-2.7551080223794377E-3</c:v>
                </c:pt>
                <c:pt idx="159">
                  <c:v>1.6369173893973965E-2</c:v>
                </c:pt>
                <c:pt idx="160">
                  <c:v>5.5594278288982446E-2</c:v>
                </c:pt>
                <c:pt idx="161">
                  <c:v>0.11788227910020699</c:v>
                </c:pt>
                <c:pt idx="162">
                  <c:v>6.9261281971415789E-2</c:v>
                </c:pt>
                <c:pt idx="163">
                  <c:v>7.5909862975255704E-2</c:v>
                </c:pt>
                <c:pt idx="164">
                  <c:v>5.3552527559690422E-2</c:v>
                </c:pt>
                <c:pt idx="165">
                  <c:v>6.0374709845662844E-2</c:v>
                </c:pt>
                <c:pt idx="166">
                  <c:v>5.9595528808436882E-2</c:v>
                </c:pt>
                <c:pt idx="167">
                  <c:v>9.4428097221116447E-2</c:v>
                </c:pt>
                <c:pt idx="168">
                  <c:v>8.8051347438030669E-2</c:v>
                </c:pt>
                <c:pt idx="169">
                  <c:v>6.2571475766449725E-2</c:v>
                </c:pt>
                <c:pt idx="170">
                  <c:v>5.566701295493659E-2</c:v>
                </c:pt>
                <c:pt idx="171">
                  <c:v>4.5997470759020276E-2</c:v>
                </c:pt>
                <c:pt idx="172">
                  <c:v>3.8629188557960825E-2</c:v>
                </c:pt>
                <c:pt idx="173">
                  <c:v>6.340438773922541E-3</c:v>
                </c:pt>
                <c:pt idx="174">
                  <c:v>1.4670842724584965E-2</c:v>
                </c:pt>
                <c:pt idx="175">
                  <c:v>2.2189616349915342E-2</c:v>
                </c:pt>
                <c:pt idx="176">
                  <c:v>6.6129989295660163E-3</c:v>
                </c:pt>
                <c:pt idx="177">
                  <c:v>-1.9696664077353154E-2</c:v>
                </c:pt>
                <c:pt idx="178">
                  <c:v>-6.8497347041605039E-3</c:v>
                </c:pt>
                <c:pt idx="179">
                  <c:v>-2.3117373595387125E-3</c:v>
                </c:pt>
                <c:pt idx="180">
                  <c:v>2.9288766105639796E-2</c:v>
                </c:pt>
                <c:pt idx="181">
                  <c:v>1.0109997283753724E-2</c:v>
                </c:pt>
                <c:pt idx="182">
                  <c:v>3.1459254649673918E-2</c:v>
                </c:pt>
                <c:pt idx="183">
                  <c:v>3.0138003555188586E-2</c:v>
                </c:pt>
                <c:pt idx="184">
                  <c:v>8.1521558341682399E-2</c:v>
                </c:pt>
                <c:pt idx="185">
                  <c:v>5.1242038565681103E-2</c:v>
                </c:pt>
                <c:pt idx="186">
                  <c:v>8.5433174632548736E-2</c:v>
                </c:pt>
                <c:pt idx="187">
                  <c:v>8.5957713836199545E-2</c:v>
                </c:pt>
                <c:pt idx="188">
                  <c:v>5.3149931224208968E-2</c:v>
                </c:pt>
                <c:pt idx="189">
                  <c:v>3.1120940773886829E-2</c:v>
                </c:pt>
                <c:pt idx="190">
                  <c:v>3.2467782435061654E-2</c:v>
                </c:pt>
                <c:pt idx="191">
                  <c:v>-1.1207154996836666E-2</c:v>
                </c:pt>
                <c:pt idx="192">
                  <c:v>-3.9244954178529134E-2</c:v>
                </c:pt>
                <c:pt idx="193">
                  <c:v>-5.6571582349454808E-2</c:v>
                </c:pt>
                <c:pt idx="194">
                  <c:v>-6.1643055066065489E-2</c:v>
                </c:pt>
                <c:pt idx="195">
                  <c:v>-5.6786939413812298E-2</c:v>
                </c:pt>
                <c:pt idx="196">
                  <c:v>-5.0130919503343696E-2</c:v>
                </c:pt>
                <c:pt idx="197">
                  <c:v>-5.4917724999707485E-2</c:v>
                </c:pt>
                <c:pt idx="198">
                  <c:v>-7.4755636871487341E-2</c:v>
                </c:pt>
                <c:pt idx="199">
                  <c:v>-9.0759677439805175E-2</c:v>
                </c:pt>
                <c:pt idx="200">
                  <c:v>-8.4551892613446089E-2</c:v>
                </c:pt>
                <c:pt idx="201">
                  <c:v>-0.1163063421205488</c:v>
                </c:pt>
                <c:pt idx="202">
                  <c:v>-9.4451639112636987E-2</c:v>
                </c:pt>
                <c:pt idx="203">
                  <c:v>-6.695606910921903E-2</c:v>
                </c:pt>
                <c:pt idx="204">
                  <c:v>-9.2251397943669988E-2</c:v>
                </c:pt>
                <c:pt idx="205">
                  <c:v>-0.10191266953391032</c:v>
                </c:pt>
                <c:pt idx="206">
                  <c:v>-9.4951719378719934E-2</c:v>
                </c:pt>
                <c:pt idx="207">
                  <c:v>-9.9318699276230271E-2</c:v>
                </c:pt>
                <c:pt idx="208">
                  <c:v>-8.916903007246757E-2</c:v>
                </c:pt>
                <c:pt idx="209">
                  <c:v>-9.0756513267678196E-2</c:v>
                </c:pt>
                <c:pt idx="210">
                  <c:v>-0.10923382568886586</c:v>
                </c:pt>
                <c:pt idx="211">
                  <c:v>-0.12579535505054584</c:v>
                </c:pt>
                <c:pt idx="212">
                  <c:v>-0.1307725069871648</c:v>
                </c:pt>
                <c:pt idx="213">
                  <c:v>-0.14235940673636305</c:v>
                </c:pt>
                <c:pt idx="214">
                  <c:v>-0.16832880100256731</c:v>
                </c:pt>
                <c:pt idx="215">
                  <c:v>-0.18396255787560134</c:v>
                </c:pt>
                <c:pt idx="216">
                  <c:v>-0.15998153865838449</c:v>
                </c:pt>
                <c:pt idx="217">
                  <c:v>-0.19173050767233513</c:v>
                </c:pt>
                <c:pt idx="218">
                  <c:v>-0.1728046211232479</c:v>
                </c:pt>
                <c:pt idx="219">
                  <c:v>-0.13457861103640811</c:v>
                </c:pt>
                <c:pt idx="220">
                  <c:v>-0.13102977313077879</c:v>
                </c:pt>
                <c:pt idx="221">
                  <c:v>-0.11054268996209005</c:v>
                </c:pt>
                <c:pt idx="222">
                  <c:v>-0.1321317504257874</c:v>
                </c:pt>
                <c:pt idx="223">
                  <c:v>-0.13812278072284312</c:v>
                </c:pt>
                <c:pt idx="224">
                  <c:v>-0.12706550339010869</c:v>
                </c:pt>
                <c:pt idx="225">
                  <c:v>-0.14013468090834935</c:v>
                </c:pt>
                <c:pt idx="226">
                  <c:v>-0.15706204888262265</c:v>
                </c:pt>
                <c:pt idx="227">
                  <c:v>-0.12930420719364299</c:v>
                </c:pt>
                <c:pt idx="228">
                  <c:v>-0.12755112001245439</c:v>
                </c:pt>
                <c:pt idx="229">
                  <c:v>-0.12958304038301527</c:v>
                </c:pt>
                <c:pt idx="230">
                  <c:v>-0.11532513970477887</c:v>
                </c:pt>
                <c:pt idx="231">
                  <c:v>-0.1125063095697616</c:v>
                </c:pt>
                <c:pt idx="232">
                  <c:v>-0.11244423743827892</c:v>
                </c:pt>
                <c:pt idx="233">
                  <c:v>-0.10592528798999512</c:v>
                </c:pt>
                <c:pt idx="234">
                  <c:v>-7.8645124911429831E-2</c:v>
                </c:pt>
                <c:pt idx="235">
                  <c:v>-8.3735992809848558E-2</c:v>
                </c:pt>
                <c:pt idx="236">
                  <c:v>-8.3306832007583154E-2</c:v>
                </c:pt>
                <c:pt idx="237">
                  <c:v>-8.232216600660025E-2</c:v>
                </c:pt>
                <c:pt idx="238">
                  <c:v>-5.4319074801301381E-2</c:v>
                </c:pt>
                <c:pt idx="239">
                  <c:v>-4.5048508964098843E-2</c:v>
                </c:pt>
                <c:pt idx="240">
                  <c:v>-3.5489350132105746E-2</c:v>
                </c:pt>
                <c:pt idx="241">
                  <c:v>-1.7178371373722578E-2</c:v>
                </c:pt>
                <c:pt idx="242">
                  <c:v>-4.5154486651432291E-2</c:v>
                </c:pt>
                <c:pt idx="243">
                  <c:v>-4.4721821422508912E-2</c:v>
                </c:pt>
                <c:pt idx="244">
                  <c:v>-5.858983292380715E-2</c:v>
                </c:pt>
                <c:pt idx="245">
                  <c:v>-5.0394995384133279E-2</c:v>
                </c:pt>
                <c:pt idx="246">
                  <c:v>-4.0297320952990212E-2</c:v>
                </c:pt>
                <c:pt idx="247">
                  <c:v>-5.4009529833348391E-2</c:v>
                </c:pt>
                <c:pt idx="248">
                  <c:v>-7.47688740278738E-2</c:v>
                </c:pt>
                <c:pt idx="249">
                  <c:v>-6.2255364832601412E-2</c:v>
                </c:pt>
                <c:pt idx="250">
                  <c:v>-8.0940722068923221E-2</c:v>
                </c:pt>
                <c:pt idx="251">
                  <c:v>-8.7511276288822604E-2</c:v>
                </c:pt>
                <c:pt idx="252">
                  <c:v>-7.8807794786061258E-2</c:v>
                </c:pt>
                <c:pt idx="253">
                  <c:v>-7.298362848791029E-2</c:v>
                </c:pt>
                <c:pt idx="254">
                  <c:v>-7.1573372080760311E-2</c:v>
                </c:pt>
                <c:pt idx="255">
                  <c:v>-6.5727879361047736E-2</c:v>
                </c:pt>
                <c:pt idx="256">
                  <c:v>-3.3191302951741775E-2</c:v>
                </c:pt>
                <c:pt idx="257">
                  <c:v>-1.4203021840844765E-2</c:v>
                </c:pt>
                <c:pt idx="258">
                  <c:v>-5.2643770965017378E-3</c:v>
                </c:pt>
                <c:pt idx="259">
                  <c:v>1.1082252239905221E-2</c:v>
                </c:pt>
                <c:pt idx="260">
                  <c:v>1.0404438931407745E-2</c:v>
                </c:pt>
                <c:pt idx="261">
                  <c:v>2.1677029259881131E-2</c:v>
                </c:pt>
                <c:pt idx="262">
                  <c:v>5.5891145051697677E-2</c:v>
                </c:pt>
                <c:pt idx="263">
                  <c:v>7.5233242749676021E-2</c:v>
                </c:pt>
                <c:pt idx="264">
                  <c:v>6.6730874910944094E-2</c:v>
                </c:pt>
                <c:pt idx="265">
                  <c:v>9.9145740884415634E-2</c:v>
                </c:pt>
                <c:pt idx="266">
                  <c:v>7.4194084509988878E-2</c:v>
                </c:pt>
                <c:pt idx="267">
                  <c:v>3.6628139824796069E-2</c:v>
                </c:pt>
                <c:pt idx="268">
                  <c:v>4.5658159934141462E-2</c:v>
                </c:pt>
                <c:pt idx="269">
                  <c:v>4.0023390219893873E-2</c:v>
                </c:pt>
                <c:pt idx="270">
                  <c:v>3.8704515816514684E-2</c:v>
                </c:pt>
                <c:pt idx="271">
                  <c:v>3.2530455303368511E-2</c:v>
                </c:pt>
                <c:pt idx="272">
                  <c:v>-6.9784673667789843E-3</c:v>
                </c:pt>
                <c:pt idx="273">
                  <c:v>-1.6304153620068096E-2</c:v>
                </c:pt>
                <c:pt idx="274">
                  <c:v>9.335990709071984E-3</c:v>
                </c:pt>
                <c:pt idx="275">
                  <c:v>2.1802861904395066E-2</c:v>
                </c:pt>
                <c:pt idx="276">
                  <c:v>2.7381746932375828E-2</c:v>
                </c:pt>
                <c:pt idx="277">
                  <c:v>4.5676512938395142E-2</c:v>
                </c:pt>
                <c:pt idx="278">
                  <c:v>7.8218506910411323E-2</c:v>
                </c:pt>
                <c:pt idx="279">
                  <c:v>9.1273396807892704E-2</c:v>
                </c:pt>
                <c:pt idx="280">
                  <c:v>7.7502033928219527E-2</c:v>
                </c:pt>
                <c:pt idx="281">
                  <c:v>0.11955582307488077</c:v>
                </c:pt>
                <c:pt idx="282">
                  <c:v>8.712504890865147E-2</c:v>
                </c:pt>
                <c:pt idx="283">
                  <c:v>6.4698417358507454E-2</c:v>
                </c:pt>
                <c:pt idx="284">
                  <c:v>5.806685942827805E-2</c:v>
                </c:pt>
                <c:pt idx="285">
                  <c:v>4.3365639195102279E-2</c:v>
                </c:pt>
                <c:pt idx="286">
                  <c:v>3.8843809101492432E-2</c:v>
                </c:pt>
                <c:pt idx="287">
                  <c:v>7.0545320009616885E-2</c:v>
                </c:pt>
                <c:pt idx="288">
                  <c:v>6.634253819204905E-2</c:v>
                </c:pt>
                <c:pt idx="289">
                  <c:v>8.1830323246652847E-2</c:v>
                </c:pt>
                <c:pt idx="290">
                  <c:v>0.11005256261327245</c:v>
                </c:pt>
                <c:pt idx="291">
                  <c:v>8.0817394162702616E-2</c:v>
                </c:pt>
                <c:pt idx="292">
                  <c:v>5.3952855369122199E-2</c:v>
                </c:pt>
                <c:pt idx="293">
                  <c:v>4.7646526041162263E-2</c:v>
                </c:pt>
                <c:pt idx="294">
                  <c:v>2.38798542550962E-2</c:v>
                </c:pt>
                <c:pt idx="295">
                  <c:v>2.0180172343612135E-2</c:v>
                </c:pt>
                <c:pt idx="296">
                  <c:v>3.5421509473018808E-2</c:v>
                </c:pt>
                <c:pt idx="297">
                  <c:v>2.3556742607895753E-2</c:v>
                </c:pt>
                <c:pt idx="298">
                  <c:v>1.6598728100949867E-2</c:v>
                </c:pt>
                <c:pt idx="299">
                  <c:v>2.0698018164759802E-3</c:v>
                </c:pt>
                <c:pt idx="300">
                  <c:v>-2.0915702668011016E-2</c:v>
                </c:pt>
                <c:pt idx="301">
                  <c:v>-2.2970631561452071E-2</c:v>
                </c:pt>
                <c:pt idx="302">
                  <c:v>-3.8837030011591889E-2</c:v>
                </c:pt>
                <c:pt idx="303">
                  <c:v>-5.1533723408181187E-2</c:v>
                </c:pt>
                <c:pt idx="304">
                  <c:v>-2.7727591042266631E-2</c:v>
                </c:pt>
                <c:pt idx="305">
                  <c:v>6.9277519328050374E-3</c:v>
                </c:pt>
                <c:pt idx="306">
                  <c:v>1.4557658922595085E-2</c:v>
                </c:pt>
                <c:pt idx="307">
                  <c:v>1.5360831268526276E-2</c:v>
                </c:pt>
                <c:pt idx="308">
                  <c:v>3.282135302377065E-2</c:v>
                </c:pt>
                <c:pt idx="309">
                  <c:v>-3.6258321799086168E-2</c:v>
                </c:pt>
                <c:pt idx="310">
                  <c:v>-7.3079795776183842E-2</c:v>
                </c:pt>
                <c:pt idx="311">
                  <c:v>-3.5635774025769673E-2</c:v>
                </c:pt>
                <c:pt idx="312">
                  <c:v>-1.0138072284404664E-2</c:v>
                </c:pt>
                <c:pt idx="313">
                  <c:v>-1.2714434806203156E-2</c:v>
                </c:pt>
                <c:pt idx="314">
                  <c:v>5.1570905779383391E-3</c:v>
                </c:pt>
                <c:pt idx="315">
                  <c:v>1.1351457243964358E-2</c:v>
                </c:pt>
                <c:pt idx="316">
                  <c:v>-8.7582390285233513E-3</c:v>
                </c:pt>
                <c:pt idx="317">
                  <c:v>-6.4586104881451112E-3</c:v>
                </c:pt>
                <c:pt idx="318">
                  <c:v>-3.7720543267614204E-3</c:v>
                </c:pt>
                <c:pt idx="319">
                  <c:v>1.8480578185018359E-2</c:v>
                </c:pt>
                <c:pt idx="320">
                  <c:v>2.2390908732950798E-2</c:v>
                </c:pt>
                <c:pt idx="321">
                  <c:v>2.9234280711628147E-2</c:v>
                </c:pt>
                <c:pt idx="322">
                  <c:v>2.2015097261748995E-2</c:v>
                </c:pt>
                <c:pt idx="323">
                  <c:v>4.0554673319985746E-3</c:v>
                </c:pt>
                <c:pt idx="324">
                  <c:v>-1.0569077569342333E-3</c:v>
                </c:pt>
                <c:pt idx="325">
                  <c:v>4.2133454370387735E-3</c:v>
                </c:pt>
                <c:pt idx="326">
                  <c:v>-4.1443222510882949E-3</c:v>
                </c:pt>
                <c:pt idx="327">
                  <c:v>-9.0184389222185413E-3</c:v>
                </c:pt>
                <c:pt idx="328">
                  <c:v>-1.4508901564139309E-2</c:v>
                </c:pt>
                <c:pt idx="329">
                  <c:v>-1.2174361313819437E-2</c:v>
                </c:pt>
                <c:pt idx="330">
                  <c:v>-7.9247438753506927E-3</c:v>
                </c:pt>
                <c:pt idx="331">
                  <c:v>-8.4887610979667016E-4</c:v>
                </c:pt>
                <c:pt idx="332">
                  <c:v>1.0142417348528721E-3</c:v>
                </c:pt>
                <c:pt idx="333">
                  <c:v>-1.233058700975409E-2</c:v>
                </c:pt>
                <c:pt idx="334">
                  <c:v>-7.9760260423160645E-3</c:v>
                </c:pt>
                <c:pt idx="335">
                  <c:v>7.549334304024935E-3</c:v>
                </c:pt>
                <c:pt idx="336">
                  <c:v>1.1114078356216028E-2</c:v>
                </c:pt>
                <c:pt idx="337">
                  <c:v>2.3546172555007239E-2</c:v>
                </c:pt>
                <c:pt idx="338">
                  <c:v>2.6695488774919118E-2</c:v>
                </c:pt>
                <c:pt idx="339">
                  <c:v>4.0674115008628275E-2</c:v>
                </c:pt>
                <c:pt idx="340">
                  <c:v>3.6597989348468474E-2</c:v>
                </c:pt>
                <c:pt idx="341">
                  <c:v>3.6206992944438632E-2</c:v>
                </c:pt>
                <c:pt idx="342">
                  <c:v>3.8599470067934405E-2</c:v>
                </c:pt>
                <c:pt idx="343">
                  <c:v>5.2877414668916378E-2</c:v>
                </c:pt>
                <c:pt idx="344">
                  <c:v>4.5442867272205145E-2</c:v>
                </c:pt>
                <c:pt idx="345">
                  <c:v>4.5009306393380077E-2</c:v>
                </c:pt>
                <c:pt idx="346">
                  <c:v>3.6758102221698952E-2</c:v>
                </c:pt>
                <c:pt idx="347">
                  <c:v>1.9768073432850031E-2</c:v>
                </c:pt>
                <c:pt idx="348">
                  <c:v>3.7967365527331154E-2</c:v>
                </c:pt>
                <c:pt idx="349">
                  <c:v>1.7240259686198689E-2</c:v>
                </c:pt>
                <c:pt idx="350">
                  <c:v>2.168811795393899E-2</c:v>
                </c:pt>
                <c:pt idx="351">
                  <c:v>8.5869639279922971E-3</c:v>
                </c:pt>
                <c:pt idx="352">
                  <c:v>-1.2493022085168226E-3</c:v>
                </c:pt>
                <c:pt idx="353">
                  <c:v>-1.0940587679353797E-2</c:v>
                </c:pt>
                <c:pt idx="354">
                  <c:v>-7.9458509733654203E-3</c:v>
                </c:pt>
                <c:pt idx="355">
                  <c:v>1.5330608371169063E-3</c:v>
                </c:pt>
                <c:pt idx="356">
                  <c:v>7.5365039201360506E-3</c:v>
                </c:pt>
                <c:pt idx="357">
                  <c:v>6.1360434509085682E-3</c:v>
                </c:pt>
                <c:pt idx="358">
                  <c:v>3.5526083364511019E-2</c:v>
                </c:pt>
                <c:pt idx="359">
                  <c:v>3.2230806439711879E-2</c:v>
                </c:pt>
                <c:pt idx="360">
                  <c:v>1.6519168622170621E-2</c:v>
                </c:pt>
                <c:pt idx="361">
                  <c:v>2.4369223421633945E-2</c:v>
                </c:pt>
                <c:pt idx="362">
                  <c:v>3.0504281730352689E-2</c:v>
                </c:pt>
                <c:pt idx="363">
                  <c:v>4.4410505447826321E-2</c:v>
                </c:pt>
                <c:pt idx="364">
                  <c:v>5.3419431087316616E-2</c:v>
                </c:pt>
                <c:pt idx="365">
                  <c:v>6.2794204006301202E-2</c:v>
                </c:pt>
                <c:pt idx="366">
                  <c:v>5.1547420926651988E-2</c:v>
                </c:pt>
                <c:pt idx="367">
                  <c:v>6.4156117322604622E-2</c:v>
                </c:pt>
                <c:pt idx="368">
                  <c:v>4.1974727150521529E-2</c:v>
                </c:pt>
                <c:pt idx="369">
                  <c:v>1.614736063286637E-2</c:v>
                </c:pt>
                <c:pt idx="370">
                  <c:v>7.9950856902568646E-3</c:v>
                </c:pt>
                <c:pt idx="371">
                  <c:v>8.7067043811348555E-3</c:v>
                </c:pt>
                <c:pt idx="372">
                  <c:v>9.849368619854415E-3</c:v>
                </c:pt>
                <c:pt idx="373">
                  <c:v>7.6417327206852015E-2</c:v>
                </c:pt>
                <c:pt idx="374">
                  <c:v>0.10237969436597871</c:v>
                </c:pt>
                <c:pt idx="375">
                  <c:v>7.6092023120844399E-2</c:v>
                </c:pt>
                <c:pt idx="376">
                  <c:v>5.0492315013302536E-2</c:v>
                </c:pt>
                <c:pt idx="377">
                  <c:v>4.131749678988994E-2</c:v>
                </c:pt>
                <c:pt idx="378">
                  <c:v>3.4738860143035843E-2</c:v>
                </c:pt>
                <c:pt idx="379">
                  <c:v>4.2663544902667327E-2</c:v>
                </c:pt>
                <c:pt idx="380">
                  <c:v>6.8873007436158762E-2</c:v>
                </c:pt>
                <c:pt idx="381">
                  <c:v>8.1536470486913259E-2</c:v>
                </c:pt>
                <c:pt idx="382">
                  <c:v>6.6276150916754206E-2</c:v>
                </c:pt>
                <c:pt idx="383">
                  <c:v>4.0615319021549245E-2</c:v>
                </c:pt>
                <c:pt idx="384">
                  <c:v>3.189327974994427E-2</c:v>
                </c:pt>
                <c:pt idx="385">
                  <c:v>1.5780258383089718E-2</c:v>
                </c:pt>
                <c:pt idx="386">
                  <c:v>1.2304329743648701E-2</c:v>
                </c:pt>
                <c:pt idx="387">
                  <c:v>-4.4742766137964018E-3</c:v>
                </c:pt>
                <c:pt idx="388">
                  <c:v>9.9317037351340787E-3</c:v>
                </c:pt>
                <c:pt idx="389">
                  <c:v>2.6384051965067101E-4</c:v>
                </c:pt>
                <c:pt idx="390">
                  <c:v>1.9414780373257834E-2</c:v>
                </c:pt>
                <c:pt idx="391">
                  <c:v>1.2625875683601739E-2</c:v>
                </c:pt>
                <c:pt idx="392">
                  <c:v>1.6135228163148607E-2</c:v>
                </c:pt>
                <c:pt idx="393">
                  <c:v>1.6438724074646194E-2</c:v>
                </c:pt>
                <c:pt idx="394">
                  <c:v>1.532173851401275E-2</c:v>
                </c:pt>
                <c:pt idx="395">
                  <c:v>1.1080709566247959E-2</c:v>
                </c:pt>
                <c:pt idx="396">
                  <c:v>2.9403820055782237E-3</c:v>
                </c:pt>
                <c:pt idx="397">
                  <c:v>1.3905790189130629E-2</c:v>
                </c:pt>
                <c:pt idx="398">
                  <c:v>3.9556015017139234E-3</c:v>
                </c:pt>
                <c:pt idx="399">
                  <c:v>4.477706713494678E-3</c:v>
                </c:pt>
                <c:pt idx="400">
                  <c:v>7.6505048733961356E-3</c:v>
                </c:pt>
                <c:pt idx="401">
                  <c:v>-4.7357648398852481E-3</c:v>
                </c:pt>
                <c:pt idx="402">
                  <c:v>-1.2425194527255767E-2</c:v>
                </c:pt>
                <c:pt idx="403">
                  <c:v>-3.0363018325234803E-2</c:v>
                </c:pt>
                <c:pt idx="404">
                  <c:v>-1.5829733851607797E-2</c:v>
                </c:pt>
                <c:pt idx="405">
                  <c:v>-2.1209416959548255E-2</c:v>
                </c:pt>
                <c:pt idx="406">
                  <c:v>-5.1358902498097603E-3</c:v>
                </c:pt>
                <c:pt idx="407">
                  <c:v>-1.6685260594387907E-2</c:v>
                </c:pt>
                <c:pt idx="408">
                  <c:v>-1.9129510936783167E-2</c:v>
                </c:pt>
                <c:pt idx="409">
                  <c:v>-1.7097066315308274E-2</c:v>
                </c:pt>
                <c:pt idx="410">
                  <c:v>-6.1989749845620112E-3</c:v>
                </c:pt>
                <c:pt idx="411">
                  <c:v>-1.5591634379452657E-4</c:v>
                </c:pt>
                <c:pt idx="412">
                  <c:v>-9.786329990933984E-4</c:v>
                </c:pt>
                <c:pt idx="413">
                  <c:v>3.1340453683621483E-3</c:v>
                </c:pt>
                <c:pt idx="414">
                  <c:v>5.8550787558544481E-3</c:v>
                </c:pt>
                <c:pt idx="415">
                  <c:v>-9.625580588430438E-4</c:v>
                </c:pt>
                <c:pt idx="416">
                  <c:v>-5.2140012869423824E-3</c:v>
                </c:pt>
                <c:pt idx="417">
                  <c:v>6.5395636816141245E-3</c:v>
                </c:pt>
                <c:pt idx="418">
                  <c:v>3.2180565487829327E-3</c:v>
                </c:pt>
                <c:pt idx="419">
                  <c:v>-7.8705520854702726E-3</c:v>
                </c:pt>
                <c:pt idx="420">
                  <c:v>-1.5328755058705568E-3</c:v>
                </c:pt>
                <c:pt idx="421">
                  <c:v>2.4756568515871269E-3</c:v>
                </c:pt>
                <c:pt idx="422">
                  <c:v>-1.9982560289376283E-2</c:v>
                </c:pt>
                <c:pt idx="423">
                  <c:v>-2.4775569033239186E-2</c:v>
                </c:pt>
                <c:pt idx="424">
                  <c:v>-1.5390691276180868E-2</c:v>
                </c:pt>
                <c:pt idx="425">
                  <c:v>-8.911390473607006E-3</c:v>
                </c:pt>
                <c:pt idx="426">
                  <c:v>3.6731209408291665E-3</c:v>
                </c:pt>
                <c:pt idx="427">
                  <c:v>2.7326600926185218E-2</c:v>
                </c:pt>
                <c:pt idx="428">
                  <c:v>4.675828298342033E-2</c:v>
                </c:pt>
                <c:pt idx="429">
                  <c:v>5.3207234407838255E-2</c:v>
                </c:pt>
                <c:pt idx="430">
                  <c:v>6.5593211130909213E-2</c:v>
                </c:pt>
                <c:pt idx="431">
                  <c:v>5.449878114865081E-2</c:v>
                </c:pt>
                <c:pt idx="432">
                  <c:v>7.1864068625591138E-2</c:v>
                </c:pt>
                <c:pt idx="433">
                  <c:v>6.4396759265305858E-2</c:v>
                </c:pt>
                <c:pt idx="434">
                  <c:v>6.3982729390262394E-2</c:v>
                </c:pt>
                <c:pt idx="435">
                  <c:v>6.4519766904721054E-2</c:v>
                </c:pt>
                <c:pt idx="436">
                  <c:v>4.5388430069568164E-2</c:v>
                </c:pt>
                <c:pt idx="437">
                  <c:v>5.0423292790723107E-2</c:v>
                </c:pt>
                <c:pt idx="438">
                  <c:v>6.7464474496588878E-2</c:v>
                </c:pt>
                <c:pt idx="439">
                  <c:v>7.1372652567112116E-2</c:v>
                </c:pt>
                <c:pt idx="440">
                  <c:v>6.037527898837558E-2</c:v>
                </c:pt>
                <c:pt idx="441">
                  <c:v>6.1875981947047132E-2</c:v>
                </c:pt>
                <c:pt idx="442">
                  <c:v>7.356934385471825E-2</c:v>
                </c:pt>
                <c:pt idx="443">
                  <c:v>7.1487282401011765E-2</c:v>
                </c:pt>
                <c:pt idx="444">
                  <c:v>6.2820765361944364E-2</c:v>
                </c:pt>
                <c:pt idx="445">
                  <c:v>6.7833151742598519E-2</c:v>
                </c:pt>
                <c:pt idx="446">
                  <c:v>6.6645747776512776E-2</c:v>
                </c:pt>
                <c:pt idx="447">
                  <c:v>7.7341010480526329E-2</c:v>
                </c:pt>
                <c:pt idx="448">
                  <c:v>7.2250830295228052E-2</c:v>
                </c:pt>
                <c:pt idx="449">
                  <c:v>7.0900895022457E-2</c:v>
                </c:pt>
                <c:pt idx="450">
                  <c:v>8.617006630273738E-2</c:v>
                </c:pt>
                <c:pt idx="451">
                  <c:v>8.7184358016163754E-2</c:v>
                </c:pt>
                <c:pt idx="452">
                  <c:v>7.1418386761114228E-2</c:v>
                </c:pt>
                <c:pt idx="453">
                  <c:v>8.1501925911627415E-2</c:v>
                </c:pt>
                <c:pt idx="454">
                  <c:v>6.4985759188443959E-2</c:v>
                </c:pt>
                <c:pt idx="455">
                  <c:v>6.0784369687351791E-2</c:v>
                </c:pt>
                <c:pt idx="456">
                  <c:v>5.3138052395921953E-2</c:v>
                </c:pt>
                <c:pt idx="457">
                  <c:v>5.6230692886389377E-2</c:v>
                </c:pt>
                <c:pt idx="458">
                  <c:v>6.9987427247480083E-2</c:v>
                </c:pt>
                <c:pt idx="459">
                  <c:v>7.5607995647747561E-2</c:v>
                </c:pt>
                <c:pt idx="460">
                  <c:v>7.6332339855028852E-2</c:v>
                </c:pt>
                <c:pt idx="461">
                  <c:v>6.4337085974259356E-2</c:v>
                </c:pt>
                <c:pt idx="462">
                  <c:v>6.0104489017272167E-2</c:v>
                </c:pt>
                <c:pt idx="463">
                  <c:v>7.4598584856305772E-2</c:v>
                </c:pt>
                <c:pt idx="464">
                  <c:v>8.2550211396117401E-2</c:v>
                </c:pt>
                <c:pt idx="465">
                  <c:v>0.10167938982336899</c:v>
                </c:pt>
                <c:pt idx="466">
                  <c:v>9.4726774235440958E-2</c:v>
                </c:pt>
                <c:pt idx="467">
                  <c:v>0.10643759318914481</c:v>
                </c:pt>
                <c:pt idx="468">
                  <c:v>9.2775571579843064E-2</c:v>
                </c:pt>
                <c:pt idx="469">
                  <c:v>9.7911264574623624E-2</c:v>
                </c:pt>
                <c:pt idx="470">
                  <c:v>8.4265645343946538E-2</c:v>
                </c:pt>
                <c:pt idx="471">
                  <c:v>9.4921740532390997E-2</c:v>
                </c:pt>
                <c:pt idx="472">
                  <c:v>9.9755800557326246E-2</c:v>
                </c:pt>
                <c:pt idx="473">
                  <c:v>0.1011410185384809</c:v>
                </c:pt>
                <c:pt idx="474">
                  <c:v>9.4544566167212851E-2</c:v>
                </c:pt>
                <c:pt idx="475">
                  <c:v>9.7196285122770565E-2</c:v>
                </c:pt>
                <c:pt idx="476">
                  <c:v>9.2260954982670285E-2</c:v>
                </c:pt>
                <c:pt idx="477">
                  <c:v>0.10345881658008427</c:v>
                </c:pt>
                <c:pt idx="478">
                  <c:v>0.10008643379789239</c:v>
                </c:pt>
                <c:pt idx="479">
                  <c:v>9.7028558877834348E-2</c:v>
                </c:pt>
                <c:pt idx="480">
                  <c:v>8.9413304522169001E-2</c:v>
                </c:pt>
                <c:pt idx="481">
                  <c:v>8.3970589742441648E-2</c:v>
                </c:pt>
                <c:pt idx="482">
                  <c:v>8.3864635568481782E-2</c:v>
                </c:pt>
                <c:pt idx="483">
                  <c:v>0.10908538355714614</c:v>
                </c:pt>
                <c:pt idx="484">
                  <c:v>0.10654282379285407</c:v>
                </c:pt>
                <c:pt idx="485">
                  <c:v>0.1014722918988098</c:v>
                </c:pt>
                <c:pt idx="486">
                  <c:v>9.8683947357894208E-2</c:v>
                </c:pt>
                <c:pt idx="487">
                  <c:v>0.10079847363723027</c:v>
                </c:pt>
                <c:pt idx="488">
                  <c:v>9.5161514097832134E-2</c:v>
                </c:pt>
                <c:pt idx="489">
                  <c:v>8.5279357143926315E-2</c:v>
                </c:pt>
                <c:pt idx="490">
                  <c:v>7.621452601072809E-2</c:v>
                </c:pt>
                <c:pt idx="491">
                  <c:v>6.6995222324347292E-2</c:v>
                </c:pt>
                <c:pt idx="492">
                  <c:v>5.3652456263556303E-2</c:v>
                </c:pt>
                <c:pt idx="493">
                  <c:v>6.2763259317551778E-2</c:v>
                </c:pt>
                <c:pt idx="494">
                  <c:v>5.9975095349380947E-2</c:v>
                </c:pt>
                <c:pt idx="495">
                  <c:v>6.7146915899458204E-2</c:v>
                </c:pt>
                <c:pt idx="496">
                  <c:v>5.6124584942599975E-2</c:v>
                </c:pt>
                <c:pt idx="497">
                  <c:v>4.7082636312696158E-2</c:v>
                </c:pt>
                <c:pt idx="498">
                  <c:v>4.3986513566539154E-2</c:v>
                </c:pt>
                <c:pt idx="499">
                  <c:v>4.7280833820584345E-2</c:v>
                </c:pt>
                <c:pt idx="500">
                  <c:v>4.7655214021247394E-2</c:v>
                </c:pt>
                <c:pt idx="501">
                  <c:v>4.5958166461449901E-2</c:v>
                </c:pt>
                <c:pt idx="502">
                  <c:v>5.2237401543797413E-2</c:v>
                </c:pt>
                <c:pt idx="503">
                  <c:v>5.1495539351474884E-2</c:v>
                </c:pt>
                <c:pt idx="504">
                  <c:v>6.1167236436663552E-2</c:v>
                </c:pt>
                <c:pt idx="505">
                  <c:v>5.9578367068789273E-2</c:v>
                </c:pt>
                <c:pt idx="506">
                  <c:v>4.2312962979744295E-2</c:v>
                </c:pt>
                <c:pt idx="507">
                  <c:v>4.5618122050867571E-2</c:v>
                </c:pt>
                <c:pt idx="508">
                  <c:v>4.4909493545613799E-2</c:v>
                </c:pt>
                <c:pt idx="509">
                  <c:v>4.756712525344553E-2</c:v>
                </c:pt>
                <c:pt idx="510">
                  <c:v>5.4355019273446992E-2</c:v>
                </c:pt>
                <c:pt idx="511">
                  <c:v>5.344308258098196E-2</c:v>
                </c:pt>
                <c:pt idx="512">
                  <c:v>5.0635293215551602E-2</c:v>
                </c:pt>
                <c:pt idx="513">
                  <c:v>5.9112412545424986E-2</c:v>
                </c:pt>
                <c:pt idx="514">
                  <c:v>4.5415335214175068E-2</c:v>
                </c:pt>
                <c:pt idx="515">
                  <c:v>4.1998846971169845E-2</c:v>
                </c:pt>
                <c:pt idx="516">
                  <c:v>4.6034823517938195E-2</c:v>
                </c:pt>
                <c:pt idx="517">
                  <c:v>4.6534917033224765E-2</c:v>
                </c:pt>
                <c:pt idx="518">
                  <c:v>4.7536853085897279E-2</c:v>
                </c:pt>
                <c:pt idx="519">
                  <c:v>7.054019424494018E-2</c:v>
                </c:pt>
                <c:pt idx="520">
                  <c:v>7.778916559587179E-2</c:v>
                </c:pt>
                <c:pt idx="521">
                  <c:v>7.9712311423646653E-2</c:v>
                </c:pt>
                <c:pt idx="522">
                  <c:v>6.3625690604268259E-2</c:v>
                </c:pt>
                <c:pt idx="523">
                  <c:v>5.9392240984296851E-2</c:v>
                </c:pt>
                <c:pt idx="524">
                  <c:v>6.1647511157159052E-2</c:v>
                </c:pt>
                <c:pt idx="525">
                  <c:v>8.1088010820602907E-2</c:v>
                </c:pt>
                <c:pt idx="526">
                  <c:v>8.8650065718406168E-2</c:v>
                </c:pt>
                <c:pt idx="527">
                  <c:v>8.7894043147284107E-2</c:v>
                </c:pt>
                <c:pt idx="528">
                  <c:v>9.9010394545089309E-2</c:v>
                </c:pt>
                <c:pt idx="529">
                  <c:v>9.2028368708240604E-2</c:v>
                </c:pt>
                <c:pt idx="530">
                  <c:v>0.10454500094700259</c:v>
                </c:pt>
                <c:pt idx="531">
                  <c:v>0.10368739524301063</c:v>
                </c:pt>
                <c:pt idx="532">
                  <c:v>9.6011146049394869E-2</c:v>
                </c:pt>
                <c:pt idx="533">
                  <c:v>9.0713418558904024E-2</c:v>
                </c:pt>
                <c:pt idx="534">
                  <c:v>9.0357019710358921E-2</c:v>
                </c:pt>
                <c:pt idx="535">
                  <c:v>8.2834920642816723E-2</c:v>
                </c:pt>
                <c:pt idx="536">
                  <c:v>7.0317439236279533E-2</c:v>
                </c:pt>
                <c:pt idx="537">
                  <c:v>6.1425896892049803E-2</c:v>
                </c:pt>
                <c:pt idx="538">
                  <c:v>7.0560514208591441E-2</c:v>
                </c:pt>
                <c:pt idx="539">
                  <c:v>6.9631544527334999E-2</c:v>
                </c:pt>
                <c:pt idx="540">
                  <c:v>7.0081599246013093E-2</c:v>
                </c:pt>
                <c:pt idx="541">
                  <c:v>6.4415668916021351E-2</c:v>
                </c:pt>
                <c:pt idx="542">
                  <c:v>6.3776762600282755E-2</c:v>
                </c:pt>
                <c:pt idx="543">
                  <c:v>6.1983259149820391E-2</c:v>
                </c:pt>
                <c:pt idx="544">
                  <c:v>6.8167465543618189E-2</c:v>
                </c:pt>
                <c:pt idx="545">
                  <c:v>6.8846055280070262E-2</c:v>
                </c:pt>
                <c:pt idx="546">
                  <c:v>7.1796260099197706E-2</c:v>
                </c:pt>
                <c:pt idx="547">
                  <c:v>5.8257714580698172E-2</c:v>
                </c:pt>
                <c:pt idx="548">
                  <c:v>5.6733194217379879E-2</c:v>
                </c:pt>
                <c:pt idx="549">
                  <c:v>5.0753953299432775E-2</c:v>
                </c:pt>
                <c:pt idx="550">
                  <c:v>5.5552712838083718E-2</c:v>
                </c:pt>
                <c:pt idx="551">
                  <c:v>5.8510583201926147E-2</c:v>
                </c:pt>
                <c:pt idx="552">
                  <c:v>6.1740012579782011E-2</c:v>
                </c:pt>
                <c:pt idx="553">
                  <c:v>5.1192997665231665E-2</c:v>
                </c:pt>
                <c:pt idx="554">
                  <c:v>5.5555774273048586E-2</c:v>
                </c:pt>
                <c:pt idx="555">
                  <c:v>4.8177962383075146E-2</c:v>
                </c:pt>
                <c:pt idx="556">
                  <c:v>4.8360161831798143E-2</c:v>
                </c:pt>
                <c:pt idx="557">
                  <c:v>5.0561305270436785E-2</c:v>
                </c:pt>
                <c:pt idx="558">
                  <c:v>5.1396175227108598E-2</c:v>
                </c:pt>
                <c:pt idx="559">
                  <c:v>4.1888772501551763E-2</c:v>
                </c:pt>
                <c:pt idx="560">
                  <c:v>4.1626953707562864E-2</c:v>
                </c:pt>
                <c:pt idx="561">
                  <c:v>4.7041188260942723E-2</c:v>
                </c:pt>
                <c:pt idx="562">
                  <c:v>4.8869338233635817E-2</c:v>
                </c:pt>
                <c:pt idx="563">
                  <c:v>4.4531075605952042E-2</c:v>
                </c:pt>
                <c:pt idx="564">
                  <c:v>3.8666760208207807E-2</c:v>
                </c:pt>
                <c:pt idx="565">
                  <c:v>4.2232442763771694E-2</c:v>
                </c:pt>
                <c:pt idx="566">
                  <c:v>2.1990829054449712E-2</c:v>
                </c:pt>
                <c:pt idx="567">
                  <c:v>1.434016684996231E-2</c:v>
                </c:pt>
                <c:pt idx="568">
                  <c:v>1.9806128198090134E-2</c:v>
                </c:pt>
                <c:pt idx="569">
                  <c:v>1.4895276897467946E-2</c:v>
                </c:pt>
                <c:pt idx="570">
                  <c:v>2.1500073658509589E-2</c:v>
                </c:pt>
                <c:pt idx="571">
                  <c:v>1.2686020745533932E-2</c:v>
                </c:pt>
                <c:pt idx="572">
                  <c:v>1.1863775287159317E-2</c:v>
                </c:pt>
                <c:pt idx="573">
                  <c:v>1.3452765972183478E-2</c:v>
                </c:pt>
                <c:pt idx="574">
                  <c:v>5.3732613376822336E-3</c:v>
                </c:pt>
                <c:pt idx="575">
                  <c:v>2.0740439897226848E-2</c:v>
                </c:pt>
                <c:pt idx="576">
                  <c:v>2.400071446131169E-2</c:v>
                </c:pt>
                <c:pt idx="577">
                  <c:v>2.413189700221019E-2</c:v>
                </c:pt>
                <c:pt idx="578">
                  <c:v>2.7537422873660899E-2</c:v>
                </c:pt>
                <c:pt idx="579">
                  <c:v>2.7385041656386999E-2</c:v>
                </c:pt>
                <c:pt idx="580">
                  <c:v>3.3155009063508656E-2</c:v>
                </c:pt>
                <c:pt idx="581">
                  <c:v>2.7146975459676703E-2</c:v>
                </c:pt>
                <c:pt idx="582">
                  <c:v>1.6214074607217022E-2</c:v>
                </c:pt>
                <c:pt idx="583">
                  <c:v>-7.5311545683881542E-3</c:v>
                </c:pt>
                <c:pt idx="584">
                  <c:v>-5.3592794115768783E-3</c:v>
                </c:pt>
                <c:pt idx="585">
                  <c:v>-5.0002802002936386E-3</c:v>
                </c:pt>
                <c:pt idx="586">
                  <c:v>-4.1839760230707457E-3</c:v>
                </c:pt>
                <c:pt idx="587">
                  <c:v>-1.2463388854328739E-2</c:v>
                </c:pt>
                <c:pt idx="588">
                  <c:v>-1.2366930081173066E-2</c:v>
                </c:pt>
                <c:pt idx="589">
                  <c:v>-1.3795241125542312E-2</c:v>
                </c:pt>
                <c:pt idx="590">
                  <c:v>-1.795650485400424E-2</c:v>
                </c:pt>
                <c:pt idx="591">
                  <c:v>-2.3781299310325466E-2</c:v>
                </c:pt>
                <c:pt idx="592">
                  <c:v>-2.1230380874051047E-2</c:v>
                </c:pt>
                <c:pt idx="593">
                  <c:v>-2.191725499858288E-2</c:v>
                </c:pt>
                <c:pt idx="594">
                  <c:v>-2.4615244202619291E-2</c:v>
                </c:pt>
                <c:pt idx="595">
                  <c:v>-3.3694554538574506E-2</c:v>
                </c:pt>
                <c:pt idx="596">
                  <c:v>-3.8366684789361782E-2</c:v>
                </c:pt>
                <c:pt idx="597">
                  <c:v>-5.1592447285527476E-2</c:v>
                </c:pt>
                <c:pt idx="598">
                  <c:v>-4.2969592086726127E-2</c:v>
                </c:pt>
                <c:pt idx="599">
                  <c:v>-4.2556935147246011E-2</c:v>
                </c:pt>
                <c:pt idx="600">
                  <c:v>-2.5006355342414799E-2</c:v>
                </c:pt>
                <c:pt idx="601">
                  <c:v>-2.5725682999885202E-2</c:v>
                </c:pt>
                <c:pt idx="602">
                  <c:v>-3.8076651078647217E-2</c:v>
                </c:pt>
                <c:pt idx="603">
                  <c:v>-4.1460018555935507E-2</c:v>
                </c:pt>
                <c:pt idx="604">
                  <c:v>-3.5725891200339643E-2</c:v>
                </c:pt>
                <c:pt idx="605">
                  <c:v>-4.1290406832971249E-2</c:v>
                </c:pt>
                <c:pt idx="606">
                  <c:v>-3.8930529452976481E-2</c:v>
                </c:pt>
                <c:pt idx="607">
                  <c:v>-3.7946699096885306E-2</c:v>
                </c:pt>
                <c:pt idx="608">
                  <c:v>-5.0593726335140032E-2</c:v>
                </c:pt>
                <c:pt idx="609">
                  <c:v>-4.3226128140629871E-2</c:v>
                </c:pt>
                <c:pt idx="610">
                  <c:v>-4.0368134098842767E-2</c:v>
                </c:pt>
                <c:pt idx="611">
                  <c:v>-3.6808128147604258E-2</c:v>
                </c:pt>
                <c:pt idx="612">
                  <c:v>-4.0953320628315248E-2</c:v>
                </c:pt>
                <c:pt idx="613">
                  <c:v>-3.6089172828948413E-2</c:v>
                </c:pt>
                <c:pt idx="614">
                  <c:v>-3.466962245629468E-2</c:v>
                </c:pt>
                <c:pt idx="615">
                  <c:v>-3.2184455433180048E-2</c:v>
                </c:pt>
                <c:pt idx="616">
                  <c:v>-3.4405945305749808E-2</c:v>
                </c:pt>
                <c:pt idx="617">
                  <c:v>-1.5251315418926326E-2</c:v>
                </c:pt>
                <c:pt idx="618">
                  <c:v>-1.504750715637726E-2</c:v>
                </c:pt>
                <c:pt idx="619">
                  <c:v>-1.1906822193762712E-2</c:v>
                </c:pt>
                <c:pt idx="620">
                  <c:v>-7.8450140525221368E-3</c:v>
                </c:pt>
                <c:pt idx="621">
                  <c:v>-1.7283398129760763E-2</c:v>
                </c:pt>
                <c:pt idx="622">
                  <c:v>-2.2528098895914339E-2</c:v>
                </c:pt>
                <c:pt idx="623">
                  <c:v>-1.5079187026230012E-2</c:v>
                </c:pt>
                <c:pt idx="624">
                  <c:v>-1.3401193538698619E-2</c:v>
                </c:pt>
                <c:pt idx="625">
                  <c:v>-1.0785883265862384E-2</c:v>
                </c:pt>
                <c:pt idx="626">
                  <c:v>-7.5904184406313524E-3</c:v>
                </c:pt>
                <c:pt idx="627">
                  <c:v>-9.4338700237872608E-3</c:v>
                </c:pt>
                <c:pt idx="628">
                  <c:v>-1.3288428794567819E-3</c:v>
                </c:pt>
                <c:pt idx="629">
                  <c:v>3.0360819807830897E-3</c:v>
                </c:pt>
                <c:pt idx="630">
                  <c:v>1.8246812752130026E-2</c:v>
                </c:pt>
                <c:pt idx="631">
                  <c:v>2.6952884610334849E-2</c:v>
                </c:pt>
                <c:pt idx="632">
                  <c:v>2.0970270474463648E-2</c:v>
                </c:pt>
                <c:pt idx="633">
                  <c:v>2.5541127386414342E-2</c:v>
                </c:pt>
                <c:pt idx="634">
                  <c:v>2.2989032937124509E-2</c:v>
                </c:pt>
                <c:pt idx="635">
                  <c:v>3.1948440776149001E-2</c:v>
                </c:pt>
                <c:pt idx="636">
                  <c:v>2.8555260170730401E-2</c:v>
                </c:pt>
                <c:pt idx="637">
                  <c:v>2.6768124285424744E-2</c:v>
                </c:pt>
                <c:pt idx="638">
                  <c:v>3.3197407067560691E-2</c:v>
                </c:pt>
                <c:pt idx="639">
                  <c:v>1.7361204194268121E-2</c:v>
                </c:pt>
                <c:pt idx="640">
                  <c:v>1.4800199186560947E-2</c:v>
                </c:pt>
                <c:pt idx="641">
                  <c:v>1.5997988957993758E-2</c:v>
                </c:pt>
                <c:pt idx="642">
                  <c:v>1.630188954890377E-2</c:v>
                </c:pt>
                <c:pt idx="643">
                  <c:v>2.5727701932076075E-2</c:v>
                </c:pt>
                <c:pt idx="644">
                  <c:v>2.0791630143328188E-2</c:v>
                </c:pt>
                <c:pt idx="645">
                  <c:v>1.8628477627147477E-2</c:v>
                </c:pt>
                <c:pt idx="646">
                  <c:v>3.196412757816347E-2</c:v>
                </c:pt>
                <c:pt idx="647">
                  <c:v>3.6114437079004746E-2</c:v>
                </c:pt>
                <c:pt idx="648">
                  <c:v>2.7912056236976124E-2</c:v>
                </c:pt>
                <c:pt idx="649">
                  <c:v>1.6729433001571703E-2</c:v>
                </c:pt>
                <c:pt idx="650">
                  <c:v>2.8791505522538285E-2</c:v>
                </c:pt>
                <c:pt idx="651">
                  <c:v>4.5132137608838052E-2</c:v>
                </c:pt>
                <c:pt idx="652">
                  <c:v>4.7524323557586623E-2</c:v>
                </c:pt>
                <c:pt idx="653">
                  <c:v>4.4402358004696385E-2</c:v>
                </c:pt>
                <c:pt idx="654">
                  <c:v>5.2656293559661504E-2</c:v>
                </c:pt>
                <c:pt idx="655">
                  <c:v>4.6930115046373233E-2</c:v>
                </c:pt>
                <c:pt idx="656">
                  <c:v>3.9288073606205565E-2</c:v>
                </c:pt>
                <c:pt idx="657">
                  <c:v>4.2389085027236373E-2</c:v>
                </c:pt>
                <c:pt idx="658">
                  <c:v>3.5202291842211908E-2</c:v>
                </c:pt>
                <c:pt idx="659">
                  <c:v>4.2811267350820303E-2</c:v>
                </c:pt>
                <c:pt idx="660">
                  <c:v>4.1090606557550258E-2</c:v>
                </c:pt>
                <c:pt idx="661">
                  <c:v>4.8046163456260116E-2</c:v>
                </c:pt>
                <c:pt idx="662">
                  <c:v>3.0704562362728893E-2</c:v>
                </c:pt>
                <c:pt idx="663">
                  <c:v>2.3229736058223649E-2</c:v>
                </c:pt>
                <c:pt idx="664">
                  <c:v>1.1490395752757898E-2</c:v>
                </c:pt>
                <c:pt idx="665">
                  <c:v>2.4734526720842975E-2</c:v>
                </c:pt>
                <c:pt idx="666">
                  <c:v>2.8986143882725024E-2</c:v>
                </c:pt>
                <c:pt idx="667">
                  <c:v>4.02016894374293E-2</c:v>
                </c:pt>
                <c:pt idx="668">
                  <c:v>3.6124590296332748E-2</c:v>
                </c:pt>
                <c:pt idx="669">
                  <c:v>3.8261098061151078E-2</c:v>
                </c:pt>
                <c:pt idx="670">
                  <c:v>3.6584907243215836E-2</c:v>
                </c:pt>
                <c:pt idx="671">
                  <c:v>3.641568528646455E-2</c:v>
                </c:pt>
                <c:pt idx="672">
                  <c:v>4.715525625353667E-2</c:v>
                </c:pt>
                <c:pt idx="673">
                  <c:v>4.6307460987110138E-2</c:v>
                </c:pt>
                <c:pt idx="674">
                  <c:v>4.0759397080059268E-2</c:v>
                </c:pt>
                <c:pt idx="675">
                  <c:v>3.0875371852901567E-2</c:v>
                </c:pt>
                <c:pt idx="676">
                  <c:v>2.9007403732894232E-2</c:v>
                </c:pt>
                <c:pt idx="677">
                  <c:v>3.9843900628717455E-2</c:v>
                </c:pt>
                <c:pt idx="678">
                  <c:v>3.7343542824915588E-2</c:v>
                </c:pt>
                <c:pt idx="679">
                  <c:v>3.4173388407230387E-2</c:v>
                </c:pt>
                <c:pt idx="680">
                  <c:v>3.3005672677197895E-2</c:v>
                </c:pt>
                <c:pt idx="681">
                  <c:v>2.9645554285072651E-2</c:v>
                </c:pt>
                <c:pt idx="682">
                  <c:v>2.3956956714366262E-2</c:v>
                </c:pt>
                <c:pt idx="683">
                  <c:v>3.120553208128074E-2</c:v>
                </c:pt>
                <c:pt idx="684">
                  <c:v>2.7649120152087647E-2</c:v>
                </c:pt>
                <c:pt idx="685">
                  <c:v>2.5944165942477282E-2</c:v>
                </c:pt>
                <c:pt idx="686">
                  <c:v>2.0780494123531446E-2</c:v>
                </c:pt>
                <c:pt idx="687">
                  <c:v>3.2110605507119194E-2</c:v>
                </c:pt>
                <c:pt idx="688">
                  <c:v>2.800314066283871E-2</c:v>
                </c:pt>
                <c:pt idx="689">
                  <c:v>1.8083694127230876E-2</c:v>
                </c:pt>
                <c:pt idx="690">
                  <c:v>2.3541735946318365E-2</c:v>
                </c:pt>
                <c:pt idx="691">
                  <c:v>2.0238012983124554E-2</c:v>
                </c:pt>
                <c:pt idx="692">
                  <c:v>1.9915015614601073E-2</c:v>
                </c:pt>
                <c:pt idx="693">
                  <c:v>1.3438090934013713E-2</c:v>
                </c:pt>
                <c:pt idx="694">
                  <c:v>1.0883134387538407E-2</c:v>
                </c:pt>
                <c:pt idx="695">
                  <c:v>3.9088141714038738E-3</c:v>
                </c:pt>
                <c:pt idx="696">
                  <c:v>3.4576374660639786E-3</c:v>
                </c:pt>
                <c:pt idx="697">
                  <c:v>1.1051093933143852E-2</c:v>
                </c:pt>
                <c:pt idx="698">
                  <c:v>2.1231367549850777E-2</c:v>
                </c:pt>
                <c:pt idx="699">
                  <c:v>2.1945060089806123E-2</c:v>
                </c:pt>
                <c:pt idx="700">
                  <c:v>3.0553239968878376E-2</c:v>
                </c:pt>
                <c:pt idx="701">
                  <c:v>2.51453484341011E-2</c:v>
                </c:pt>
                <c:pt idx="702">
                  <c:v>2.1973271839547781E-2</c:v>
                </c:pt>
                <c:pt idx="703">
                  <c:v>2.4854968381743392E-2</c:v>
                </c:pt>
                <c:pt idx="704">
                  <c:v>2.2781690368619323E-2</c:v>
                </c:pt>
                <c:pt idx="705">
                  <c:v>2.0974197617837698E-2</c:v>
                </c:pt>
                <c:pt idx="706">
                  <c:v>1.9869087477890623E-2</c:v>
                </c:pt>
                <c:pt idx="707">
                  <c:v>2.420319695533335E-2</c:v>
                </c:pt>
                <c:pt idx="708">
                  <c:v>2.6673303030749551E-2</c:v>
                </c:pt>
                <c:pt idx="709">
                  <c:v>3.5981017582075614E-2</c:v>
                </c:pt>
                <c:pt idx="710">
                  <c:v>3.4819501137557163E-2</c:v>
                </c:pt>
                <c:pt idx="711">
                  <c:v>2.7883686012365905E-2</c:v>
                </c:pt>
                <c:pt idx="712">
                  <c:v>2.5724744814029643E-2</c:v>
                </c:pt>
                <c:pt idx="713">
                  <c:v>3.6899092733019723E-2</c:v>
                </c:pt>
                <c:pt idx="714">
                  <c:v>2.428410733484232E-2</c:v>
                </c:pt>
                <c:pt idx="715">
                  <c:v>9.2498108451237737E-3</c:v>
                </c:pt>
                <c:pt idx="716">
                  <c:v>6.0532449501013996E-3</c:v>
                </c:pt>
                <c:pt idx="717">
                  <c:v>-2.5552264503327926E-3</c:v>
                </c:pt>
                <c:pt idx="718">
                  <c:v>-1.9822763948435407E-2</c:v>
                </c:pt>
                <c:pt idx="719">
                  <c:v>-3.1091731737575734E-2</c:v>
                </c:pt>
                <c:pt idx="720">
                  <c:v>-5.7064895923006453E-2</c:v>
                </c:pt>
                <c:pt idx="721">
                  <c:v>-4.0288288091853808E-2</c:v>
                </c:pt>
                <c:pt idx="722">
                  <c:v>-5.0765664345752359E-2</c:v>
                </c:pt>
                <c:pt idx="723">
                  <c:v>-6.4668912298899817E-2</c:v>
                </c:pt>
                <c:pt idx="724">
                  <c:v>-4.3394789137184198E-2</c:v>
                </c:pt>
                <c:pt idx="725">
                  <c:v>-4.5886162415795351E-2</c:v>
                </c:pt>
                <c:pt idx="726">
                  <c:v>-2.9945513368632604E-2</c:v>
                </c:pt>
                <c:pt idx="727">
                  <c:v>-1.8092772410339242E-2</c:v>
                </c:pt>
                <c:pt idx="728">
                  <c:v>-2.5348345359542668E-3</c:v>
                </c:pt>
                <c:pt idx="729">
                  <c:v>-1.6121133255093789E-2</c:v>
                </c:pt>
                <c:pt idx="730">
                  <c:v>-7.196394484390467E-3</c:v>
                </c:pt>
                <c:pt idx="731">
                  <c:v>-1.2236995687556429E-2</c:v>
                </c:pt>
                <c:pt idx="732">
                  <c:v>-1.7509338576824574E-2</c:v>
                </c:pt>
                <c:pt idx="733">
                  <c:v>-1.2748789346528566E-2</c:v>
                </c:pt>
                <c:pt idx="734">
                  <c:v>-7.8878482764779267E-3</c:v>
                </c:pt>
                <c:pt idx="735">
                  <c:v>-8.4646859227094362E-3</c:v>
                </c:pt>
                <c:pt idx="736">
                  <c:v>-1.0804799159309542E-2</c:v>
                </c:pt>
                <c:pt idx="737">
                  <c:v>-2.8657983049460101E-2</c:v>
                </c:pt>
                <c:pt idx="738">
                  <c:v>-5.1301029333833292E-2</c:v>
                </c:pt>
                <c:pt idx="739">
                  <c:v>-3.8000118278883943E-2</c:v>
                </c:pt>
                <c:pt idx="740">
                  <c:v>-2.9628417319828904E-2</c:v>
                </c:pt>
                <c:pt idx="741">
                  <c:v>-3.5311951358470095E-2</c:v>
                </c:pt>
                <c:pt idx="742">
                  <c:v>-2.3530583661064974E-2</c:v>
                </c:pt>
                <c:pt idx="743">
                  <c:v>-1.9327785081920235E-2</c:v>
                </c:pt>
                <c:pt idx="744">
                  <c:v>-1.704865718784665E-2</c:v>
                </c:pt>
                <c:pt idx="745">
                  <c:v>-3.3776136681354929E-2</c:v>
                </c:pt>
                <c:pt idx="746">
                  <c:v>-3.486654737234296E-2</c:v>
                </c:pt>
                <c:pt idx="747">
                  <c:v>-3.6147188829961818E-2</c:v>
                </c:pt>
                <c:pt idx="748">
                  <c:v>-3.1003628103722147E-2</c:v>
                </c:pt>
                <c:pt idx="749">
                  <c:v>-3.7052021063465501E-2</c:v>
                </c:pt>
                <c:pt idx="750">
                  <c:v>-3.0355798149179103E-2</c:v>
                </c:pt>
                <c:pt idx="751">
                  <c:v>-4.271548331531605E-2</c:v>
                </c:pt>
                <c:pt idx="752">
                  <c:v>-5.3016553418214873E-2</c:v>
                </c:pt>
                <c:pt idx="753">
                  <c:v>-5.4922930457749763E-2</c:v>
                </c:pt>
                <c:pt idx="754">
                  <c:v>-6.715360848368479E-2</c:v>
                </c:pt>
                <c:pt idx="755">
                  <c:v>-5.4626211883600173E-2</c:v>
                </c:pt>
                <c:pt idx="756">
                  <c:v>-5.0374902486670425E-2</c:v>
                </c:pt>
                <c:pt idx="757">
                  <c:v>-4.3760357856737264E-2</c:v>
                </c:pt>
                <c:pt idx="758">
                  <c:v>-4.2998725806257965E-2</c:v>
                </c:pt>
                <c:pt idx="759">
                  <c:v>-4.0458099399660385E-2</c:v>
                </c:pt>
                <c:pt idx="760">
                  <c:v>-4.9795680954404564E-2</c:v>
                </c:pt>
                <c:pt idx="761">
                  <c:v>-6.2148650099235536E-2</c:v>
                </c:pt>
                <c:pt idx="762">
                  <c:v>-4.7948544217945699E-2</c:v>
                </c:pt>
                <c:pt idx="763">
                  <c:v>-5.3147209175738119E-2</c:v>
                </c:pt>
                <c:pt idx="764">
                  <c:v>-5.6015653051585623E-2</c:v>
                </c:pt>
                <c:pt idx="765">
                  <c:v>-4.482145095503598E-2</c:v>
                </c:pt>
                <c:pt idx="766">
                  <c:v>-4.7258937303839788E-2</c:v>
                </c:pt>
                <c:pt idx="767">
                  <c:v>-4.3600698989676667E-2</c:v>
                </c:pt>
                <c:pt idx="768">
                  <c:v>-4.1039184691690989E-2</c:v>
                </c:pt>
                <c:pt idx="769">
                  <c:v>-4.5240247429603309E-2</c:v>
                </c:pt>
                <c:pt idx="770">
                  <c:v>-3.627965894193208E-2</c:v>
                </c:pt>
                <c:pt idx="771">
                  <c:v>-3.5305977625270546E-2</c:v>
                </c:pt>
                <c:pt idx="772">
                  <c:v>-3.9846120935347118E-2</c:v>
                </c:pt>
                <c:pt idx="773">
                  <c:v>-4.2912659375318518E-2</c:v>
                </c:pt>
                <c:pt idx="774">
                  <c:v>-4.0928680202592549E-2</c:v>
                </c:pt>
                <c:pt idx="775">
                  <c:v>-3.5582148316002149E-2</c:v>
                </c:pt>
                <c:pt idx="776">
                  <c:v>-3.6953728666139773E-2</c:v>
                </c:pt>
                <c:pt idx="777">
                  <c:v>-3.2181252601036991E-2</c:v>
                </c:pt>
                <c:pt idx="778">
                  <c:v>-2.7651895873666898E-2</c:v>
                </c:pt>
                <c:pt idx="779">
                  <c:v>-1.6650995284063441E-2</c:v>
                </c:pt>
                <c:pt idx="780">
                  <c:v>-1.5779611098202251E-2</c:v>
                </c:pt>
                <c:pt idx="781">
                  <c:v>-4.2353356360635974E-3</c:v>
                </c:pt>
                <c:pt idx="782">
                  <c:v>2.3807526552319658E-3</c:v>
                </c:pt>
                <c:pt idx="783">
                  <c:v>2.5497667009365843E-2</c:v>
                </c:pt>
                <c:pt idx="784">
                  <c:v>5.9508902570427624E-2</c:v>
                </c:pt>
                <c:pt idx="785">
                  <c:v>4.637438598052368E-2</c:v>
                </c:pt>
                <c:pt idx="786">
                  <c:v>6.3390167810233544E-2</c:v>
                </c:pt>
                <c:pt idx="787">
                  <c:v>8.0906730187242593E-2</c:v>
                </c:pt>
                <c:pt idx="788">
                  <c:v>6.8284695208857382E-2</c:v>
                </c:pt>
                <c:pt idx="789">
                  <c:v>7.5823241866598945E-2</c:v>
                </c:pt>
                <c:pt idx="790">
                  <c:v>6.68806835731377E-2</c:v>
                </c:pt>
                <c:pt idx="791">
                  <c:v>6.7867250323077277E-2</c:v>
                </c:pt>
                <c:pt idx="792">
                  <c:v>5.4233263553355116E-2</c:v>
                </c:pt>
                <c:pt idx="793">
                  <c:v>6.4875069648742123E-2</c:v>
                </c:pt>
                <c:pt idx="794">
                  <c:v>6.1247952187869048E-2</c:v>
                </c:pt>
                <c:pt idx="795">
                  <c:v>4.7337716341651959E-2</c:v>
                </c:pt>
                <c:pt idx="796">
                  <c:v>4.2596959060129835E-2</c:v>
                </c:pt>
                <c:pt idx="797">
                  <c:v>4.1702952231232437E-2</c:v>
                </c:pt>
                <c:pt idx="798">
                  <c:v>1.9998059123595979E-2</c:v>
                </c:pt>
                <c:pt idx="799">
                  <c:v>2.5331854146685595E-2</c:v>
                </c:pt>
                <c:pt idx="800">
                  <c:v>2.6010335834202758E-2</c:v>
                </c:pt>
                <c:pt idx="801">
                  <c:v>4.8658596958586209E-2</c:v>
                </c:pt>
                <c:pt idx="802">
                  <c:v>7.4541939011941283E-2</c:v>
                </c:pt>
                <c:pt idx="803">
                  <c:v>6.000543114427237E-2</c:v>
                </c:pt>
                <c:pt idx="804">
                  <c:v>5.7914283574119318E-2</c:v>
                </c:pt>
                <c:pt idx="805">
                  <c:v>5.2595526412893001E-2</c:v>
                </c:pt>
                <c:pt idx="806">
                  <c:v>3.9607665360060329E-2</c:v>
                </c:pt>
                <c:pt idx="807">
                  <c:v>4.2973677251879838E-2</c:v>
                </c:pt>
                <c:pt idx="808">
                  <c:v>3.8967975827382428E-2</c:v>
                </c:pt>
                <c:pt idx="809">
                  <c:v>5.1179991371633093E-2</c:v>
                </c:pt>
                <c:pt idx="810">
                  <c:v>6.5908917829864189E-2</c:v>
                </c:pt>
                <c:pt idx="811">
                  <c:v>4.9468103346453018E-2</c:v>
                </c:pt>
                <c:pt idx="812">
                  <c:v>3.802838439561107E-2</c:v>
                </c:pt>
                <c:pt idx="813">
                  <c:v>4.2265159812374664E-2</c:v>
                </c:pt>
                <c:pt idx="814">
                  <c:v>3.9349729093590913E-2</c:v>
                </c:pt>
                <c:pt idx="815">
                  <c:v>3.1874217374127101E-2</c:v>
                </c:pt>
                <c:pt idx="816">
                  <c:v>5.9220042914974513E-2</c:v>
                </c:pt>
                <c:pt idx="817">
                  <c:v>4.6147077211322385E-2</c:v>
                </c:pt>
                <c:pt idx="818">
                  <c:v>5.426048743717593E-2</c:v>
                </c:pt>
                <c:pt idx="819">
                  <c:v>4.9562454891943108E-2</c:v>
                </c:pt>
                <c:pt idx="820">
                  <c:v>3.6817646399875059E-2</c:v>
                </c:pt>
                <c:pt idx="821">
                  <c:v>3.9950565670658467E-2</c:v>
                </c:pt>
                <c:pt idx="822">
                  <c:v>3.1478660928293767E-2</c:v>
                </c:pt>
                <c:pt idx="823">
                  <c:v>3.9602775379486532E-2</c:v>
                </c:pt>
                <c:pt idx="824">
                  <c:v>4.56071404491738E-2</c:v>
                </c:pt>
                <c:pt idx="825">
                  <c:v>5.4381088430271785E-2</c:v>
                </c:pt>
                <c:pt idx="826">
                  <c:v>3.1216187178273236E-2</c:v>
                </c:pt>
                <c:pt idx="827">
                  <c:v>4.0225375745413183E-2</c:v>
                </c:pt>
                <c:pt idx="828">
                  <c:v>4.3354197173765208E-2</c:v>
                </c:pt>
                <c:pt idx="829">
                  <c:v>2.1371156562261628E-2</c:v>
                </c:pt>
                <c:pt idx="830">
                  <c:v>3.522154962473234E-2</c:v>
                </c:pt>
                <c:pt idx="831">
                  <c:v>3.0272773793718288E-2</c:v>
                </c:pt>
                <c:pt idx="832">
                  <c:v>2.5683315737826451E-2</c:v>
                </c:pt>
                <c:pt idx="833">
                  <c:v>3.158218140481317E-2</c:v>
                </c:pt>
                <c:pt idx="834">
                  <c:v>2.8959711691981305E-2</c:v>
                </c:pt>
                <c:pt idx="835">
                  <c:v>2.3797884590938567E-2</c:v>
                </c:pt>
                <c:pt idx="836">
                  <c:v>2.1526384966701784E-2</c:v>
                </c:pt>
                <c:pt idx="837">
                  <c:v>1.9720068803536828E-2</c:v>
                </c:pt>
                <c:pt idx="838">
                  <c:v>2.4736452423688382E-2</c:v>
                </c:pt>
                <c:pt idx="839">
                  <c:v>2.1557446673905023E-2</c:v>
                </c:pt>
                <c:pt idx="840">
                  <c:v>3.6912519030331437E-2</c:v>
                </c:pt>
                <c:pt idx="841">
                  <c:v>3.0960750424205541E-2</c:v>
                </c:pt>
                <c:pt idx="842">
                  <c:v>2.5019459733960137E-2</c:v>
                </c:pt>
                <c:pt idx="843">
                  <c:v>2.5031611980248281E-2</c:v>
                </c:pt>
                <c:pt idx="844">
                  <c:v>2.1238504665125113E-2</c:v>
                </c:pt>
                <c:pt idx="845">
                  <c:v>6.6639642323793602E-3</c:v>
                </c:pt>
                <c:pt idx="846">
                  <c:v>2.0698076341581384E-2</c:v>
                </c:pt>
                <c:pt idx="847">
                  <c:v>1.2165838794717443E-2</c:v>
                </c:pt>
                <c:pt idx="848">
                  <c:v>9.1077850202030408E-3</c:v>
                </c:pt>
                <c:pt idx="849">
                  <c:v>2.7864552941303522E-4</c:v>
                </c:pt>
                <c:pt idx="850">
                  <c:v>1.960543995557007E-3</c:v>
                </c:pt>
                <c:pt idx="851">
                  <c:v>-1.0492081039291334E-2</c:v>
                </c:pt>
                <c:pt idx="852">
                  <c:v>-1.3154663006573752E-2</c:v>
                </c:pt>
                <c:pt idx="853">
                  <c:v>-1.3740422197086932E-2</c:v>
                </c:pt>
                <c:pt idx="854">
                  <c:v>-2.9237770244624484E-2</c:v>
                </c:pt>
                <c:pt idx="855">
                  <c:v>-3.0738785394682999E-2</c:v>
                </c:pt>
                <c:pt idx="856">
                  <c:v>-2.9456236001229708E-2</c:v>
                </c:pt>
                <c:pt idx="857">
                  <c:v>-2.7550247313349652E-2</c:v>
                </c:pt>
                <c:pt idx="858">
                  <c:v>-2.7966504311632612E-2</c:v>
                </c:pt>
                <c:pt idx="859">
                  <c:v>-1.7167807253574252E-2</c:v>
                </c:pt>
                <c:pt idx="860">
                  <c:v>-1.3291686501906153E-2</c:v>
                </c:pt>
                <c:pt idx="861">
                  <c:v>-1.3952623598087799E-2</c:v>
                </c:pt>
                <c:pt idx="862">
                  <c:v>6.8028242682631745E-3</c:v>
                </c:pt>
                <c:pt idx="863">
                  <c:v>6.2706364359295108E-3</c:v>
                </c:pt>
                <c:pt idx="864">
                  <c:v>9.5874541130349655E-3</c:v>
                </c:pt>
                <c:pt idx="865">
                  <c:v>-8.6774927588637585E-3</c:v>
                </c:pt>
                <c:pt idx="866">
                  <c:v>-1.0615755709707075E-2</c:v>
                </c:pt>
                <c:pt idx="867">
                  <c:v>-1.4276933418454152E-2</c:v>
                </c:pt>
                <c:pt idx="868">
                  <c:v>-2.483480691880946E-2</c:v>
                </c:pt>
                <c:pt idx="869">
                  <c:v>-2.851537365303769E-2</c:v>
                </c:pt>
                <c:pt idx="870">
                  <c:v>-2.5707394687490059E-2</c:v>
                </c:pt>
                <c:pt idx="871">
                  <c:v>-2.8611484102960882E-2</c:v>
                </c:pt>
                <c:pt idx="872">
                  <c:v>-2.7970871025256749E-2</c:v>
                </c:pt>
                <c:pt idx="873">
                  <c:v>-2.5154428278666208E-2</c:v>
                </c:pt>
                <c:pt idx="874">
                  <c:v>-3.8149882788224732E-2</c:v>
                </c:pt>
                <c:pt idx="875">
                  <c:v>-2.5339433869959183E-2</c:v>
                </c:pt>
                <c:pt idx="876">
                  <c:v>-1.6232496194650836E-2</c:v>
                </c:pt>
                <c:pt idx="877">
                  <c:v>-8.2010978101383358E-3</c:v>
                </c:pt>
                <c:pt idx="878">
                  <c:v>-6.9399416111123324E-3</c:v>
                </c:pt>
                <c:pt idx="879">
                  <c:v>8.9438099749785671E-3</c:v>
                </c:pt>
                <c:pt idx="880">
                  <c:v>2.7138783705726865E-3</c:v>
                </c:pt>
                <c:pt idx="881">
                  <c:v>1.8703791995249075E-2</c:v>
                </c:pt>
                <c:pt idx="882">
                  <c:v>2.2634591169365059E-2</c:v>
                </c:pt>
                <c:pt idx="883">
                  <c:v>1.7809185966606522E-2</c:v>
                </c:pt>
                <c:pt idx="884">
                  <c:v>2.942754337986675E-2</c:v>
                </c:pt>
                <c:pt idx="885">
                  <c:v>1.3254633992359155E-2</c:v>
                </c:pt>
                <c:pt idx="886">
                  <c:v>2.3507458669940418E-2</c:v>
                </c:pt>
                <c:pt idx="887">
                  <c:v>1.014466582209006E-2</c:v>
                </c:pt>
                <c:pt idx="888">
                  <c:v>1.4566964383050829E-2</c:v>
                </c:pt>
                <c:pt idx="889">
                  <c:v>-1.6814245546192819E-4</c:v>
                </c:pt>
                <c:pt idx="890">
                  <c:v>-1.0653918230831838E-2</c:v>
                </c:pt>
                <c:pt idx="891">
                  <c:v>-2.6913467777708533E-2</c:v>
                </c:pt>
                <c:pt idx="892">
                  <c:v>-2.8976480991242282E-2</c:v>
                </c:pt>
                <c:pt idx="893">
                  <c:v>-3.173053058919284E-2</c:v>
                </c:pt>
                <c:pt idx="894">
                  <c:v>-5.8004097644473673E-2</c:v>
                </c:pt>
                <c:pt idx="895">
                  <c:v>-6.2082702164993231E-2</c:v>
                </c:pt>
                <c:pt idx="896">
                  <c:v>-5.7332771760672752E-2</c:v>
                </c:pt>
                <c:pt idx="897">
                  <c:v>-4.5509862211290719E-2</c:v>
                </c:pt>
                <c:pt idx="898">
                  <c:v>-5.4724874524669898E-2</c:v>
                </c:pt>
                <c:pt idx="899">
                  <c:v>-5.7702078242566457E-2</c:v>
                </c:pt>
                <c:pt idx="900">
                  <c:v>-5.6595189573492188E-2</c:v>
                </c:pt>
                <c:pt idx="901">
                  <c:v>-5.9025562507528551E-2</c:v>
                </c:pt>
                <c:pt idx="902">
                  <c:v>-8.0842576412074707E-2</c:v>
                </c:pt>
                <c:pt idx="903">
                  <c:v>-8.0836414637256215E-2</c:v>
                </c:pt>
                <c:pt idx="904">
                  <c:v>-8.3371093208237101E-2</c:v>
                </c:pt>
                <c:pt idx="905">
                  <c:v>-9.3832324202184902E-2</c:v>
                </c:pt>
                <c:pt idx="906">
                  <c:v>-8.351347973358636E-2</c:v>
                </c:pt>
                <c:pt idx="907">
                  <c:v>-8.5308406805331249E-2</c:v>
                </c:pt>
                <c:pt idx="908">
                  <c:v>-6.4985851201234124E-2</c:v>
                </c:pt>
                <c:pt idx="909">
                  <c:v>-5.3762793580259705E-2</c:v>
                </c:pt>
                <c:pt idx="910">
                  <c:v>-5.772674254006005E-2</c:v>
                </c:pt>
                <c:pt idx="911">
                  <c:v>-5.7578753548785055E-2</c:v>
                </c:pt>
                <c:pt idx="912">
                  <c:v>-6.515361722830959E-2</c:v>
                </c:pt>
                <c:pt idx="913">
                  <c:v>-5.3635627750066694E-2</c:v>
                </c:pt>
                <c:pt idx="914">
                  <c:v>-5.3421056432626068E-2</c:v>
                </c:pt>
                <c:pt idx="915">
                  <c:v>-4.6121345492283194E-2</c:v>
                </c:pt>
                <c:pt idx="916">
                  <c:v>-5.265666976553518E-2</c:v>
                </c:pt>
                <c:pt idx="917">
                  <c:v>-4.63426773492015E-2</c:v>
                </c:pt>
                <c:pt idx="918">
                  <c:v>-3.8626476072094462E-2</c:v>
                </c:pt>
                <c:pt idx="919">
                  <c:v>-5.2399250312139212E-2</c:v>
                </c:pt>
                <c:pt idx="920">
                  <c:v>-5.339435087518396E-2</c:v>
                </c:pt>
                <c:pt idx="921">
                  <c:v>-6.583578264610257E-2</c:v>
                </c:pt>
                <c:pt idx="922">
                  <c:v>-7.8512989151620305E-2</c:v>
                </c:pt>
                <c:pt idx="923">
                  <c:v>-6.7335567892374493E-2</c:v>
                </c:pt>
                <c:pt idx="924">
                  <c:v>-7.2179637958783127E-2</c:v>
                </c:pt>
                <c:pt idx="925">
                  <c:v>-6.9624431518152119E-2</c:v>
                </c:pt>
                <c:pt idx="926">
                  <c:v>-6.2483479912258111E-2</c:v>
                </c:pt>
                <c:pt idx="927">
                  <c:v>-6.7357666267131799E-2</c:v>
                </c:pt>
                <c:pt idx="928">
                  <c:v>-6.441776340122729E-2</c:v>
                </c:pt>
                <c:pt idx="929">
                  <c:v>-5.4794041058225273E-2</c:v>
                </c:pt>
                <c:pt idx="930">
                  <c:v>-5.7293554935155533E-2</c:v>
                </c:pt>
                <c:pt idx="931">
                  <c:v>-4.0898524110032586E-2</c:v>
                </c:pt>
                <c:pt idx="932">
                  <c:v>-3.7395203816485201E-2</c:v>
                </c:pt>
                <c:pt idx="933">
                  <c:v>-4.3598692854178389E-2</c:v>
                </c:pt>
                <c:pt idx="934">
                  <c:v>-7.3982092642923547E-2</c:v>
                </c:pt>
                <c:pt idx="935">
                  <c:v>-7.1929420099976937E-2</c:v>
                </c:pt>
                <c:pt idx="936">
                  <c:v>-8.8726061818333535E-2</c:v>
                </c:pt>
                <c:pt idx="937">
                  <c:v>-7.9027304550758459E-2</c:v>
                </c:pt>
                <c:pt idx="938">
                  <c:v>-6.2720094480037458E-2</c:v>
                </c:pt>
                <c:pt idx="939">
                  <c:v>-6.7116887664211533E-2</c:v>
                </c:pt>
                <c:pt idx="940">
                  <c:v>-7.4085028826760047E-2</c:v>
                </c:pt>
                <c:pt idx="941">
                  <c:v>-8.5730622611632779E-2</c:v>
                </c:pt>
                <c:pt idx="942">
                  <c:v>-9.6754877494045655E-2</c:v>
                </c:pt>
                <c:pt idx="943">
                  <c:v>-0.10066694140039778</c:v>
                </c:pt>
                <c:pt idx="944">
                  <c:v>-0.1177561377040186</c:v>
                </c:pt>
                <c:pt idx="945">
                  <c:v>-0.11275802048440586</c:v>
                </c:pt>
                <c:pt idx="946">
                  <c:v>-0.1206449000322587</c:v>
                </c:pt>
                <c:pt idx="947">
                  <c:v>-0.13794914044951001</c:v>
                </c:pt>
                <c:pt idx="948">
                  <c:v>-0.12419239345954547</c:v>
                </c:pt>
                <c:pt idx="949">
                  <c:v>-0.11317548607417371</c:v>
                </c:pt>
                <c:pt idx="950">
                  <c:v>-0.11606004569091499</c:v>
                </c:pt>
                <c:pt idx="951">
                  <c:v>-0.11971194720563971</c:v>
                </c:pt>
                <c:pt idx="952">
                  <c:v>-9.9369373653426241E-2</c:v>
                </c:pt>
                <c:pt idx="953">
                  <c:v>-9.2204223949822306E-2</c:v>
                </c:pt>
                <c:pt idx="954">
                  <c:v>-7.6791959162086587E-2</c:v>
                </c:pt>
                <c:pt idx="955">
                  <c:v>-6.2098861070363109E-2</c:v>
                </c:pt>
                <c:pt idx="956">
                  <c:v>-6.0765438050679244E-2</c:v>
                </c:pt>
                <c:pt idx="957">
                  <c:v>-4.5319073580667335E-2</c:v>
                </c:pt>
                <c:pt idx="958">
                  <c:v>-3.0650809324319961E-2</c:v>
                </c:pt>
                <c:pt idx="959">
                  <c:v>-2.486742401132358E-2</c:v>
                </c:pt>
                <c:pt idx="960">
                  <c:v>-2.2114672969553051E-2</c:v>
                </c:pt>
                <c:pt idx="961">
                  <c:v>-3.6195219926764666E-2</c:v>
                </c:pt>
                <c:pt idx="962">
                  <c:v>-1.4545076000190837E-2</c:v>
                </c:pt>
                <c:pt idx="963">
                  <c:v>-1.138189090049424E-2</c:v>
                </c:pt>
                <c:pt idx="964">
                  <c:v>-1.513911203844398E-2</c:v>
                </c:pt>
                <c:pt idx="965">
                  <c:v>-1.1723436700693979E-2</c:v>
                </c:pt>
                <c:pt idx="966">
                  <c:v>5.6255163063885227E-3</c:v>
                </c:pt>
                <c:pt idx="967">
                  <c:v>1.4428393080078372E-2</c:v>
                </c:pt>
                <c:pt idx="968">
                  <c:v>-5.3178827236821657E-4</c:v>
                </c:pt>
                <c:pt idx="969">
                  <c:v>1.5025374964063865E-2</c:v>
                </c:pt>
                <c:pt idx="970">
                  <c:v>1.0653979044548789E-2</c:v>
                </c:pt>
                <c:pt idx="971">
                  <c:v>1.1736713690634115E-2</c:v>
                </c:pt>
                <c:pt idx="972">
                  <c:v>-2.4037298455381606E-3</c:v>
                </c:pt>
                <c:pt idx="973">
                  <c:v>-5.693264472448889E-3</c:v>
                </c:pt>
                <c:pt idx="974">
                  <c:v>6.1787743980585841E-3</c:v>
                </c:pt>
                <c:pt idx="975">
                  <c:v>8.757856036034406E-3</c:v>
                </c:pt>
                <c:pt idx="976">
                  <c:v>-2.8401890369571525E-3</c:v>
                </c:pt>
                <c:pt idx="977">
                  <c:v>-1.8455061750222823E-2</c:v>
                </c:pt>
                <c:pt idx="978">
                  <c:v>-1.2200157932081512E-2</c:v>
                </c:pt>
                <c:pt idx="979">
                  <c:v>-4.3384715930104845E-3</c:v>
                </c:pt>
                <c:pt idx="980">
                  <c:v>1.1012001062468357E-2</c:v>
                </c:pt>
                <c:pt idx="981">
                  <c:v>1.6299762123248573E-3</c:v>
                </c:pt>
                <c:pt idx="982">
                  <c:v>2.1598539931174443E-2</c:v>
                </c:pt>
                <c:pt idx="983">
                  <c:v>3.3042205501483179E-2</c:v>
                </c:pt>
                <c:pt idx="984">
                  <c:v>3.2962632171735784E-2</c:v>
                </c:pt>
                <c:pt idx="985">
                  <c:v>4.7741233491304325E-2</c:v>
                </c:pt>
                <c:pt idx="986">
                  <c:v>5.7497924630534492E-2</c:v>
                </c:pt>
                <c:pt idx="987">
                  <c:v>4.7594924020491813E-2</c:v>
                </c:pt>
                <c:pt idx="988">
                  <c:v>5.7470161113167162E-2</c:v>
                </c:pt>
                <c:pt idx="989">
                  <c:v>5.7619820626564344E-2</c:v>
                </c:pt>
                <c:pt idx="990">
                  <c:v>4.1566600637695794E-2</c:v>
                </c:pt>
                <c:pt idx="991">
                  <c:v>4.4960475996397964E-2</c:v>
                </c:pt>
                <c:pt idx="992">
                  <c:v>4.8784916092052821E-2</c:v>
                </c:pt>
                <c:pt idx="993">
                  <c:v>5.0096331602905275E-2</c:v>
                </c:pt>
                <c:pt idx="994">
                  <c:v>5.3367041161944018E-2</c:v>
                </c:pt>
                <c:pt idx="995">
                  <c:v>4.2146472940858271E-2</c:v>
                </c:pt>
                <c:pt idx="996">
                  <c:v>4.7000111927042898E-2</c:v>
                </c:pt>
                <c:pt idx="997">
                  <c:v>5.0036892153743073E-2</c:v>
                </c:pt>
                <c:pt idx="998">
                  <c:v>9.1966664396587738E-2</c:v>
                </c:pt>
                <c:pt idx="999">
                  <c:v>8.4010404990841225E-2</c:v>
                </c:pt>
                <c:pt idx="1000">
                  <c:v>0.11156087149807759</c:v>
                </c:pt>
                <c:pt idx="1001">
                  <c:v>0.10350023109856976</c:v>
                </c:pt>
                <c:pt idx="1002">
                  <c:v>9.2658532962634821E-2</c:v>
                </c:pt>
                <c:pt idx="1003">
                  <c:v>9.7542849156992073E-2</c:v>
                </c:pt>
                <c:pt idx="1004">
                  <c:v>0.11094162254634332</c:v>
                </c:pt>
                <c:pt idx="1005">
                  <c:v>0.11341782184254035</c:v>
                </c:pt>
                <c:pt idx="1006">
                  <c:v>0.12307585903038576</c:v>
                </c:pt>
                <c:pt idx="1007">
                  <c:v>0.10626317983424061</c:v>
                </c:pt>
                <c:pt idx="1008">
                  <c:v>0.11709294347608901</c:v>
                </c:pt>
                <c:pt idx="1009">
                  <c:v>0.12551713702991307</c:v>
                </c:pt>
                <c:pt idx="1010">
                  <c:v>0.13075511332918088</c:v>
                </c:pt>
                <c:pt idx="1011">
                  <c:v>0.14857481236250991</c:v>
                </c:pt>
                <c:pt idx="1012">
                  <c:v>0.13318378694412281</c:v>
                </c:pt>
                <c:pt idx="1013">
                  <c:v>0.14208533303025761</c:v>
                </c:pt>
                <c:pt idx="1014">
                  <c:v>0.14769122531116463</c:v>
                </c:pt>
                <c:pt idx="1015">
                  <c:v>0.16932202487290504</c:v>
                </c:pt>
                <c:pt idx="1016">
                  <c:v>0.13492253674148658</c:v>
                </c:pt>
                <c:pt idx="1017">
                  <c:v>0.13914134808289913</c:v>
                </c:pt>
                <c:pt idx="1018">
                  <c:v>0.12826625265110936</c:v>
                </c:pt>
                <c:pt idx="1019">
                  <c:v>0.11712280310641754</c:v>
                </c:pt>
                <c:pt idx="1020">
                  <c:v>0.11619342741419048</c:v>
                </c:pt>
                <c:pt idx="1021">
                  <c:v>0.11667980774855513</c:v>
                </c:pt>
                <c:pt idx="1022">
                  <c:v>0.12385646210358248</c:v>
                </c:pt>
                <c:pt idx="1023">
                  <c:v>0.12196052207444308</c:v>
                </c:pt>
                <c:pt idx="1024">
                  <c:v>0.12004005969093234</c:v>
                </c:pt>
                <c:pt idx="1025">
                  <c:v>0.12132299471846064</c:v>
                </c:pt>
                <c:pt idx="1026">
                  <c:v>0.10369390081618812</c:v>
                </c:pt>
                <c:pt idx="1027">
                  <c:v>0.10904280732221339</c:v>
                </c:pt>
                <c:pt idx="1028">
                  <c:v>0.1122341265798863</c:v>
                </c:pt>
                <c:pt idx="1029">
                  <c:v>0.1115270600182916</c:v>
                </c:pt>
                <c:pt idx="1030">
                  <c:v>0.11136899386747823</c:v>
                </c:pt>
                <c:pt idx="1031">
                  <c:v>0.10613270666190022</c:v>
                </c:pt>
                <c:pt idx="1032">
                  <c:v>0.11778005487385146</c:v>
                </c:pt>
                <c:pt idx="1033">
                  <c:v>0.10769014026632706</c:v>
                </c:pt>
                <c:pt idx="1034">
                  <c:v>9.8515397947979366E-2</c:v>
                </c:pt>
                <c:pt idx="1035">
                  <c:v>0.10145103098802033</c:v>
                </c:pt>
                <c:pt idx="1036">
                  <c:v>7.4187368441474222E-2</c:v>
                </c:pt>
                <c:pt idx="1037">
                  <c:v>7.5446356081518173E-2</c:v>
                </c:pt>
                <c:pt idx="1038">
                  <c:v>4.4361332970861866E-2</c:v>
                </c:pt>
                <c:pt idx="1039">
                  <c:v>4.5635498962655952E-2</c:v>
                </c:pt>
                <c:pt idx="1040">
                  <c:v>4.8867127775050312E-2</c:v>
                </c:pt>
                <c:pt idx="1041">
                  <c:v>6.5551846954652326E-2</c:v>
                </c:pt>
                <c:pt idx="1042">
                  <c:v>6.195453674332696E-2</c:v>
                </c:pt>
                <c:pt idx="1043">
                  <c:v>7.0974580852436908E-2</c:v>
                </c:pt>
                <c:pt idx="1044">
                  <c:v>6.1141120025679951E-2</c:v>
                </c:pt>
                <c:pt idx="1045">
                  <c:v>5.4048889631725716E-2</c:v>
                </c:pt>
                <c:pt idx="1046">
                  <c:v>4.5170640759973235E-2</c:v>
                </c:pt>
                <c:pt idx="1047">
                  <c:v>4.1923136203529721E-2</c:v>
                </c:pt>
                <c:pt idx="1048">
                  <c:v>2.946041730121296E-2</c:v>
                </c:pt>
                <c:pt idx="1049">
                  <c:v>2.8322583156925818E-2</c:v>
                </c:pt>
                <c:pt idx="1050">
                  <c:v>3.0983031534889793E-2</c:v>
                </c:pt>
                <c:pt idx="1051">
                  <c:v>1.4486751278249832E-2</c:v>
                </c:pt>
                <c:pt idx="1052">
                  <c:v>1.6354862525767899E-2</c:v>
                </c:pt>
                <c:pt idx="1053">
                  <c:v>4.6587137809714907E-3</c:v>
                </c:pt>
                <c:pt idx="1054">
                  <c:v>1.1717119205313598E-2</c:v>
                </c:pt>
                <c:pt idx="1055">
                  <c:v>1.6615690458262611E-2</c:v>
                </c:pt>
                <c:pt idx="1056">
                  <c:v>1.6380717661578226E-2</c:v>
                </c:pt>
                <c:pt idx="1057">
                  <c:v>1.3469457073413738E-2</c:v>
                </c:pt>
                <c:pt idx="1058">
                  <c:v>2.1297504364489628E-2</c:v>
                </c:pt>
                <c:pt idx="1059">
                  <c:v>2.4007953521032022E-2</c:v>
                </c:pt>
                <c:pt idx="1060">
                  <c:v>3.3881619769731808E-2</c:v>
                </c:pt>
                <c:pt idx="1061">
                  <c:v>4.0061843609407788E-2</c:v>
                </c:pt>
                <c:pt idx="1062">
                  <c:v>3.3644049889648198E-2</c:v>
                </c:pt>
                <c:pt idx="1063">
                  <c:v>3.0222945926786426E-2</c:v>
                </c:pt>
                <c:pt idx="1064">
                  <c:v>2.2989154862490535E-2</c:v>
                </c:pt>
                <c:pt idx="1065">
                  <c:v>3.238711698169694E-2</c:v>
                </c:pt>
                <c:pt idx="1066">
                  <c:v>2.5868954654290732E-2</c:v>
                </c:pt>
                <c:pt idx="1067">
                  <c:v>2.6512855330970808E-2</c:v>
                </c:pt>
                <c:pt idx="1068">
                  <c:v>1.6820407652101022E-2</c:v>
                </c:pt>
                <c:pt idx="1069">
                  <c:v>2.3809100105541381E-2</c:v>
                </c:pt>
                <c:pt idx="1070">
                  <c:v>2.242417579510092E-2</c:v>
                </c:pt>
                <c:pt idx="1071">
                  <c:v>3.1924915148576538E-2</c:v>
                </c:pt>
                <c:pt idx="1072">
                  <c:v>3.6924604187058341E-2</c:v>
                </c:pt>
                <c:pt idx="1073">
                  <c:v>3.5948852853892488E-2</c:v>
                </c:pt>
                <c:pt idx="1074">
                  <c:v>4.327278165732884E-2</c:v>
                </c:pt>
                <c:pt idx="1075">
                  <c:v>4.8552367261937679E-2</c:v>
                </c:pt>
                <c:pt idx="1076">
                  <c:v>5.0444231717416743E-2</c:v>
                </c:pt>
                <c:pt idx="1077">
                  <c:v>3.9007194856397032E-2</c:v>
                </c:pt>
                <c:pt idx="1078">
                  <c:v>2.7932583175723336E-2</c:v>
                </c:pt>
                <c:pt idx="1079">
                  <c:v>1.7553086523376393E-2</c:v>
                </c:pt>
                <c:pt idx="1080">
                  <c:v>1.4681055314641256E-2</c:v>
                </c:pt>
                <c:pt idx="1081">
                  <c:v>1.1395742825332844E-2</c:v>
                </c:pt>
                <c:pt idx="1082">
                  <c:v>1.1325626640386277E-2</c:v>
                </c:pt>
                <c:pt idx="1083">
                  <c:v>1.6304228132445697E-2</c:v>
                </c:pt>
                <c:pt idx="1084">
                  <c:v>1.5534482750892975E-2</c:v>
                </c:pt>
                <c:pt idx="1085">
                  <c:v>1.806972950925001E-2</c:v>
                </c:pt>
                <c:pt idx="1086">
                  <c:v>1.245663574742939E-2</c:v>
                </c:pt>
                <c:pt idx="1087">
                  <c:v>8.4022666579821603E-3</c:v>
                </c:pt>
                <c:pt idx="1088">
                  <c:v>6.5504825336777373E-3</c:v>
                </c:pt>
                <c:pt idx="1089">
                  <c:v>6.4499536719118122E-3</c:v>
                </c:pt>
                <c:pt idx="1090">
                  <c:v>1.4083358701369342E-2</c:v>
                </c:pt>
                <c:pt idx="1091">
                  <c:v>1.157038596230775E-2</c:v>
                </c:pt>
                <c:pt idx="1092">
                  <c:v>7.2789072303252045E-3</c:v>
                </c:pt>
                <c:pt idx="1093">
                  <c:v>1.1869045704266723E-2</c:v>
                </c:pt>
                <c:pt idx="1094">
                  <c:v>1.042989209816203E-2</c:v>
                </c:pt>
                <c:pt idx="1095">
                  <c:v>-5.2817569888466975E-3</c:v>
                </c:pt>
                <c:pt idx="1096">
                  <c:v>-4.3493547876211069E-3</c:v>
                </c:pt>
                <c:pt idx="1097">
                  <c:v>9.0575869987641333E-4</c:v>
                </c:pt>
                <c:pt idx="1098">
                  <c:v>-1.9807196239178149E-2</c:v>
                </c:pt>
                <c:pt idx="1099">
                  <c:v>-4.6695349943485787E-2</c:v>
                </c:pt>
                <c:pt idx="1100">
                  <c:v>-2.9839970633665391E-2</c:v>
                </c:pt>
                <c:pt idx="1101">
                  <c:v>-2.9323744742530522E-2</c:v>
                </c:pt>
                <c:pt idx="1102">
                  <c:v>2.9553193231679487E-3</c:v>
                </c:pt>
                <c:pt idx="1103">
                  <c:v>-8.0410387242737524E-3</c:v>
                </c:pt>
                <c:pt idx="1104">
                  <c:v>4.9067781393108412E-4</c:v>
                </c:pt>
                <c:pt idx="1105">
                  <c:v>-4.1914660216663124E-3</c:v>
                </c:pt>
                <c:pt idx="1106">
                  <c:v>-2.552527230154289E-2</c:v>
                </c:pt>
                <c:pt idx="1107">
                  <c:v>-4.0170999994615819E-2</c:v>
                </c:pt>
                <c:pt idx="1108">
                  <c:v>-2.4863962604571466E-2</c:v>
                </c:pt>
                <c:pt idx="1109">
                  <c:v>-4.6443581180853899E-3</c:v>
                </c:pt>
                <c:pt idx="1110">
                  <c:v>-1.7155258067620638E-2</c:v>
                </c:pt>
                <c:pt idx="1111">
                  <c:v>-3.9519737476030325E-3</c:v>
                </c:pt>
                <c:pt idx="1112">
                  <c:v>6.2654756192770389E-3</c:v>
                </c:pt>
                <c:pt idx="1113">
                  <c:v>-7.4775895823715466E-3</c:v>
                </c:pt>
                <c:pt idx="1114">
                  <c:v>-1.8752821130093578E-3</c:v>
                </c:pt>
                <c:pt idx="1115">
                  <c:v>1.075591462030423E-2</c:v>
                </c:pt>
                <c:pt idx="1116">
                  <c:v>1.7013288207624822E-2</c:v>
                </c:pt>
                <c:pt idx="1117">
                  <c:v>3.2314981970400725E-2</c:v>
                </c:pt>
                <c:pt idx="1118">
                  <c:v>3.1443530015202725E-2</c:v>
                </c:pt>
                <c:pt idx="1119">
                  <c:v>2.3371652790796116E-2</c:v>
                </c:pt>
                <c:pt idx="1120">
                  <c:v>2.902199015781548E-2</c:v>
                </c:pt>
                <c:pt idx="1121">
                  <c:v>3.687699336027328E-2</c:v>
                </c:pt>
                <c:pt idx="1122">
                  <c:v>3.045100587716254E-2</c:v>
                </c:pt>
                <c:pt idx="1123">
                  <c:v>2.5392731652494227E-2</c:v>
                </c:pt>
                <c:pt idx="1124">
                  <c:v>2.031750769987406E-2</c:v>
                </c:pt>
                <c:pt idx="1125">
                  <c:v>3.1864927202090554E-2</c:v>
                </c:pt>
                <c:pt idx="1126">
                  <c:v>3.2009992484923533E-2</c:v>
                </c:pt>
                <c:pt idx="1127">
                  <c:v>3.9078316679220126E-2</c:v>
                </c:pt>
                <c:pt idx="1128">
                  <c:v>3.4117395260696126E-2</c:v>
                </c:pt>
                <c:pt idx="1129">
                  <c:v>1.6052553261246105E-2</c:v>
                </c:pt>
                <c:pt idx="1130">
                  <c:v>1.5614654724304566E-2</c:v>
                </c:pt>
                <c:pt idx="1131">
                  <c:v>1.8327875417760708E-2</c:v>
                </c:pt>
                <c:pt idx="1132">
                  <c:v>2.5048898619456139E-2</c:v>
                </c:pt>
                <c:pt idx="1133">
                  <c:v>1.9953327842491264E-2</c:v>
                </c:pt>
                <c:pt idx="1134">
                  <c:v>2.0632668540579102E-2</c:v>
                </c:pt>
                <c:pt idx="1135">
                  <c:v>1.80150670004946E-2</c:v>
                </c:pt>
                <c:pt idx="1136">
                  <c:v>2.4013013088246327E-2</c:v>
                </c:pt>
                <c:pt idx="1137">
                  <c:v>2.2202766902056359E-2</c:v>
                </c:pt>
                <c:pt idx="1138">
                  <c:v>1.8089109041907969E-2</c:v>
                </c:pt>
                <c:pt idx="1139">
                  <c:v>8.520005975869438E-4</c:v>
                </c:pt>
                <c:pt idx="1140">
                  <c:v>-3.4136551435594353E-2</c:v>
                </c:pt>
                <c:pt idx="1141">
                  <c:v>-3.5017268318719319E-2</c:v>
                </c:pt>
                <c:pt idx="1142">
                  <c:v>-2.1208703606097945E-2</c:v>
                </c:pt>
                <c:pt idx="1143">
                  <c:v>-1.3549788298269139E-2</c:v>
                </c:pt>
                <c:pt idx="1144">
                  <c:v>-1.9777937957531799E-2</c:v>
                </c:pt>
                <c:pt idx="1145">
                  <c:v>-1.3643879160649797E-2</c:v>
                </c:pt>
                <c:pt idx="1146">
                  <c:v>-5.8526379114340887E-3</c:v>
                </c:pt>
                <c:pt idx="1147">
                  <c:v>1.625317646975577E-2</c:v>
                </c:pt>
                <c:pt idx="1148">
                  <c:v>9.3663936162702299E-3</c:v>
                </c:pt>
                <c:pt idx="1149">
                  <c:v>1.6436678941181393E-2</c:v>
                </c:pt>
                <c:pt idx="1150">
                  <c:v>1.871926749195385E-2</c:v>
                </c:pt>
                <c:pt idx="1151">
                  <c:v>2.014447179490797E-2</c:v>
                </c:pt>
                <c:pt idx="1152">
                  <c:v>1.5928660672812622E-2</c:v>
                </c:pt>
                <c:pt idx="1153">
                  <c:v>2.0836726092358093E-2</c:v>
                </c:pt>
                <c:pt idx="1154">
                  <c:v>1.2015415807319796E-2</c:v>
                </c:pt>
                <c:pt idx="1155">
                  <c:v>1.2648806598921647E-2</c:v>
                </c:pt>
                <c:pt idx="1156">
                  <c:v>2.4680403576826659E-2</c:v>
                </c:pt>
                <c:pt idx="1157">
                  <c:v>2.30602899022887E-2</c:v>
                </c:pt>
                <c:pt idx="1158">
                  <c:v>2.4435510439267061E-2</c:v>
                </c:pt>
                <c:pt idx="1159">
                  <c:v>3.7691028374130076E-2</c:v>
                </c:pt>
                <c:pt idx="1160">
                  <c:v>3.7105091288369918E-2</c:v>
                </c:pt>
                <c:pt idx="1161">
                  <c:v>2.7099196055859975E-2</c:v>
                </c:pt>
                <c:pt idx="1162">
                  <c:v>6.0499743708414933E-2</c:v>
                </c:pt>
                <c:pt idx="1163">
                  <c:v>9.6986216575229545E-2</c:v>
                </c:pt>
                <c:pt idx="1164">
                  <c:v>0.10435511464649183</c:v>
                </c:pt>
                <c:pt idx="1165">
                  <c:v>0.10412984994098506</c:v>
                </c:pt>
                <c:pt idx="1166">
                  <c:v>8.8484543291236895E-2</c:v>
                </c:pt>
                <c:pt idx="1167">
                  <c:v>9.4533486397186062E-2</c:v>
                </c:pt>
                <c:pt idx="1168">
                  <c:v>9.7713261734735823E-2</c:v>
                </c:pt>
                <c:pt idx="1169">
                  <c:v>9.5830853856215814E-2</c:v>
                </c:pt>
                <c:pt idx="1170">
                  <c:v>0.1111681773675226</c:v>
                </c:pt>
                <c:pt idx="1171">
                  <c:v>0.10965109104167836</c:v>
                </c:pt>
                <c:pt idx="1172">
                  <c:v>0.10017015862698697</c:v>
                </c:pt>
                <c:pt idx="1173">
                  <c:v>8.7515200426524942E-2</c:v>
                </c:pt>
                <c:pt idx="1174">
                  <c:v>9.385072206124323E-2</c:v>
                </c:pt>
                <c:pt idx="1175">
                  <c:v>7.6073040073939335E-2</c:v>
                </c:pt>
                <c:pt idx="1176">
                  <c:v>7.622552025093654E-2</c:v>
                </c:pt>
                <c:pt idx="1177">
                  <c:v>9.0000372261294315E-2</c:v>
                </c:pt>
                <c:pt idx="1178">
                  <c:v>9.4458277775417709E-2</c:v>
                </c:pt>
                <c:pt idx="1179">
                  <c:v>9.6466555391239606E-2</c:v>
                </c:pt>
                <c:pt idx="1180">
                  <c:v>8.8394756615337355E-2</c:v>
                </c:pt>
                <c:pt idx="1181">
                  <c:v>7.9754650871102672E-2</c:v>
                </c:pt>
                <c:pt idx="1182">
                  <c:v>7.1005718340803048E-2</c:v>
                </c:pt>
                <c:pt idx="1183">
                  <c:v>5.6687290975155014E-2</c:v>
                </c:pt>
                <c:pt idx="1184">
                  <c:v>4.0047983184527958E-2</c:v>
                </c:pt>
                <c:pt idx="1185">
                  <c:v>4.4100464968405806E-2</c:v>
                </c:pt>
                <c:pt idx="1186">
                  <c:v>3.9548863309175175E-2</c:v>
                </c:pt>
                <c:pt idx="1187">
                  <c:v>5.4685768819572766E-2</c:v>
                </c:pt>
                <c:pt idx="1188">
                  <c:v>5.0396086326066403E-2</c:v>
                </c:pt>
                <c:pt idx="1189">
                  <c:v>3.9428975045085357E-2</c:v>
                </c:pt>
                <c:pt idx="1190">
                  <c:v>3.999286200145824E-2</c:v>
                </c:pt>
                <c:pt idx="1191">
                  <c:v>4.0569080999798945E-2</c:v>
                </c:pt>
                <c:pt idx="1192">
                  <c:v>5.7155333934836294E-2</c:v>
                </c:pt>
                <c:pt idx="1193">
                  <c:v>7.2483356056486592E-2</c:v>
                </c:pt>
                <c:pt idx="1194">
                  <c:v>6.5971141347154649E-2</c:v>
                </c:pt>
                <c:pt idx="1195">
                  <c:v>5.8009442962652313E-2</c:v>
                </c:pt>
                <c:pt idx="1196">
                  <c:v>5.6850137743197804E-2</c:v>
                </c:pt>
                <c:pt idx="1197">
                  <c:v>7.3026682036228197E-2</c:v>
                </c:pt>
                <c:pt idx="1198">
                  <c:v>7.3112036314929796E-2</c:v>
                </c:pt>
                <c:pt idx="1199">
                  <c:v>8.0807738919172811E-2</c:v>
                </c:pt>
                <c:pt idx="1200">
                  <c:v>7.6122210746870644E-2</c:v>
                </c:pt>
                <c:pt idx="1201">
                  <c:v>6.1523913865737967E-2</c:v>
                </c:pt>
                <c:pt idx="1202">
                  <c:v>5.711574788139262E-2</c:v>
                </c:pt>
                <c:pt idx="1203">
                  <c:v>8.1147742144801027E-2</c:v>
                </c:pt>
                <c:pt idx="1204">
                  <c:v>0.10829562226755507</c:v>
                </c:pt>
                <c:pt idx="1205">
                  <c:v>0.10416156300768731</c:v>
                </c:pt>
                <c:pt idx="1206">
                  <c:v>9.8823605307686302E-2</c:v>
                </c:pt>
                <c:pt idx="1207">
                  <c:v>9.2940877155214707E-2</c:v>
                </c:pt>
                <c:pt idx="1208">
                  <c:v>0.10809144278888905</c:v>
                </c:pt>
                <c:pt idx="1209">
                  <c:v>0.10196640082546926</c:v>
                </c:pt>
                <c:pt idx="1210">
                  <c:v>9.2853751725837874E-2</c:v>
                </c:pt>
                <c:pt idx="1211">
                  <c:v>7.1939315264442527E-2</c:v>
                </c:pt>
                <c:pt idx="1212">
                  <c:v>7.7449232219580111E-2</c:v>
                </c:pt>
                <c:pt idx="1213">
                  <c:v>6.8515756594760058E-2</c:v>
                </c:pt>
                <c:pt idx="1214">
                  <c:v>8.0333472287341667E-2</c:v>
                </c:pt>
                <c:pt idx="1215">
                  <c:v>7.9764743228908808E-2</c:v>
                </c:pt>
                <c:pt idx="1216">
                  <c:v>8.1424131636600228E-2</c:v>
                </c:pt>
                <c:pt idx="1217">
                  <c:v>7.3679200092690689E-2</c:v>
                </c:pt>
                <c:pt idx="1218">
                  <c:v>6.5064000987885562E-2</c:v>
                </c:pt>
                <c:pt idx="1219">
                  <c:v>7.2913323878634806E-2</c:v>
                </c:pt>
                <c:pt idx="1220">
                  <c:v>4.2349968641878233E-2</c:v>
                </c:pt>
                <c:pt idx="1221">
                  <c:v>4.9403594015908547E-2</c:v>
                </c:pt>
                <c:pt idx="1222">
                  <c:v>5.129916720051253E-2</c:v>
                </c:pt>
                <c:pt idx="1223">
                  <c:v>4.2336332151514E-2</c:v>
                </c:pt>
                <c:pt idx="1224">
                  <c:v>2.9324245286686645E-2</c:v>
                </c:pt>
                <c:pt idx="1225">
                  <c:v>3.6995622607791656E-2</c:v>
                </c:pt>
                <c:pt idx="1226">
                  <c:v>4.6420374557399446E-2</c:v>
                </c:pt>
                <c:pt idx="1227">
                  <c:v>4.8799988511786463E-2</c:v>
                </c:pt>
                <c:pt idx="1228">
                  <c:v>5.1443391030203678E-2</c:v>
                </c:pt>
                <c:pt idx="1229">
                  <c:v>4.6405957402787079E-2</c:v>
                </c:pt>
                <c:pt idx="1230">
                  <c:v>4.3290598398047608E-2</c:v>
                </c:pt>
                <c:pt idx="1231">
                  <c:v>5.533751632492856E-2</c:v>
                </c:pt>
                <c:pt idx="1232">
                  <c:v>6.2286618054566034E-2</c:v>
                </c:pt>
                <c:pt idx="1233">
                  <c:v>5.781543341478157E-2</c:v>
                </c:pt>
                <c:pt idx="1234">
                  <c:v>5.864226943613815E-2</c:v>
                </c:pt>
                <c:pt idx="1235">
                  <c:v>6.5821190406982755E-2</c:v>
                </c:pt>
                <c:pt idx="1236">
                  <c:v>5.7569138017559585E-2</c:v>
                </c:pt>
                <c:pt idx="1237">
                  <c:v>6.6723750760771416E-2</c:v>
                </c:pt>
                <c:pt idx="1238">
                  <c:v>5.9247837039764217E-2</c:v>
                </c:pt>
                <c:pt idx="1239">
                  <c:v>5.8114137364448482E-2</c:v>
                </c:pt>
                <c:pt idx="1240">
                  <c:v>2.1949098591775851E-2</c:v>
                </c:pt>
                <c:pt idx="1241">
                  <c:v>-4.9246918483702995E-4</c:v>
                </c:pt>
                <c:pt idx="1242">
                  <c:v>-1.0421792523271578E-2</c:v>
                </c:pt>
                <c:pt idx="1243">
                  <c:v>-4.6743947478973258E-2</c:v>
                </c:pt>
                <c:pt idx="1244">
                  <c:v>-8.2905428756435251E-2</c:v>
                </c:pt>
                <c:pt idx="1245">
                  <c:v>-8.0408688375113946E-2</c:v>
                </c:pt>
                <c:pt idx="1246">
                  <c:v>-6.425601175265383E-2</c:v>
                </c:pt>
                <c:pt idx="1247">
                  <c:v>-3.5530324821855364E-2</c:v>
                </c:pt>
                <c:pt idx="1248">
                  <c:v>-4.2379334833537285E-2</c:v>
                </c:pt>
                <c:pt idx="1249">
                  <c:v>-8.8195477942249245E-2</c:v>
                </c:pt>
                <c:pt idx="1250">
                  <c:v>-0.15597755426151394</c:v>
                </c:pt>
                <c:pt idx="1251">
                  <c:v>-0.17458014222450646</c:v>
                </c:pt>
                <c:pt idx="1252">
                  <c:v>-0.17903244141363173</c:v>
                </c:pt>
                <c:pt idx="1253">
                  <c:v>-0.27218719184893791</c:v>
                </c:pt>
                <c:pt idx="1254">
                  <c:v>-0.26327130026124113</c:v>
                </c:pt>
                <c:pt idx="1255">
                  <c:v>-0.30070264289734405</c:v>
                </c:pt>
                <c:pt idx="1256">
                  <c:v>-0.29069647120373765</c:v>
                </c:pt>
                <c:pt idx="1257">
                  <c:v>-0.3282625051692809</c:v>
                </c:pt>
                <c:pt idx="1258">
                  <c:v>-0.3027877253503396</c:v>
                </c:pt>
                <c:pt idx="1259">
                  <c:v>-0.29028579934259491</c:v>
                </c:pt>
                <c:pt idx="1260">
                  <c:v>-0.32146436724431326</c:v>
                </c:pt>
                <c:pt idx="1261">
                  <c:v>-0.26928956666074821</c:v>
                </c:pt>
                <c:pt idx="1262">
                  <c:v>-0.24596432038409788</c:v>
                </c:pt>
                <c:pt idx="1263">
                  <c:v>-0.2281574246698358</c:v>
                </c:pt>
                <c:pt idx="1264">
                  <c:v>-0.25552603214105207</c:v>
                </c:pt>
                <c:pt idx="1265">
                  <c:v>-0.23858647640134123</c:v>
                </c:pt>
                <c:pt idx="1266">
                  <c:v>-0.2258947929260845</c:v>
                </c:pt>
                <c:pt idx="1267">
                  <c:v>-0.25475819400193456</c:v>
                </c:pt>
                <c:pt idx="1268">
                  <c:v>-0.24935011320346046</c:v>
                </c:pt>
                <c:pt idx="1269">
                  <c:v>-0.2537837711947164</c:v>
                </c:pt>
                <c:pt idx="1270">
                  <c:v>-0.22814727475171737</c:v>
                </c:pt>
                <c:pt idx="1271">
                  <c:v>-0.2159579265056828</c:v>
                </c:pt>
                <c:pt idx="1272">
                  <c:v>-0.21835279142902131</c:v>
                </c:pt>
                <c:pt idx="1273">
                  <c:v>-0.20570073730164351</c:v>
                </c:pt>
                <c:pt idx="1274">
                  <c:v>-0.19932544671647923</c:v>
                </c:pt>
                <c:pt idx="1275">
                  <c:v>-0.22747591667651146</c:v>
                </c:pt>
                <c:pt idx="1276">
                  <c:v>-0.22317902591080663</c:v>
                </c:pt>
                <c:pt idx="1277">
                  <c:v>-0.20464425821123255</c:v>
                </c:pt>
                <c:pt idx="1278">
                  <c:v>-0.20699569412439511</c:v>
                </c:pt>
                <c:pt idx="1279">
                  <c:v>-0.23315150074141422</c:v>
                </c:pt>
                <c:pt idx="1280">
                  <c:v>-0.21736090634190719</c:v>
                </c:pt>
                <c:pt idx="1281">
                  <c:v>-0.20944009103307315</c:v>
                </c:pt>
                <c:pt idx="1282">
                  <c:v>-0.21270943549204424</c:v>
                </c:pt>
                <c:pt idx="1283">
                  <c:v>-0.20441187585126719</c:v>
                </c:pt>
                <c:pt idx="1284">
                  <c:v>-0.1721384154767388</c:v>
                </c:pt>
                <c:pt idx="1285">
                  <c:v>-0.16432663839027695</c:v>
                </c:pt>
                <c:pt idx="1286">
                  <c:v>-0.18575472951316141</c:v>
                </c:pt>
                <c:pt idx="1287">
                  <c:v>-0.18496450408305631</c:v>
                </c:pt>
                <c:pt idx="1288">
                  <c:v>-0.19633336722983274</c:v>
                </c:pt>
                <c:pt idx="1289">
                  <c:v>-0.18008352143814954</c:v>
                </c:pt>
                <c:pt idx="1290">
                  <c:v>-0.19614996693728359</c:v>
                </c:pt>
                <c:pt idx="1291">
                  <c:v>-0.19704492415989949</c:v>
                </c:pt>
                <c:pt idx="1292">
                  <c:v>-0.19679197111010471</c:v>
                </c:pt>
                <c:pt idx="1293">
                  <c:v>-0.19225013061126073</c:v>
                </c:pt>
                <c:pt idx="1294">
                  <c:v>-0.20878607543889804</c:v>
                </c:pt>
                <c:pt idx="1295">
                  <c:v>-0.23204411090158505</c:v>
                </c:pt>
                <c:pt idx="1296">
                  <c:v>-0.23361601748489969</c:v>
                </c:pt>
                <c:pt idx="1297">
                  <c:v>-0.20152138359701666</c:v>
                </c:pt>
                <c:pt idx="1298">
                  <c:v>-0.20573453051228019</c:v>
                </c:pt>
                <c:pt idx="1299">
                  <c:v>-0.2004741395154338</c:v>
                </c:pt>
                <c:pt idx="1300">
                  <c:v>-0.20343095925532539</c:v>
                </c:pt>
                <c:pt idx="1301">
                  <c:v>-0.21065264403781203</c:v>
                </c:pt>
                <c:pt idx="1302">
                  <c:v>-0.18403785821895435</c:v>
                </c:pt>
                <c:pt idx="1303">
                  <c:v>-0.17678589449591597</c:v>
                </c:pt>
                <c:pt idx="1304">
                  <c:v>-0.13137859617521508</c:v>
                </c:pt>
                <c:pt idx="1305">
                  <c:v>-0.129518669475574</c:v>
                </c:pt>
                <c:pt idx="1306">
                  <c:v>-0.12019337225128435</c:v>
                </c:pt>
                <c:pt idx="1307">
                  <c:v>-7.2774266732195225E-2</c:v>
                </c:pt>
                <c:pt idx="1308">
                  <c:v>-1.4602776985457533E-2</c:v>
                </c:pt>
                <c:pt idx="1309">
                  <c:v>-2.3391566630536875E-2</c:v>
                </c:pt>
                <c:pt idx="1310">
                  <c:v>-1.216362285527306E-2</c:v>
                </c:pt>
                <c:pt idx="1311">
                  <c:v>-2.8772956513464676E-2</c:v>
                </c:pt>
                <c:pt idx="1312">
                  <c:v>-2.6853556111508192E-2</c:v>
                </c:pt>
                <c:pt idx="1313">
                  <c:v>6.9290320366270919E-3</c:v>
                </c:pt>
                <c:pt idx="1314">
                  <c:v>4.5030276755841037E-2</c:v>
                </c:pt>
                <c:pt idx="1315">
                  <c:v>5.9105270123157361E-2</c:v>
                </c:pt>
                <c:pt idx="1316">
                  <c:v>6.4029741159735476E-2</c:v>
                </c:pt>
                <c:pt idx="1317">
                  <c:v>0.23778200701637608</c:v>
                </c:pt>
                <c:pt idx="1318">
                  <c:v>0.22928712896094816</c:v>
                </c:pt>
                <c:pt idx="1319">
                  <c:v>0.28147589181768207</c:v>
                </c:pt>
                <c:pt idx="1320">
                  <c:v>0.25846203761139019</c:v>
                </c:pt>
                <c:pt idx="1321">
                  <c:v>0.30087889995903905</c:v>
                </c:pt>
                <c:pt idx="1322">
                  <c:v>0.27766745272042748</c:v>
                </c:pt>
                <c:pt idx="1323">
                  <c:v>0.22142507452136861</c:v>
                </c:pt>
                <c:pt idx="1324">
                  <c:v>0.28494625607152146</c:v>
                </c:pt>
                <c:pt idx="1325">
                  <c:v>0.17892577435989443</c:v>
                </c:pt>
                <c:pt idx="1326">
                  <c:v>0.14793841166936783</c:v>
                </c:pt>
                <c:pt idx="1327">
                  <c:v>0.12066574348662762</c:v>
                </c:pt>
                <c:pt idx="1328">
                  <c:v>0.16226813073674662</c:v>
                </c:pt>
                <c:pt idx="1329">
                  <c:v>0.1692039158732721</c:v>
                </c:pt>
                <c:pt idx="1330">
                  <c:v>0.14147348179616648</c:v>
                </c:pt>
                <c:pt idx="1331">
                  <c:v>0.1935301771768958</c:v>
                </c:pt>
                <c:pt idx="1332">
                  <c:v>0.18069048631480289</c:v>
                </c:pt>
                <c:pt idx="1333">
                  <c:v>0.18457117607151918</c:v>
                </c:pt>
                <c:pt idx="1334">
                  <c:v>0.13401765618455053</c:v>
                </c:pt>
                <c:pt idx="1335">
                  <c:v>0.12418410571757965</c:v>
                </c:pt>
                <c:pt idx="1336">
                  <c:v>0.13589450136775172</c:v>
                </c:pt>
                <c:pt idx="1337">
                  <c:v>0.11074891734136716</c:v>
                </c:pt>
                <c:pt idx="1338">
                  <c:v>0.1228055723360244</c:v>
                </c:pt>
                <c:pt idx="1339">
                  <c:v>0.15497115974808917</c:v>
                </c:pt>
                <c:pt idx="1340">
                  <c:v>0.14992764488002641</c:v>
                </c:pt>
                <c:pt idx="1341">
                  <c:v>0.12849219465157224</c:v>
                </c:pt>
                <c:pt idx="1342">
                  <c:v>0.12452789342467518</c:v>
                </c:pt>
                <c:pt idx="1343">
                  <c:v>0.15367823322039653</c:v>
                </c:pt>
                <c:pt idx="1344">
                  <c:v>0.13278784414751321</c:v>
                </c:pt>
                <c:pt idx="1345">
                  <c:v>0.10352204140881649</c:v>
                </c:pt>
                <c:pt idx="1346">
                  <c:v>0.11183703397803035</c:v>
                </c:pt>
                <c:pt idx="1347">
                  <c:v>9.5355229914098061E-2</c:v>
                </c:pt>
                <c:pt idx="1348">
                  <c:v>7.6249824884920825E-2</c:v>
                </c:pt>
                <c:pt idx="1349">
                  <c:v>3.423020475258709E-2</c:v>
                </c:pt>
                <c:pt idx="1350">
                  <c:v>4.6551018779061648E-2</c:v>
                </c:pt>
                <c:pt idx="1351">
                  <c:v>7.7838643412413866E-2</c:v>
                </c:pt>
                <c:pt idx="1352">
                  <c:v>0.10512067015447224</c:v>
                </c:pt>
                <c:pt idx="1353">
                  <c:v>8.5586056684506584E-2</c:v>
                </c:pt>
                <c:pt idx="1354">
                  <c:v>8.2114338603542336E-2</c:v>
                </c:pt>
                <c:pt idx="1355">
                  <c:v>7.2809578882644388E-2</c:v>
                </c:pt>
                <c:pt idx="1356">
                  <c:v>7.1229683093180007E-2</c:v>
                </c:pt>
                <c:pt idx="1357">
                  <c:v>8.631022864546134E-2</c:v>
                </c:pt>
                <c:pt idx="1358">
                  <c:v>0.12155448079311992</c:v>
                </c:pt>
                <c:pt idx="1359">
                  <c:v>0.13855516012758784</c:v>
                </c:pt>
                <c:pt idx="1360">
                  <c:v>0.11998473919301511</c:v>
                </c:pt>
                <c:pt idx="1361">
                  <c:v>7.8839319926101714E-2</c:v>
                </c:pt>
                <c:pt idx="1362">
                  <c:v>8.0765728162707884E-2</c:v>
                </c:pt>
                <c:pt idx="1363">
                  <c:v>7.7344493846788209E-2</c:v>
                </c:pt>
                <c:pt idx="1364">
                  <c:v>7.3902399541758479E-2</c:v>
                </c:pt>
                <c:pt idx="1365">
                  <c:v>7.2959931407834189E-2</c:v>
                </c:pt>
                <c:pt idx="1366">
                  <c:v>6.3542086572841106E-2</c:v>
                </c:pt>
                <c:pt idx="1367">
                  <c:v>5.6400063572298098E-2</c:v>
                </c:pt>
                <c:pt idx="1368">
                  <c:v>4.9303950127758123E-2</c:v>
                </c:pt>
                <c:pt idx="1369">
                  <c:v>5.8754372982515735E-2</c:v>
                </c:pt>
                <c:pt idx="1370">
                  <c:v>4.1742170167152759E-2</c:v>
                </c:pt>
                <c:pt idx="1371">
                  <c:v>1.9204510645809414E-2</c:v>
                </c:pt>
                <c:pt idx="1372">
                  <c:v>-9.8076617755677997E-3</c:v>
                </c:pt>
                <c:pt idx="1373">
                  <c:v>1.4033602576126292E-2</c:v>
                </c:pt>
                <c:pt idx="1374">
                  <c:v>-2.3194985220301723E-2</c:v>
                </c:pt>
                <c:pt idx="1375">
                  <c:v>-3.1622979083574476E-2</c:v>
                </c:pt>
                <c:pt idx="1376">
                  <c:v>-3.984316145088096E-3</c:v>
                </c:pt>
                <c:pt idx="1377">
                  <c:v>-1.1919721411001616E-2</c:v>
                </c:pt>
                <c:pt idx="1378">
                  <c:v>4.7220639067437231E-2</c:v>
                </c:pt>
                <c:pt idx="1379">
                  <c:v>3.8012026273961608E-2</c:v>
                </c:pt>
                <c:pt idx="1380">
                  <c:v>4.2592230664658226E-2</c:v>
                </c:pt>
                <c:pt idx="1381">
                  <c:v>1.4754269001098219E-2</c:v>
                </c:pt>
                <c:pt idx="1382">
                  <c:v>1.3767360331009559E-2</c:v>
                </c:pt>
                <c:pt idx="1383">
                  <c:v>2.7096235941765912E-2</c:v>
                </c:pt>
                <c:pt idx="1384">
                  <c:v>1.5108005406646141E-2</c:v>
                </c:pt>
                <c:pt idx="1385">
                  <c:v>1.5830496058960586E-2</c:v>
                </c:pt>
                <c:pt idx="1386">
                  <c:v>-2.941694500131864E-2</c:v>
                </c:pt>
                <c:pt idx="1387">
                  <c:v>5.7157819142239497E-4</c:v>
                </c:pt>
                <c:pt idx="1388">
                  <c:v>-1.2361800623832409E-3</c:v>
                </c:pt>
                <c:pt idx="1389">
                  <c:v>-7.2279166818330909E-3</c:v>
                </c:pt>
                <c:pt idx="1390">
                  <c:v>-1.2654164984182259E-2</c:v>
                </c:pt>
                <c:pt idx="1391">
                  <c:v>8.1014262836036632E-3</c:v>
                </c:pt>
                <c:pt idx="1392">
                  <c:v>5.1891798562242464E-4</c:v>
                </c:pt>
                <c:pt idx="1393">
                  <c:v>-2.057996924091865E-2</c:v>
                </c:pt>
                <c:pt idx="1394">
                  <c:v>-1.0616932360539622E-2</c:v>
                </c:pt>
                <c:pt idx="1395">
                  <c:v>-2.3582907231555761E-2</c:v>
                </c:pt>
                <c:pt idx="1396">
                  <c:v>-9.4648744470898771E-3</c:v>
                </c:pt>
                <c:pt idx="1397">
                  <c:v>-2.6578619788453217E-3</c:v>
                </c:pt>
                <c:pt idx="1398">
                  <c:v>3.8395288414152517E-3</c:v>
                </c:pt>
                <c:pt idx="1399">
                  <c:v>2.9249945517071385E-3</c:v>
                </c:pt>
                <c:pt idx="1400">
                  <c:v>-1.4729196723919369E-3</c:v>
                </c:pt>
                <c:pt idx="1401">
                  <c:v>1.2964202421022364E-2</c:v>
                </c:pt>
                <c:pt idx="1402">
                  <c:v>-9.1473217884512348E-3</c:v>
                </c:pt>
                <c:pt idx="1403">
                  <c:v>-5.5774209546862741E-3</c:v>
                </c:pt>
                <c:pt idx="1404">
                  <c:v>-2.7908958788491756E-2</c:v>
                </c:pt>
                <c:pt idx="1405">
                  <c:v>-2.1947209757884556E-2</c:v>
                </c:pt>
                <c:pt idx="1406">
                  <c:v>-2.7209388100250198E-2</c:v>
                </c:pt>
                <c:pt idx="1407">
                  <c:v>-2.0913413194149633E-2</c:v>
                </c:pt>
                <c:pt idx="1408">
                  <c:v>-3.4405308831036208E-2</c:v>
                </c:pt>
                <c:pt idx="1409">
                  <c:v>-1.8740422782239419E-2</c:v>
                </c:pt>
                <c:pt idx="1410">
                  <c:v>-8.9170181017228511E-3</c:v>
                </c:pt>
                <c:pt idx="1411">
                  <c:v>-2.9846270807691866E-2</c:v>
                </c:pt>
                <c:pt idx="1412">
                  <c:v>-3.8797572064898866E-2</c:v>
                </c:pt>
                <c:pt idx="1413">
                  <c:v>-4.6001030676792287E-2</c:v>
                </c:pt>
                <c:pt idx="1414">
                  <c:v>-3.7450689218726629E-2</c:v>
                </c:pt>
                <c:pt idx="1415">
                  <c:v>-5.5325678730917982E-2</c:v>
                </c:pt>
                <c:pt idx="1416">
                  <c:v>-3.9398788304766952E-2</c:v>
                </c:pt>
                <c:pt idx="1417">
                  <c:v>-2.1212201600153358E-2</c:v>
                </c:pt>
                <c:pt idx="1418">
                  <c:v>5.5851704515097467E-3</c:v>
                </c:pt>
                <c:pt idx="1419">
                  <c:v>1.2722410778566173E-2</c:v>
                </c:pt>
                <c:pt idx="1420">
                  <c:v>7.2020831586498968E-3</c:v>
                </c:pt>
                <c:pt idx="1421">
                  <c:v>3.1330479375982767E-2</c:v>
                </c:pt>
                <c:pt idx="1422">
                  <c:v>2.9158315544764557E-2</c:v>
                </c:pt>
                <c:pt idx="1423">
                  <c:v>4.6244782997752587E-2</c:v>
                </c:pt>
                <c:pt idx="1424">
                  <c:v>4.9881603044532596E-2</c:v>
                </c:pt>
                <c:pt idx="1425">
                  <c:v>4.6736907495208868E-2</c:v>
                </c:pt>
                <c:pt idx="1426">
                  <c:v>6.4971566104764289E-2</c:v>
                </c:pt>
                <c:pt idx="1427">
                  <c:v>5.558660525250736E-2</c:v>
                </c:pt>
                <c:pt idx="1428">
                  <c:v>7.1590739905020628E-2</c:v>
                </c:pt>
                <c:pt idx="1429">
                  <c:v>6.5298998058930913E-2</c:v>
                </c:pt>
                <c:pt idx="1430">
                  <c:v>5.3582548534966801E-2</c:v>
                </c:pt>
                <c:pt idx="1431">
                  <c:v>5.5149321848095845E-2</c:v>
                </c:pt>
                <c:pt idx="1432">
                  <c:v>5.6714068221132008E-2</c:v>
                </c:pt>
                <c:pt idx="1433">
                  <c:v>6.2873610147365921E-2</c:v>
                </c:pt>
                <c:pt idx="1434">
                  <c:v>6.7258762948271267E-2</c:v>
                </c:pt>
                <c:pt idx="1435">
                  <c:v>7.8178298701960358E-2</c:v>
                </c:pt>
                <c:pt idx="1436">
                  <c:v>7.0959802164166419E-2</c:v>
                </c:pt>
                <c:pt idx="1437">
                  <c:v>6.0151565303103283E-2</c:v>
                </c:pt>
                <c:pt idx="1438">
                  <c:v>7.4527966228900011E-2</c:v>
                </c:pt>
                <c:pt idx="1439">
                  <c:v>8.6287316491437283E-2</c:v>
                </c:pt>
                <c:pt idx="1440">
                  <c:v>7.5602457951007063E-2</c:v>
                </c:pt>
                <c:pt idx="1441">
                  <c:v>8.4667443333832137E-2</c:v>
                </c:pt>
                <c:pt idx="1442">
                  <c:v>6.9143256166676714E-2</c:v>
                </c:pt>
                <c:pt idx="1443">
                  <c:v>7.8971643210504094E-2</c:v>
                </c:pt>
                <c:pt idx="1444">
                  <c:v>7.3189705439381303E-2</c:v>
                </c:pt>
                <c:pt idx="1445">
                  <c:v>6.3339822224021347E-2</c:v>
                </c:pt>
                <c:pt idx="1446">
                  <c:v>6.0438694253327263E-2</c:v>
                </c:pt>
                <c:pt idx="1447">
                  <c:v>5.6760145556307595E-2</c:v>
                </c:pt>
                <c:pt idx="1448">
                  <c:v>7.1537972772540703E-2</c:v>
                </c:pt>
                <c:pt idx="1449">
                  <c:v>8.1709388816788575E-2</c:v>
                </c:pt>
                <c:pt idx="1450">
                  <c:v>0.11377824100223699</c:v>
                </c:pt>
                <c:pt idx="1451">
                  <c:v>8.5202780123096344E-2</c:v>
                </c:pt>
                <c:pt idx="1452">
                  <c:v>9.1180019418757086E-2</c:v>
                </c:pt>
                <c:pt idx="1453">
                  <c:v>0.11397925546123822</c:v>
                </c:pt>
                <c:pt idx="1454">
                  <c:v>0.11623893083997405</c:v>
                </c:pt>
                <c:pt idx="1455">
                  <c:v>0.10726692338116872</c:v>
                </c:pt>
                <c:pt idx="1456">
                  <c:v>0.10962248366209226</c:v>
                </c:pt>
                <c:pt idx="1457">
                  <c:v>0.10802218764047522</c:v>
                </c:pt>
                <c:pt idx="1458">
                  <c:v>0.11361492663260031</c:v>
                </c:pt>
                <c:pt idx="1459">
                  <c:v>0.10882835907429778</c:v>
                </c:pt>
                <c:pt idx="1460">
                  <c:v>0.11534596275913178</c:v>
                </c:pt>
                <c:pt idx="1461">
                  <c:v>0.12037440855600301</c:v>
                </c:pt>
                <c:pt idx="1462">
                  <c:v>0.12912778447242634</c:v>
                </c:pt>
                <c:pt idx="1463">
                  <c:v>0.11314683003161385</c:v>
                </c:pt>
                <c:pt idx="1464">
                  <c:v>0.10766709243820594</c:v>
                </c:pt>
                <c:pt idx="1465">
                  <c:v>0.10110979993588121</c:v>
                </c:pt>
                <c:pt idx="1466">
                  <c:v>0.11488655684955296</c:v>
                </c:pt>
                <c:pt idx="1467">
                  <c:v>0.10501653601960514</c:v>
                </c:pt>
                <c:pt idx="1468">
                  <c:v>0.13054714975055215</c:v>
                </c:pt>
                <c:pt idx="1469">
                  <c:v>0.11391213336045647</c:v>
                </c:pt>
                <c:pt idx="1470">
                  <c:v>0.12438024419869742</c:v>
                </c:pt>
                <c:pt idx="1471">
                  <c:v>0.12759507428540684</c:v>
                </c:pt>
                <c:pt idx="1472">
                  <c:v>0.13652169826836769</c:v>
                </c:pt>
                <c:pt idx="1473">
                  <c:v>0.12863752865126332</c:v>
                </c:pt>
                <c:pt idx="1474">
                  <c:v>0.12773436112725878</c:v>
                </c:pt>
                <c:pt idx="1475">
                  <c:v>0.13492089909225369</c:v>
                </c:pt>
                <c:pt idx="1476">
                  <c:v>0.14618730242120015</c:v>
                </c:pt>
                <c:pt idx="1477">
                  <c:v>0.15818591950611438</c:v>
                </c:pt>
                <c:pt idx="1478">
                  <c:v>0.17378780509789982</c:v>
                </c:pt>
                <c:pt idx="1479">
                  <c:v>0.1865747326957492</c:v>
                </c:pt>
                <c:pt idx="1480">
                  <c:v>0.17153732462955595</c:v>
                </c:pt>
                <c:pt idx="1481">
                  <c:v>0.15158640306101834</c:v>
                </c:pt>
                <c:pt idx="1482">
                  <c:v>0.12848462646631265</c:v>
                </c:pt>
                <c:pt idx="1483">
                  <c:v>0.12100454513141012</c:v>
                </c:pt>
                <c:pt idx="1484">
                  <c:v>0.12265742176606143</c:v>
                </c:pt>
                <c:pt idx="1485">
                  <c:v>7.5727149028691709E-2</c:v>
                </c:pt>
                <c:pt idx="1486">
                  <c:v>6.9669169632093686E-2</c:v>
                </c:pt>
                <c:pt idx="1487">
                  <c:v>6.5821659754794037E-2</c:v>
                </c:pt>
                <c:pt idx="1488">
                  <c:v>8.9753294023120711E-2</c:v>
                </c:pt>
                <c:pt idx="1489">
                  <c:v>8.8680394849122157E-2</c:v>
                </c:pt>
                <c:pt idx="1490">
                  <c:v>6.8610669618689224E-2</c:v>
                </c:pt>
                <c:pt idx="1491">
                  <c:v>6.2744898589053744E-2</c:v>
                </c:pt>
                <c:pt idx="1492">
                  <c:v>6.3443559556786822E-2</c:v>
                </c:pt>
                <c:pt idx="1493">
                  <c:v>6.7090192514259961E-2</c:v>
                </c:pt>
                <c:pt idx="1494">
                  <c:v>5.7449267286963535E-2</c:v>
                </c:pt>
                <c:pt idx="1495">
                  <c:v>6.4139424610919926E-2</c:v>
                </c:pt>
                <c:pt idx="1496">
                  <c:v>5.0799056546531718E-2</c:v>
                </c:pt>
                <c:pt idx="1497">
                  <c:v>3.3840081166929714E-2</c:v>
                </c:pt>
                <c:pt idx="1498">
                  <c:v>5.3943812337553743E-2</c:v>
                </c:pt>
                <c:pt idx="1499">
                  <c:v>5.2225962308690477E-2</c:v>
                </c:pt>
                <c:pt idx="1500">
                  <c:v>6.3901307344406133E-2</c:v>
                </c:pt>
                <c:pt idx="1501">
                  <c:v>5.5275007999558312E-2</c:v>
                </c:pt>
                <c:pt idx="1502">
                  <c:v>4.7419961084813611E-2</c:v>
                </c:pt>
                <c:pt idx="1503">
                  <c:v>6.8949994178851615E-2</c:v>
                </c:pt>
                <c:pt idx="1504">
                  <c:v>6.9862103837781353E-2</c:v>
                </c:pt>
                <c:pt idx="1505">
                  <c:v>7.7596833255969777E-2</c:v>
                </c:pt>
                <c:pt idx="1506">
                  <c:v>8.0489192873785198E-2</c:v>
                </c:pt>
                <c:pt idx="1507">
                  <c:v>7.4571435777242012E-2</c:v>
                </c:pt>
                <c:pt idx="1508">
                  <c:v>7.8623716939340671E-2</c:v>
                </c:pt>
                <c:pt idx="1509">
                  <c:v>9.6385255514301216E-2</c:v>
                </c:pt>
                <c:pt idx="1510">
                  <c:v>8.8066786284922483E-2</c:v>
                </c:pt>
                <c:pt idx="1511">
                  <c:v>9.067339136625252E-2</c:v>
                </c:pt>
                <c:pt idx="1512">
                  <c:v>7.2923616152633874E-2</c:v>
                </c:pt>
                <c:pt idx="1513">
                  <c:v>7.2368639221805031E-2</c:v>
                </c:pt>
                <c:pt idx="1514">
                  <c:v>7.3319087589995613E-2</c:v>
                </c:pt>
                <c:pt idx="1515">
                  <c:v>9.9534757746392755E-2</c:v>
                </c:pt>
                <c:pt idx="1516">
                  <c:v>8.7163347966168425E-2</c:v>
                </c:pt>
                <c:pt idx="1517">
                  <c:v>8.579266668917862E-2</c:v>
                </c:pt>
                <c:pt idx="1518">
                  <c:v>8.6797001805014817E-2</c:v>
                </c:pt>
                <c:pt idx="1519">
                  <c:v>7.9501330666664316E-2</c:v>
                </c:pt>
                <c:pt idx="1520">
                  <c:v>8.017563804025829E-2</c:v>
                </c:pt>
                <c:pt idx="1521">
                  <c:v>8.9854402784342646E-2</c:v>
                </c:pt>
                <c:pt idx="1522">
                  <c:v>9.0008975133995639E-2</c:v>
                </c:pt>
                <c:pt idx="1523">
                  <c:v>8.9436221800548221E-2</c:v>
                </c:pt>
                <c:pt idx="1524">
                  <c:v>8.0914974848295573E-2</c:v>
                </c:pt>
                <c:pt idx="1525">
                  <c:v>7.6479046632536019E-2</c:v>
                </c:pt>
                <c:pt idx="1526">
                  <c:v>6.4744615265757144E-2</c:v>
                </c:pt>
                <c:pt idx="1527">
                  <c:v>7.218633513143291E-2</c:v>
                </c:pt>
                <c:pt idx="1528">
                  <c:v>7.3688004351412983E-2</c:v>
                </c:pt>
                <c:pt idx="1529">
                  <c:v>7.7980003221290284E-2</c:v>
                </c:pt>
                <c:pt idx="1530">
                  <c:v>8.0056148682498218E-2</c:v>
                </c:pt>
                <c:pt idx="1531">
                  <c:v>9.0909128551843077E-2</c:v>
                </c:pt>
                <c:pt idx="1532">
                  <c:v>6.8496854149959097E-2</c:v>
                </c:pt>
                <c:pt idx="1533">
                  <c:v>7.8026824865654154E-2</c:v>
                </c:pt>
                <c:pt idx="1534">
                  <c:v>7.7601315924745506E-2</c:v>
                </c:pt>
                <c:pt idx="1535">
                  <c:v>7.6059352003237102E-2</c:v>
                </c:pt>
                <c:pt idx="1536">
                  <c:v>8.4445592962798299E-2</c:v>
                </c:pt>
                <c:pt idx="1537">
                  <c:v>9.2647573640955549E-2</c:v>
                </c:pt>
                <c:pt idx="1538">
                  <c:v>8.6830356957873445E-2</c:v>
                </c:pt>
                <c:pt idx="1539">
                  <c:v>9.6351524038964964E-2</c:v>
                </c:pt>
                <c:pt idx="1540">
                  <c:v>9.3017604617362748E-2</c:v>
                </c:pt>
                <c:pt idx="1541">
                  <c:v>0.12067675338786721</c:v>
                </c:pt>
                <c:pt idx="1542">
                  <c:v>9.2018909688683648E-2</c:v>
                </c:pt>
                <c:pt idx="1543">
                  <c:v>9.8936713291813083E-2</c:v>
                </c:pt>
                <c:pt idx="1544">
                  <c:v>9.4721070785207528E-2</c:v>
                </c:pt>
                <c:pt idx="1545">
                  <c:v>9.8117545339571288E-2</c:v>
                </c:pt>
                <c:pt idx="1546">
                  <c:v>0.10003717042225602</c:v>
                </c:pt>
                <c:pt idx="1547">
                  <c:v>7.5069088615028035E-2</c:v>
                </c:pt>
                <c:pt idx="1548">
                  <c:v>7.968325100281759E-2</c:v>
                </c:pt>
                <c:pt idx="1549">
                  <c:v>8.0780042033892219E-2</c:v>
                </c:pt>
                <c:pt idx="1550">
                  <c:v>8.9528434157994496E-2</c:v>
                </c:pt>
                <c:pt idx="1551">
                  <c:v>8.2105719679784084E-2</c:v>
                </c:pt>
                <c:pt idx="1552">
                  <c:v>6.9088122518918826E-2</c:v>
                </c:pt>
                <c:pt idx="1553">
                  <c:v>5.3483603087217668E-2</c:v>
                </c:pt>
                <c:pt idx="1554">
                  <c:v>7.4683344421978548E-2</c:v>
                </c:pt>
                <c:pt idx="1555">
                  <c:v>8.9255365404618869E-2</c:v>
                </c:pt>
                <c:pt idx="1556">
                  <c:v>8.5771963955750596E-2</c:v>
                </c:pt>
                <c:pt idx="1557">
                  <c:v>9.0255921079250401E-2</c:v>
                </c:pt>
                <c:pt idx="1558">
                  <c:v>9.4876570011236172E-2</c:v>
                </c:pt>
                <c:pt idx="1559">
                  <c:v>9.2357598569265731E-2</c:v>
                </c:pt>
                <c:pt idx="1560">
                  <c:v>0.10146610152138757</c:v>
                </c:pt>
                <c:pt idx="1561">
                  <c:v>0.11453574756457385</c:v>
                </c:pt>
                <c:pt idx="1562">
                  <c:v>0.10277555949754857</c:v>
                </c:pt>
                <c:pt idx="1563">
                  <c:v>0.10399118630203086</c:v>
                </c:pt>
                <c:pt idx="1564">
                  <c:v>0.10243561598911421</c:v>
                </c:pt>
                <c:pt idx="1565">
                  <c:v>0.10855379570700108</c:v>
                </c:pt>
                <c:pt idx="1566">
                  <c:v>0.11971734456688488</c:v>
                </c:pt>
                <c:pt idx="1567">
                  <c:v>9.8152748207567919E-2</c:v>
                </c:pt>
                <c:pt idx="1568">
                  <c:v>9.1637951786236904E-2</c:v>
                </c:pt>
                <c:pt idx="1569">
                  <c:v>8.7770014873028934E-2</c:v>
                </c:pt>
                <c:pt idx="1570">
                  <c:v>8.9707639800931105E-2</c:v>
                </c:pt>
                <c:pt idx="1571">
                  <c:v>9.4214728748778898E-2</c:v>
                </c:pt>
                <c:pt idx="1572">
                  <c:v>9.6506864358493649E-2</c:v>
                </c:pt>
                <c:pt idx="1573">
                  <c:v>8.9671183302939328E-2</c:v>
                </c:pt>
                <c:pt idx="1574">
                  <c:v>9.3015151119126616E-2</c:v>
                </c:pt>
                <c:pt idx="1575">
                  <c:v>7.0124170746502568E-2</c:v>
                </c:pt>
                <c:pt idx="1576">
                  <c:v>8.6517690090950561E-2</c:v>
                </c:pt>
                <c:pt idx="1577">
                  <c:v>8.6797162463738697E-2</c:v>
                </c:pt>
                <c:pt idx="1578">
                  <c:v>8.1627332988669421E-2</c:v>
                </c:pt>
                <c:pt idx="1579">
                  <c:v>9.1344858794951689E-2</c:v>
                </c:pt>
                <c:pt idx="1580">
                  <c:v>9.2908118141877383E-2</c:v>
                </c:pt>
                <c:pt idx="1581">
                  <c:v>7.6049917329344074E-2</c:v>
                </c:pt>
                <c:pt idx="1582">
                  <c:v>7.7399412432894721E-2</c:v>
                </c:pt>
                <c:pt idx="1583">
                  <c:v>6.1780114518322993E-2</c:v>
                </c:pt>
                <c:pt idx="1584">
                  <c:v>7.093426147051729E-2</c:v>
                </c:pt>
                <c:pt idx="1585">
                  <c:v>6.7110149393413865E-2</c:v>
                </c:pt>
                <c:pt idx="1586">
                  <c:v>6.2969631524634195E-2</c:v>
                </c:pt>
                <c:pt idx="1587">
                  <c:v>5.9611441098808671E-2</c:v>
                </c:pt>
                <c:pt idx="1588">
                  <c:v>6.1328116134477195E-2</c:v>
                </c:pt>
                <c:pt idx="1589">
                  <c:v>4.2502130851579611E-2</c:v>
                </c:pt>
                <c:pt idx="1590">
                  <c:v>6.106006390688834E-2</c:v>
                </c:pt>
                <c:pt idx="1591">
                  <c:v>6.773015941590721E-2</c:v>
                </c:pt>
                <c:pt idx="1592">
                  <c:v>6.5971110139321665E-2</c:v>
                </c:pt>
                <c:pt idx="1593">
                  <c:v>6.0242662467770769E-2</c:v>
                </c:pt>
                <c:pt idx="1594">
                  <c:v>4.0311799443844443E-2</c:v>
                </c:pt>
                <c:pt idx="1595">
                  <c:v>3.6879236650435354E-2</c:v>
                </c:pt>
                <c:pt idx="1596">
                  <c:v>3.2698999287360753E-2</c:v>
                </c:pt>
                <c:pt idx="1597">
                  <c:v>3.0528119996681147E-2</c:v>
                </c:pt>
                <c:pt idx="1598">
                  <c:v>4.0470040149485298E-2</c:v>
                </c:pt>
                <c:pt idx="1599">
                  <c:v>4.679784319195357E-2</c:v>
                </c:pt>
                <c:pt idx="1600">
                  <c:v>5.6078340316294106E-2</c:v>
                </c:pt>
                <c:pt idx="1601">
                  <c:v>5.5690281357822391E-2</c:v>
                </c:pt>
                <c:pt idx="1602">
                  <c:v>4.9473691033055545E-2</c:v>
                </c:pt>
                <c:pt idx="1603">
                  <c:v>5.8810715870306174E-2</c:v>
                </c:pt>
                <c:pt idx="1604">
                  <c:v>6.7638288844092287E-2</c:v>
                </c:pt>
                <c:pt idx="1605">
                  <c:v>5.631640087261558E-2</c:v>
                </c:pt>
                <c:pt idx="1606">
                  <c:v>7.6984660871137756E-2</c:v>
                </c:pt>
                <c:pt idx="1607">
                  <c:v>5.94282164860922E-2</c:v>
                </c:pt>
                <c:pt idx="1608">
                  <c:v>6.5866019270161669E-2</c:v>
                </c:pt>
                <c:pt idx="1609">
                  <c:v>6.0651147330666122E-2</c:v>
                </c:pt>
                <c:pt idx="1610">
                  <c:v>5.9411345531327431E-2</c:v>
                </c:pt>
                <c:pt idx="1611">
                  <c:v>8.2939409760060423E-2</c:v>
                </c:pt>
                <c:pt idx="1612">
                  <c:v>8.2452729759790122E-2</c:v>
                </c:pt>
                <c:pt idx="1613">
                  <c:v>8.8152934656019033E-2</c:v>
                </c:pt>
                <c:pt idx="1614">
                  <c:v>7.7327308345028989E-2</c:v>
                </c:pt>
                <c:pt idx="1615">
                  <c:v>7.9314281401251074E-2</c:v>
                </c:pt>
                <c:pt idx="1616">
                  <c:v>7.1903952196183729E-2</c:v>
                </c:pt>
                <c:pt idx="1617">
                  <c:v>8.9631852296952363E-2</c:v>
                </c:pt>
                <c:pt idx="1618">
                  <c:v>7.6267005909810948E-2</c:v>
                </c:pt>
                <c:pt idx="1619">
                  <c:v>5.3974231250326188E-2</c:v>
                </c:pt>
                <c:pt idx="1620">
                  <c:v>5.5464591486362957E-2</c:v>
                </c:pt>
                <c:pt idx="1621">
                  <c:v>6.2445270140588427E-2</c:v>
                </c:pt>
                <c:pt idx="1622">
                  <c:v>6.2186136363465927E-2</c:v>
                </c:pt>
                <c:pt idx="1623">
                  <c:v>5.9559180168904158E-2</c:v>
                </c:pt>
                <c:pt idx="1624">
                  <c:v>5.0198634377039086E-2</c:v>
                </c:pt>
                <c:pt idx="1625">
                  <c:v>5.9999043232439098E-2</c:v>
                </c:pt>
                <c:pt idx="1626">
                  <c:v>4.8481314045276003E-2</c:v>
                </c:pt>
                <c:pt idx="1627">
                  <c:v>5.0136749362101218E-2</c:v>
                </c:pt>
                <c:pt idx="1628">
                  <c:v>5.4451186957289011E-2</c:v>
                </c:pt>
                <c:pt idx="1629">
                  <c:v>4.4477236810237741E-2</c:v>
                </c:pt>
                <c:pt idx="1630">
                  <c:v>4.882162494407627E-2</c:v>
                </c:pt>
                <c:pt idx="1631">
                  <c:v>4.3324941098856318E-2</c:v>
                </c:pt>
                <c:pt idx="1632">
                  <c:v>3.1513544671125659E-2</c:v>
                </c:pt>
                <c:pt idx="1633">
                  <c:v>2.9496033046821024E-2</c:v>
                </c:pt>
                <c:pt idx="1634">
                  <c:v>2.0100526306204403E-2</c:v>
                </c:pt>
                <c:pt idx="1635">
                  <c:v>2.1330060436140608E-2</c:v>
                </c:pt>
                <c:pt idx="1636">
                  <c:v>1.9414548119978781E-2</c:v>
                </c:pt>
                <c:pt idx="1637">
                  <c:v>9.4595749364894122E-3</c:v>
                </c:pt>
                <c:pt idx="1638">
                  <c:v>1.4133507441758342E-2</c:v>
                </c:pt>
                <c:pt idx="1639">
                  <c:v>2.1516172673031519E-2</c:v>
                </c:pt>
                <c:pt idx="1640">
                  <c:v>-2.4508029286767208E-3</c:v>
                </c:pt>
                <c:pt idx="1641">
                  <c:v>5.671114742855643E-3</c:v>
                </c:pt>
                <c:pt idx="1642">
                  <c:v>2.2797169449125798E-2</c:v>
                </c:pt>
                <c:pt idx="1643">
                  <c:v>2.2801050351106023E-2</c:v>
                </c:pt>
                <c:pt idx="1644">
                  <c:v>1.2512237584917818E-2</c:v>
                </c:pt>
                <c:pt idx="1645">
                  <c:v>1.7650661341883644E-2</c:v>
                </c:pt>
                <c:pt idx="1646">
                  <c:v>-6.3003773078468273E-3</c:v>
                </c:pt>
                <c:pt idx="1647">
                  <c:v>7.7767487670246105E-3</c:v>
                </c:pt>
                <c:pt idx="1648">
                  <c:v>1.4152901015909158E-3</c:v>
                </c:pt>
                <c:pt idx="1649">
                  <c:v>-5.13633841876171E-3</c:v>
                </c:pt>
                <c:pt idx="1650">
                  <c:v>-1.2073862346124731E-2</c:v>
                </c:pt>
                <c:pt idx="1651">
                  <c:v>4.7541468653313768E-3</c:v>
                </c:pt>
                <c:pt idx="1652">
                  <c:v>-1.308935439769543E-2</c:v>
                </c:pt>
                <c:pt idx="1653">
                  <c:v>1.9979379596416491E-2</c:v>
                </c:pt>
                <c:pt idx="1654">
                  <c:v>4.1980080468186909E-3</c:v>
                </c:pt>
                <c:pt idx="1655">
                  <c:v>-1.691442212790939E-3</c:v>
                </c:pt>
                <c:pt idx="1656">
                  <c:v>-2.9496916510508564E-3</c:v>
                </c:pt>
                <c:pt idx="1657">
                  <c:v>3.9606772429263692E-3</c:v>
                </c:pt>
                <c:pt idx="1658">
                  <c:v>2.5539311625137229E-2</c:v>
                </c:pt>
                <c:pt idx="1659">
                  <c:v>3.6772982702366619E-2</c:v>
                </c:pt>
                <c:pt idx="1660">
                  <c:v>5.5694856697150463E-2</c:v>
                </c:pt>
                <c:pt idx="1661">
                  <c:v>5.3800118908058803E-2</c:v>
                </c:pt>
                <c:pt idx="1662">
                  <c:v>4.0230228640528054E-2</c:v>
                </c:pt>
                <c:pt idx="1663">
                  <c:v>3.4531185430396016E-2</c:v>
                </c:pt>
                <c:pt idx="1664">
                  <c:v>2.7803570964397339E-2</c:v>
                </c:pt>
                <c:pt idx="1665">
                  <c:v>2.9419819538592629E-2</c:v>
                </c:pt>
                <c:pt idx="1666">
                  <c:v>4.280851963542065E-2</c:v>
                </c:pt>
                <c:pt idx="1667">
                  <c:v>3.2121108435404944E-2</c:v>
                </c:pt>
                <c:pt idx="1668">
                  <c:v>2.9114383062445848E-2</c:v>
                </c:pt>
                <c:pt idx="1669">
                  <c:v>3.5070343819330496E-2</c:v>
                </c:pt>
                <c:pt idx="1670">
                  <c:v>3.684099119946338E-2</c:v>
                </c:pt>
                <c:pt idx="1671">
                  <c:v>3.5946512265540242E-2</c:v>
                </c:pt>
                <c:pt idx="1672">
                  <c:v>3.3831155982057215E-2</c:v>
                </c:pt>
                <c:pt idx="1673">
                  <c:v>3.3322532706755226E-2</c:v>
                </c:pt>
                <c:pt idx="1674">
                  <c:v>3.353285561391206E-2</c:v>
                </c:pt>
                <c:pt idx="1675">
                  <c:v>3.1666673151221181E-2</c:v>
                </c:pt>
                <c:pt idx="1676">
                  <c:v>2.6477918031111214E-2</c:v>
                </c:pt>
                <c:pt idx="1677">
                  <c:v>2.4635705239273165E-2</c:v>
                </c:pt>
                <c:pt idx="1678">
                  <c:v>2.6020410129191207E-2</c:v>
                </c:pt>
                <c:pt idx="1679">
                  <c:v>2.716350692671865E-2</c:v>
                </c:pt>
                <c:pt idx="1680">
                  <c:v>3.6552626120218923E-2</c:v>
                </c:pt>
                <c:pt idx="1681">
                  <c:v>3.7473467694602247E-2</c:v>
                </c:pt>
                <c:pt idx="1682">
                  <c:v>3.853124333187341E-2</c:v>
                </c:pt>
                <c:pt idx="1683">
                  <c:v>4.9471519485692728E-2</c:v>
                </c:pt>
                <c:pt idx="1684">
                  <c:v>4.2026377960026728E-2</c:v>
                </c:pt>
                <c:pt idx="1685">
                  <c:v>3.4486968241815186E-2</c:v>
                </c:pt>
                <c:pt idx="1686">
                  <c:v>2.2094183638758258E-2</c:v>
                </c:pt>
                <c:pt idx="1687">
                  <c:v>2.3623103290547398E-2</c:v>
                </c:pt>
                <c:pt idx="1688">
                  <c:v>3.0950956408449803E-2</c:v>
                </c:pt>
                <c:pt idx="1689">
                  <c:v>-1.1283351679386655E-2</c:v>
                </c:pt>
                <c:pt idx="1690">
                  <c:v>-1.0462671579676286E-3</c:v>
                </c:pt>
                <c:pt idx="1691">
                  <c:v>-1.5082132060550979E-2</c:v>
                </c:pt>
                <c:pt idx="1692">
                  <c:v>-1.5049550531085476E-3</c:v>
                </c:pt>
                <c:pt idx="1693">
                  <c:v>-6.6507984911116091E-3</c:v>
                </c:pt>
                <c:pt idx="1694">
                  <c:v>-1.8645056930602033E-2</c:v>
                </c:pt>
                <c:pt idx="1695">
                  <c:v>-8.3124904939735345E-4</c:v>
                </c:pt>
                <c:pt idx="1696">
                  <c:v>3.3790503643798431E-2</c:v>
                </c:pt>
                <c:pt idx="1697">
                  <c:v>2.9277785652873423E-2</c:v>
                </c:pt>
                <c:pt idx="1698">
                  <c:v>3.0752619756871047E-2</c:v>
                </c:pt>
                <c:pt idx="1699">
                  <c:v>2.4824300619646467E-2</c:v>
                </c:pt>
                <c:pt idx="1700">
                  <c:v>2.0582538924858396E-2</c:v>
                </c:pt>
                <c:pt idx="1701">
                  <c:v>1.9885023621917242E-2</c:v>
                </c:pt>
                <c:pt idx="1702">
                  <c:v>1.8505709592157693E-2</c:v>
                </c:pt>
                <c:pt idx="1703">
                  <c:v>4.0801947936051075E-2</c:v>
                </c:pt>
                <c:pt idx="1704">
                  <c:v>5.1924695518037245E-2</c:v>
                </c:pt>
                <c:pt idx="1705">
                  <c:v>2.6753424071189524E-2</c:v>
                </c:pt>
                <c:pt idx="1706">
                  <c:v>3.1342450440457359E-2</c:v>
                </c:pt>
                <c:pt idx="1707">
                  <c:v>3.1029822500118431E-2</c:v>
                </c:pt>
                <c:pt idx="1708">
                  <c:v>5.0306893846504552E-2</c:v>
                </c:pt>
                <c:pt idx="1709">
                  <c:v>5.0507472602375314E-2</c:v>
                </c:pt>
                <c:pt idx="1710">
                  <c:v>7.8863189789128096E-2</c:v>
                </c:pt>
                <c:pt idx="1711">
                  <c:v>7.8577911845908899E-2</c:v>
                </c:pt>
                <c:pt idx="1712">
                  <c:v>7.7387653668826273E-2</c:v>
                </c:pt>
                <c:pt idx="1713">
                  <c:v>8.3414336920451859E-2</c:v>
                </c:pt>
                <c:pt idx="1714">
                  <c:v>8.5540024964344541E-2</c:v>
                </c:pt>
                <c:pt idx="1715">
                  <c:v>7.8396364462621992E-2</c:v>
                </c:pt>
                <c:pt idx="1716">
                  <c:v>9.9008344712040897E-2</c:v>
                </c:pt>
                <c:pt idx="1717">
                  <c:v>8.2115669840205241E-2</c:v>
                </c:pt>
                <c:pt idx="1718">
                  <c:v>7.1436178189460575E-2</c:v>
                </c:pt>
                <c:pt idx="1719">
                  <c:v>6.7177395716100374E-2</c:v>
                </c:pt>
                <c:pt idx="1720">
                  <c:v>5.3074411385997777E-2</c:v>
                </c:pt>
                <c:pt idx="1721">
                  <c:v>5.5497428931654103E-2</c:v>
                </c:pt>
                <c:pt idx="1722">
                  <c:v>5.0111146214909308E-2</c:v>
                </c:pt>
                <c:pt idx="1723">
                  <c:v>4.2374945978696399E-2</c:v>
                </c:pt>
                <c:pt idx="1724">
                  <c:v>3.8083821455516143E-2</c:v>
                </c:pt>
                <c:pt idx="1725">
                  <c:v>4.1985768339525276E-2</c:v>
                </c:pt>
                <c:pt idx="1726">
                  <c:v>2.9419345284791731E-2</c:v>
                </c:pt>
                <c:pt idx="1727">
                  <c:v>3.2259623985887886E-2</c:v>
                </c:pt>
                <c:pt idx="1728">
                  <c:v>3.2625911119744222E-2</c:v>
                </c:pt>
                <c:pt idx="1729">
                  <c:v>1.3375581123548974E-2</c:v>
                </c:pt>
                <c:pt idx="1730">
                  <c:v>-3.1579974150754753E-2</c:v>
                </c:pt>
                <c:pt idx="1731">
                  <c:v>-2.0681542158124788E-2</c:v>
                </c:pt>
                <c:pt idx="1732">
                  <c:v>-6.5933291515227754E-3</c:v>
                </c:pt>
                <c:pt idx="1733">
                  <c:v>-5.2879215784151778E-4</c:v>
                </c:pt>
                <c:pt idx="1734">
                  <c:v>-1.7837951182310907E-2</c:v>
                </c:pt>
                <c:pt idx="1735">
                  <c:v>-1.2742088627276438E-2</c:v>
                </c:pt>
                <c:pt idx="1736">
                  <c:v>-3.8707065588577949E-3</c:v>
                </c:pt>
                <c:pt idx="1737">
                  <c:v>-3.2084302946905341E-3</c:v>
                </c:pt>
                <c:pt idx="1738">
                  <c:v>-2.0649021160274672E-2</c:v>
                </c:pt>
                <c:pt idx="1739">
                  <c:v>-3.3332533358932381E-2</c:v>
                </c:pt>
                <c:pt idx="1740">
                  <c:v>-2.484679156853975E-2</c:v>
                </c:pt>
                <c:pt idx="1741">
                  <c:v>-2.7180098212591153E-2</c:v>
                </c:pt>
                <c:pt idx="1742">
                  <c:v>-1.4198162470241971E-2</c:v>
                </c:pt>
                <c:pt idx="1743">
                  <c:v>-1.948273878294926E-2</c:v>
                </c:pt>
                <c:pt idx="1744">
                  <c:v>-2.8249041728440005E-2</c:v>
                </c:pt>
                <c:pt idx="1745">
                  <c:v>-4.7566973898394149E-2</c:v>
                </c:pt>
                <c:pt idx="1746">
                  <c:v>-3.6039208344513352E-2</c:v>
                </c:pt>
                <c:pt idx="1747">
                  <c:v>-3.1010202068931125E-2</c:v>
                </c:pt>
                <c:pt idx="1748">
                  <c:v>-3.3240775360197317E-2</c:v>
                </c:pt>
                <c:pt idx="1749">
                  <c:v>-3.9924978870890526E-2</c:v>
                </c:pt>
                <c:pt idx="1750">
                  <c:v>-4.0382464232447735E-2</c:v>
                </c:pt>
                <c:pt idx="1751">
                  <c:v>-4.1127347203354203E-2</c:v>
                </c:pt>
                <c:pt idx="1752">
                  <c:v>-4.7242582986928405E-2</c:v>
                </c:pt>
                <c:pt idx="1753">
                  <c:v>-4.2187609210715959E-2</c:v>
                </c:pt>
                <c:pt idx="1754">
                  <c:v>-1.7337983714692196E-2</c:v>
                </c:pt>
                <c:pt idx="1755">
                  <c:v>-9.3542236105221832E-3</c:v>
                </c:pt>
                <c:pt idx="1756">
                  <c:v>-4.875475729451817E-2</c:v>
                </c:pt>
                <c:pt idx="1757">
                  <c:v>-2.9852904601172403E-2</c:v>
                </c:pt>
                <c:pt idx="1758">
                  <c:v>-4.3983584776272733E-2</c:v>
                </c:pt>
                <c:pt idx="1759">
                  <c:v>-9.0224856524602548E-2</c:v>
                </c:pt>
                <c:pt idx="1760">
                  <c:v>-0.12112585240107099</c:v>
                </c:pt>
                <c:pt idx="1761">
                  <c:v>-0.11997557034253425</c:v>
                </c:pt>
                <c:pt idx="1762">
                  <c:v>-7.8507253711376346E-2</c:v>
                </c:pt>
                <c:pt idx="1763">
                  <c:v>-9.09914403331058E-2</c:v>
                </c:pt>
                <c:pt idx="1764">
                  <c:v>-7.9020391706596138E-2</c:v>
                </c:pt>
                <c:pt idx="1765">
                  <c:v>-6.0778021702843854E-2</c:v>
                </c:pt>
                <c:pt idx="1766">
                  <c:v>-6.5364773249061203E-2</c:v>
                </c:pt>
                <c:pt idx="1767">
                  <c:v>-4.9320003034757476E-2</c:v>
                </c:pt>
                <c:pt idx="1768">
                  <c:v>-3.8601763755951257E-2</c:v>
                </c:pt>
                <c:pt idx="1769">
                  <c:v>-1.648790345373341E-2</c:v>
                </c:pt>
                <c:pt idx="1770">
                  <c:v>-2.9924989002775626E-2</c:v>
                </c:pt>
                <c:pt idx="1771">
                  <c:v>-3.0070749424690568E-2</c:v>
                </c:pt>
                <c:pt idx="1772">
                  <c:v>-4.8983720521605267E-2</c:v>
                </c:pt>
                <c:pt idx="1773">
                  <c:v>-4.964578811075937E-2</c:v>
                </c:pt>
                <c:pt idx="1774">
                  <c:v>-5.4353775444633712E-2</c:v>
                </c:pt>
                <c:pt idx="1775">
                  <c:v>-5.8797396219155584E-2</c:v>
                </c:pt>
                <c:pt idx="1776">
                  <c:v>-4.1367631806439764E-2</c:v>
                </c:pt>
                <c:pt idx="1777">
                  <c:v>-4.6170635712415975E-2</c:v>
                </c:pt>
                <c:pt idx="1778">
                  <c:v>-5.3228886175545553E-2</c:v>
                </c:pt>
                <c:pt idx="1779">
                  <c:v>-5.2607589884110184E-2</c:v>
                </c:pt>
                <c:pt idx="1780">
                  <c:v>-5.3147621030344316E-2</c:v>
                </c:pt>
                <c:pt idx="1781">
                  <c:v>-5.1933595746002537E-2</c:v>
                </c:pt>
                <c:pt idx="1782">
                  <c:v>-5.4096532829194688E-2</c:v>
                </c:pt>
                <c:pt idx="1783">
                  <c:v>-5.2710981259447953E-2</c:v>
                </c:pt>
                <c:pt idx="1784">
                  <c:v>-2.5900181257244248E-2</c:v>
                </c:pt>
                <c:pt idx="1785">
                  <c:v>-3.9352972708288636E-2</c:v>
                </c:pt>
                <c:pt idx="1786">
                  <c:v>-4.9043556627681673E-2</c:v>
                </c:pt>
                <c:pt idx="1787">
                  <c:v>-4.8867449735471302E-2</c:v>
                </c:pt>
                <c:pt idx="1788">
                  <c:v>-3.3808276871115872E-2</c:v>
                </c:pt>
                <c:pt idx="1789">
                  <c:v>-4.7231729250105436E-2</c:v>
                </c:pt>
                <c:pt idx="1790">
                  <c:v>-3.0953194818254537E-2</c:v>
                </c:pt>
                <c:pt idx="1791">
                  <c:v>-3.007209851423942E-2</c:v>
                </c:pt>
                <c:pt idx="1792">
                  <c:v>-5.1343768538726575E-2</c:v>
                </c:pt>
                <c:pt idx="1793">
                  <c:v>-5.1209905892360186E-2</c:v>
                </c:pt>
                <c:pt idx="1794">
                  <c:v>-2.2683679636238074E-2</c:v>
                </c:pt>
                <c:pt idx="1795">
                  <c:v>-2.1964947212281483E-2</c:v>
                </c:pt>
                <c:pt idx="1796">
                  <c:v>-3.1765949085560852E-2</c:v>
                </c:pt>
                <c:pt idx="1797">
                  <c:v>-3.1177228632661147E-2</c:v>
                </c:pt>
                <c:pt idx="1798">
                  <c:v>-3.4022250046327862E-2</c:v>
                </c:pt>
                <c:pt idx="1799">
                  <c:v>-3.528213599504415E-2</c:v>
                </c:pt>
                <c:pt idx="1800">
                  <c:v>-5.7181029370497849E-2</c:v>
                </c:pt>
                <c:pt idx="1801">
                  <c:v>-6.6790593876582371E-2</c:v>
                </c:pt>
                <c:pt idx="1802">
                  <c:v>-6.7765211871542719E-2</c:v>
                </c:pt>
                <c:pt idx="1803">
                  <c:v>-8.261604653529997E-2</c:v>
                </c:pt>
                <c:pt idx="1804">
                  <c:v>-8.2450520144621398E-2</c:v>
                </c:pt>
                <c:pt idx="1805">
                  <c:v>-6.6525075749145235E-2</c:v>
                </c:pt>
                <c:pt idx="1806">
                  <c:v>-8.8579419793354375E-2</c:v>
                </c:pt>
                <c:pt idx="1807">
                  <c:v>-6.7130770002565843E-2</c:v>
                </c:pt>
                <c:pt idx="1808">
                  <c:v>-6.1459180849084749E-2</c:v>
                </c:pt>
                <c:pt idx="1809">
                  <c:v>-3.2520377223010377E-2</c:v>
                </c:pt>
                <c:pt idx="1810">
                  <c:v>-5.6763843899429345E-2</c:v>
                </c:pt>
                <c:pt idx="1811">
                  <c:v>-6.996197931775805E-2</c:v>
                </c:pt>
                <c:pt idx="1812">
                  <c:v>-5.7233099523072206E-2</c:v>
                </c:pt>
                <c:pt idx="1813">
                  <c:v>-3.7267555148201681E-2</c:v>
                </c:pt>
                <c:pt idx="1814">
                  <c:v>-3.5318777066342122E-2</c:v>
                </c:pt>
                <c:pt idx="1815">
                  <c:v>-2.9667958777121806E-2</c:v>
                </c:pt>
                <c:pt idx="1816">
                  <c:v>-1.980117369656742E-2</c:v>
                </c:pt>
                <c:pt idx="1817">
                  <c:v>2.6825182833819072E-2</c:v>
                </c:pt>
                <c:pt idx="1818">
                  <c:v>3.7666738395669697E-4</c:v>
                </c:pt>
                <c:pt idx="1819">
                  <c:v>-5.4464182934411687E-3</c:v>
                </c:pt>
                <c:pt idx="1820">
                  <c:v>8.3627274379618477E-3</c:v>
                </c:pt>
                <c:pt idx="1821">
                  <c:v>1.1452203074991507E-2</c:v>
                </c:pt>
                <c:pt idx="1822">
                  <c:v>2.9367955159594228E-2</c:v>
                </c:pt>
                <c:pt idx="1823">
                  <c:v>6.1241183783972142E-2</c:v>
                </c:pt>
                <c:pt idx="1824">
                  <c:v>5.8344409362196981E-2</c:v>
                </c:pt>
                <c:pt idx="1825">
                  <c:v>3.5207094658756155E-2</c:v>
                </c:pt>
                <c:pt idx="1826">
                  <c:v>-3.3439627520508552E-2</c:v>
                </c:pt>
                <c:pt idx="1827">
                  <c:v>-2.9529114535411627E-2</c:v>
                </c:pt>
                <c:pt idx="1828">
                  <c:v>-2.4961911820230442E-2</c:v>
                </c:pt>
                <c:pt idx="1829">
                  <c:v>-5.900498894777495E-2</c:v>
                </c:pt>
                <c:pt idx="1830">
                  <c:v>-5.6848160076203968E-2</c:v>
                </c:pt>
                <c:pt idx="1831">
                  <c:v>-7.5080023555203157E-2</c:v>
                </c:pt>
                <c:pt idx="1832">
                  <c:v>-7.6725721584985918E-2</c:v>
                </c:pt>
                <c:pt idx="1833">
                  <c:v>-9.1380047343824655E-2</c:v>
                </c:pt>
                <c:pt idx="1834">
                  <c:v>-9.9234936499621673E-2</c:v>
                </c:pt>
                <c:pt idx="1835">
                  <c:v>-8.3188116725678718E-2</c:v>
                </c:pt>
                <c:pt idx="1836">
                  <c:v>-6.9266319360945849E-2</c:v>
                </c:pt>
                <c:pt idx="1837">
                  <c:v>-6.5100016204245548E-2</c:v>
                </c:pt>
                <c:pt idx="1838">
                  <c:v>-7.1191074450921543E-2</c:v>
                </c:pt>
                <c:pt idx="1839">
                  <c:v>-8.6435634245924708E-2</c:v>
                </c:pt>
                <c:pt idx="1840">
                  <c:v>-0.1016766734414617</c:v>
                </c:pt>
                <c:pt idx="1841">
                  <c:v>-9.2687987445934983E-2</c:v>
                </c:pt>
                <c:pt idx="1842">
                  <c:v>-0.10343546769896017</c:v>
                </c:pt>
                <c:pt idx="1843">
                  <c:v>-9.3886377417251921E-2</c:v>
                </c:pt>
                <c:pt idx="1844">
                  <c:v>-8.454124608386393E-2</c:v>
                </c:pt>
                <c:pt idx="1845">
                  <c:v>-8.1461538000882738E-2</c:v>
                </c:pt>
                <c:pt idx="1846">
                  <c:v>-7.2495722689457032E-2</c:v>
                </c:pt>
                <c:pt idx="1847">
                  <c:v>-6.6509376383762642E-2</c:v>
                </c:pt>
                <c:pt idx="1848">
                  <c:v>-8.8493047370810873E-2</c:v>
                </c:pt>
                <c:pt idx="1849">
                  <c:v>-9.743415903351027E-2</c:v>
                </c:pt>
                <c:pt idx="1850">
                  <c:v>-7.8209565680551485E-2</c:v>
                </c:pt>
                <c:pt idx="1851">
                  <c:v>-7.0118445292904341E-2</c:v>
                </c:pt>
                <c:pt idx="1852">
                  <c:v>-6.3469222979929629E-2</c:v>
                </c:pt>
                <c:pt idx="1853">
                  <c:v>-5.9321822535130964E-2</c:v>
                </c:pt>
                <c:pt idx="1854">
                  <c:v>-6.304789022720414E-2</c:v>
                </c:pt>
                <c:pt idx="1855">
                  <c:v>-6.3195966070954568E-2</c:v>
                </c:pt>
                <c:pt idx="1856">
                  <c:v>-4.526271024780093E-2</c:v>
                </c:pt>
                <c:pt idx="1857">
                  <c:v>-2.7569181214482263E-2</c:v>
                </c:pt>
                <c:pt idx="1858">
                  <c:v>-1.5094322954759321E-2</c:v>
                </c:pt>
                <c:pt idx="1859">
                  <c:v>-1.3033461728034434E-2</c:v>
                </c:pt>
                <c:pt idx="1860">
                  <c:v>-7.4159512228738622E-3</c:v>
                </c:pt>
                <c:pt idx="1861">
                  <c:v>-1.6598563442554171E-2</c:v>
                </c:pt>
                <c:pt idx="1862">
                  <c:v>-6.1876913594429706E-3</c:v>
                </c:pt>
                <c:pt idx="1863">
                  <c:v>-6.9751547071683628E-3</c:v>
                </c:pt>
                <c:pt idx="1864">
                  <c:v>5.1796245862640866E-3</c:v>
                </c:pt>
                <c:pt idx="1865">
                  <c:v>4.01709663345029E-3</c:v>
                </c:pt>
                <c:pt idx="1866">
                  <c:v>2.9770967710435636E-2</c:v>
                </c:pt>
                <c:pt idx="1867">
                  <c:v>5.3466754400954386E-2</c:v>
                </c:pt>
                <c:pt idx="1868">
                  <c:v>5.4011867711970973E-2</c:v>
                </c:pt>
                <c:pt idx="1869">
                  <c:v>3.7802808208609706E-2</c:v>
                </c:pt>
                <c:pt idx="1870">
                  <c:v>4.680271385063195E-2</c:v>
                </c:pt>
                <c:pt idx="1871">
                  <c:v>2.8996698957585387E-2</c:v>
                </c:pt>
                <c:pt idx="1872">
                  <c:v>2.9973472532188739E-2</c:v>
                </c:pt>
                <c:pt idx="1873">
                  <c:v>8.9223515856242663E-3</c:v>
                </c:pt>
                <c:pt idx="1874">
                  <c:v>2.5079164498624795E-2</c:v>
                </c:pt>
                <c:pt idx="1875">
                  <c:v>3.2006955609768628E-2</c:v>
                </c:pt>
                <c:pt idx="1876">
                  <c:v>1.5278516850420143E-2</c:v>
                </c:pt>
                <c:pt idx="1877">
                  <c:v>-2.3542348552219039E-3</c:v>
                </c:pt>
                <c:pt idx="1878">
                  <c:v>9.9021237110938909E-3</c:v>
                </c:pt>
                <c:pt idx="1879">
                  <c:v>6.9669005519414906E-3</c:v>
                </c:pt>
                <c:pt idx="1880">
                  <c:v>-1.7404020674054332E-2</c:v>
                </c:pt>
                <c:pt idx="1881">
                  <c:v>-4.5308867898326444E-2</c:v>
                </c:pt>
                <c:pt idx="1882">
                  <c:v>-6.2439467661318693E-2</c:v>
                </c:pt>
                <c:pt idx="1883">
                  <c:v>-7.2079753679674896E-2</c:v>
                </c:pt>
                <c:pt idx="1884">
                  <c:v>-4.4214954301639575E-2</c:v>
                </c:pt>
                <c:pt idx="1885">
                  <c:v>-6.0603262642622502E-2</c:v>
                </c:pt>
                <c:pt idx="1886">
                  <c:v>-5.6559317272661946E-2</c:v>
                </c:pt>
                <c:pt idx="1887">
                  <c:v>-5.7010417487832199E-2</c:v>
                </c:pt>
                <c:pt idx="1888">
                  <c:v>-3.9457412945813397E-2</c:v>
                </c:pt>
                <c:pt idx="1889">
                  <c:v>1.0004755487422745E-3</c:v>
                </c:pt>
                <c:pt idx="1890">
                  <c:v>4.2771081994500637E-2</c:v>
                </c:pt>
                <c:pt idx="1891">
                  <c:v>3.9988093695997984E-2</c:v>
                </c:pt>
                <c:pt idx="1892">
                  <c:v>1.739369216004083E-2</c:v>
                </c:pt>
                <c:pt idx="1893">
                  <c:v>3.5254861854488562E-2</c:v>
                </c:pt>
                <c:pt idx="1894">
                  <c:v>1.9202431551917032E-2</c:v>
                </c:pt>
                <c:pt idx="1895">
                  <c:v>-2.3966199109747288E-3</c:v>
                </c:pt>
                <c:pt idx="1896">
                  <c:v>2.8644138198543612E-3</c:v>
                </c:pt>
                <c:pt idx="1897">
                  <c:v>-7.752526390611969E-3</c:v>
                </c:pt>
                <c:pt idx="1898">
                  <c:v>-2.2719445932501747E-2</c:v>
                </c:pt>
                <c:pt idx="1899">
                  <c:v>-5.1768508593792228E-2</c:v>
                </c:pt>
                <c:pt idx="1900">
                  <c:v>-5.7353582392695501E-2</c:v>
                </c:pt>
                <c:pt idx="1901">
                  <c:v>-5.6697238801601046E-2</c:v>
                </c:pt>
                <c:pt idx="1902">
                  <c:v>-6.6685979995212974E-2</c:v>
                </c:pt>
                <c:pt idx="1903">
                  <c:v>-4.1116714343291338E-2</c:v>
                </c:pt>
                <c:pt idx="1904">
                  <c:v>-3.4041397012535612E-2</c:v>
                </c:pt>
                <c:pt idx="1905">
                  <c:v>-1.0025322193652153E-2</c:v>
                </c:pt>
                <c:pt idx="1906">
                  <c:v>1.4659760255246734E-3</c:v>
                </c:pt>
                <c:pt idx="1907">
                  <c:v>-2.125649207206326E-2</c:v>
                </c:pt>
                <c:pt idx="1908">
                  <c:v>-4.9895447977658547E-2</c:v>
                </c:pt>
                <c:pt idx="1909">
                  <c:v>-5.8736811666902589E-2</c:v>
                </c:pt>
                <c:pt idx="1910">
                  <c:v>-5.9523704012266476E-2</c:v>
                </c:pt>
                <c:pt idx="1911">
                  <c:v>-6.869527637289119E-2</c:v>
                </c:pt>
                <c:pt idx="1912">
                  <c:v>-5.1932974864993486E-2</c:v>
                </c:pt>
                <c:pt idx="1913">
                  <c:v>-3.2411443997022116E-2</c:v>
                </c:pt>
                <c:pt idx="1914">
                  <c:v>-3.1945443990343381E-2</c:v>
                </c:pt>
                <c:pt idx="1915">
                  <c:v>-3.7447823174610706E-2</c:v>
                </c:pt>
                <c:pt idx="1916">
                  <c:v>-5.5133123660026984E-2</c:v>
                </c:pt>
                <c:pt idx="1917">
                  <c:v>-5.0491166204886473E-2</c:v>
                </c:pt>
                <c:pt idx="1918">
                  <c:v>-5.9834025115404921E-2</c:v>
                </c:pt>
                <c:pt idx="1919">
                  <c:v>-4.9492010045052215E-2</c:v>
                </c:pt>
                <c:pt idx="1920">
                  <c:v>-3.7349288539375136E-2</c:v>
                </c:pt>
                <c:pt idx="1921">
                  <c:v>-3.2028414979727415E-2</c:v>
                </c:pt>
                <c:pt idx="1922">
                  <c:v>-3.6763554484214755E-2</c:v>
                </c:pt>
                <c:pt idx="1923">
                  <c:v>-4.5179287761555331E-2</c:v>
                </c:pt>
                <c:pt idx="1924">
                  <c:v>-5.3424999926916072E-2</c:v>
                </c:pt>
                <c:pt idx="1925">
                  <c:v>-4.6328733405520683E-2</c:v>
                </c:pt>
                <c:pt idx="1926">
                  <c:v>-4.6921589516644269E-2</c:v>
                </c:pt>
                <c:pt idx="1927">
                  <c:v>-5.9828201153630745E-2</c:v>
                </c:pt>
                <c:pt idx="1928">
                  <c:v>-4.4201608783216884E-2</c:v>
                </c:pt>
                <c:pt idx="1929">
                  <c:v>-3.4689011473006515E-2</c:v>
                </c:pt>
                <c:pt idx="1930">
                  <c:v>-3.4484230059718346E-2</c:v>
                </c:pt>
                <c:pt idx="1931">
                  <c:v>-3.1301389594828533E-2</c:v>
                </c:pt>
                <c:pt idx="1932">
                  <c:v>-1.2995723682294069E-2</c:v>
                </c:pt>
                <c:pt idx="1933">
                  <c:v>-1.3988339960173457E-2</c:v>
                </c:pt>
                <c:pt idx="1934">
                  <c:v>-1.3793466443787317E-2</c:v>
                </c:pt>
                <c:pt idx="1935">
                  <c:v>-1.3715281859132955E-2</c:v>
                </c:pt>
                <c:pt idx="1936">
                  <c:v>-2.4446589230501914E-2</c:v>
                </c:pt>
                <c:pt idx="1937">
                  <c:v>-1.9866437872270271E-2</c:v>
                </c:pt>
                <c:pt idx="1938">
                  <c:v>-1.3101877466844547E-2</c:v>
                </c:pt>
                <c:pt idx="1939">
                  <c:v>-7.2005525071618948E-3</c:v>
                </c:pt>
                <c:pt idx="1940">
                  <c:v>9.2765977508688646E-3</c:v>
                </c:pt>
                <c:pt idx="1941">
                  <c:v>1.9272237695246774E-2</c:v>
                </c:pt>
                <c:pt idx="1942">
                  <c:v>2.219990066084554E-2</c:v>
                </c:pt>
                <c:pt idx="1943">
                  <c:v>1.8833212992138471E-2</c:v>
                </c:pt>
                <c:pt idx="1944">
                  <c:v>2.9580351566286245E-2</c:v>
                </c:pt>
                <c:pt idx="1945">
                  <c:v>4.4273089355522099E-2</c:v>
                </c:pt>
                <c:pt idx="1946">
                  <c:v>6.4033699155638057E-2</c:v>
                </c:pt>
                <c:pt idx="1947">
                  <c:v>9.1760941070481827E-2</c:v>
                </c:pt>
                <c:pt idx="1948">
                  <c:v>6.8452566904179335E-2</c:v>
                </c:pt>
                <c:pt idx="1949">
                  <c:v>7.0187921729216063E-2</c:v>
                </c:pt>
                <c:pt idx="1950">
                  <c:v>6.2111266014839961E-2</c:v>
                </c:pt>
                <c:pt idx="1951">
                  <c:v>6.1698684766113621E-2</c:v>
                </c:pt>
                <c:pt idx="1952">
                  <c:v>5.4624408571259053E-2</c:v>
                </c:pt>
                <c:pt idx="1953">
                  <c:v>4.7760438524661719E-2</c:v>
                </c:pt>
                <c:pt idx="1954">
                  <c:v>2.466092257107344E-2</c:v>
                </c:pt>
                <c:pt idx="1955">
                  <c:v>5.3154129978337128E-2</c:v>
                </c:pt>
                <c:pt idx="1956">
                  <c:v>6.1629684376732108E-2</c:v>
                </c:pt>
                <c:pt idx="1957">
                  <c:v>3.8647745954965451E-2</c:v>
                </c:pt>
                <c:pt idx="1958">
                  <c:v>4.2532888649072342E-2</c:v>
                </c:pt>
                <c:pt idx="1959">
                  <c:v>5.7240800529210212E-2</c:v>
                </c:pt>
                <c:pt idx="1960">
                  <c:v>4.4010876858645576E-2</c:v>
                </c:pt>
                <c:pt idx="1961">
                  <c:v>8.078647334064315E-2</c:v>
                </c:pt>
                <c:pt idx="1962">
                  <c:v>9.594700195443151E-2</c:v>
                </c:pt>
                <c:pt idx="1963">
                  <c:v>0.10024106231182373</c:v>
                </c:pt>
                <c:pt idx="1964">
                  <c:v>0.10128917593691211</c:v>
                </c:pt>
                <c:pt idx="1965">
                  <c:v>0.10486051195906376</c:v>
                </c:pt>
                <c:pt idx="1966">
                  <c:v>0.10859573408581635</c:v>
                </c:pt>
                <c:pt idx="1967">
                  <c:v>0.12051096363171099</c:v>
                </c:pt>
                <c:pt idx="1968">
                  <c:v>0.12799004498805688</c:v>
                </c:pt>
                <c:pt idx="1969">
                  <c:v>9.2180558269337576E-2</c:v>
                </c:pt>
                <c:pt idx="1970">
                  <c:v>0.11528468964450811</c:v>
                </c:pt>
                <c:pt idx="1971">
                  <c:v>0.13243505461735761</c:v>
                </c:pt>
                <c:pt idx="1972">
                  <c:v>0.13838512411650394</c:v>
                </c:pt>
                <c:pt idx="1973">
                  <c:v>0.14726714461960699</c:v>
                </c:pt>
                <c:pt idx="1974">
                  <c:v>0.16112847706649069</c:v>
                </c:pt>
                <c:pt idx="1975">
                  <c:v>0.1726744631317676</c:v>
                </c:pt>
                <c:pt idx="1976">
                  <c:v>0.16915862571665796</c:v>
                </c:pt>
                <c:pt idx="1977">
                  <c:v>0.1679266756086657</c:v>
                </c:pt>
                <c:pt idx="1978">
                  <c:v>0.15024949753137573</c:v>
                </c:pt>
                <c:pt idx="1979">
                  <c:v>0.12877164390636353</c:v>
                </c:pt>
                <c:pt idx="1980">
                  <c:v>0.13822455387540922</c:v>
                </c:pt>
                <c:pt idx="1981">
                  <c:v>0.14151475901343558</c:v>
                </c:pt>
                <c:pt idx="1982">
                  <c:v>0.14521299859164527</c:v>
                </c:pt>
                <c:pt idx="1983">
                  <c:v>0.12690374015327288</c:v>
                </c:pt>
                <c:pt idx="1984">
                  <c:v>0.11501560175001768</c:v>
                </c:pt>
                <c:pt idx="1985">
                  <c:v>0.11071404333704971</c:v>
                </c:pt>
                <c:pt idx="1986">
                  <c:v>0.10973483396471795</c:v>
                </c:pt>
                <c:pt idx="1987">
                  <c:v>0.10532671657004844</c:v>
                </c:pt>
                <c:pt idx="1988">
                  <c:v>0.10084111146541308</c:v>
                </c:pt>
                <c:pt idx="1989">
                  <c:v>0.10806449507949822</c:v>
                </c:pt>
                <c:pt idx="1990">
                  <c:v>0.11607807410733084</c:v>
                </c:pt>
                <c:pt idx="1991">
                  <c:v>0.11789019255839794</c:v>
                </c:pt>
                <c:pt idx="1992">
                  <c:v>0.10000701993738548</c:v>
                </c:pt>
                <c:pt idx="1993">
                  <c:v>9.9699033703734674E-2</c:v>
                </c:pt>
                <c:pt idx="1994">
                  <c:v>9.8821030094310869E-2</c:v>
                </c:pt>
                <c:pt idx="1995">
                  <c:v>9.2231707658957829E-2</c:v>
                </c:pt>
                <c:pt idx="1996">
                  <c:v>7.3172414352847603E-2</c:v>
                </c:pt>
                <c:pt idx="1997">
                  <c:v>7.3532702686461393E-2</c:v>
                </c:pt>
                <c:pt idx="1998">
                  <c:v>7.6330876572037631E-2</c:v>
                </c:pt>
                <c:pt idx="1999">
                  <c:v>7.4917226587381425E-2</c:v>
                </c:pt>
                <c:pt idx="2000">
                  <c:v>8.303199124140126E-2</c:v>
                </c:pt>
                <c:pt idx="2001">
                  <c:v>8.8053399023197532E-2</c:v>
                </c:pt>
                <c:pt idx="2002">
                  <c:v>7.3872257380943385E-2</c:v>
                </c:pt>
                <c:pt idx="2003">
                  <c:v>7.1338333236512064E-2</c:v>
                </c:pt>
                <c:pt idx="2004">
                  <c:v>6.3960528284534801E-2</c:v>
                </c:pt>
                <c:pt idx="2005">
                  <c:v>4.6338272729416818E-2</c:v>
                </c:pt>
                <c:pt idx="2006">
                  <c:v>5.2638538155570291E-2</c:v>
                </c:pt>
                <c:pt idx="2007">
                  <c:v>4.8817587031583454E-2</c:v>
                </c:pt>
                <c:pt idx="2008">
                  <c:v>4.7616762949894031E-2</c:v>
                </c:pt>
                <c:pt idx="2009">
                  <c:v>5.4733649261520911E-2</c:v>
                </c:pt>
                <c:pt idx="2010">
                  <c:v>5.7020902198284817E-2</c:v>
                </c:pt>
                <c:pt idx="2011">
                  <c:v>4.7707460334515339E-2</c:v>
                </c:pt>
                <c:pt idx="2012">
                  <c:v>4.1683632743481747E-2</c:v>
                </c:pt>
                <c:pt idx="2013">
                  <c:v>4.6587900040050867E-2</c:v>
                </c:pt>
                <c:pt idx="2014">
                  <c:v>5.1186198803297556E-2</c:v>
                </c:pt>
                <c:pt idx="2015">
                  <c:v>4.408803389889826E-2</c:v>
                </c:pt>
                <c:pt idx="2016">
                  <c:v>2.118772183515194E-2</c:v>
                </c:pt>
                <c:pt idx="2017">
                  <c:v>2.8102137836899077E-2</c:v>
                </c:pt>
                <c:pt idx="2018">
                  <c:v>3.6005369502738471E-3</c:v>
                </c:pt>
                <c:pt idx="2019">
                  <c:v>3.8173193926942517E-3</c:v>
                </c:pt>
                <c:pt idx="2020">
                  <c:v>-7.7065311512006796E-3</c:v>
                </c:pt>
                <c:pt idx="2021">
                  <c:v>3.1260524354327357E-2</c:v>
                </c:pt>
                <c:pt idx="2022">
                  <c:v>5.7181346094644869E-2</c:v>
                </c:pt>
                <c:pt idx="2023">
                  <c:v>5.6794643881072027E-2</c:v>
                </c:pt>
                <c:pt idx="2024">
                  <c:v>5.8673649223274227E-2</c:v>
                </c:pt>
                <c:pt idx="2025">
                  <c:v>2.7704243779060445E-2</c:v>
                </c:pt>
                <c:pt idx="2026">
                  <c:v>4.8577413752231458E-2</c:v>
                </c:pt>
                <c:pt idx="2027">
                  <c:v>4.8064217599185444E-2</c:v>
                </c:pt>
                <c:pt idx="2028">
                  <c:v>6.1239378290771862E-2</c:v>
                </c:pt>
                <c:pt idx="2029">
                  <c:v>6.4950572329152134E-2</c:v>
                </c:pt>
                <c:pt idx="2030">
                  <c:v>8.6069817113570091E-2</c:v>
                </c:pt>
                <c:pt idx="2031">
                  <c:v>6.1957842800350216E-2</c:v>
                </c:pt>
                <c:pt idx="2032">
                  <c:v>4.6195002019069342E-2</c:v>
                </c:pt>
                <c:pt idx="2033">
                  <c:v>4.7115319282429402E-2</c:v>
                </c:pt>
                <c:pt idx="2034">
                  <c:v>4.1047869527308212E-2</c:v>
                </c:pt>
                <c:pt idx="2035">
                  <c:v>3.8320042206576144E-2</c:v>
                </c:pt>
                <c:pt idx="2036">
                  <c:v>4.6333890443546188E-2</c:v>
                </c:pt>
                <c:pt idx="2037">
                  <c:v>4.6865156001735908E-2</c:v>
                </c:pt>
                <c:pt idx="2038">
                  <c:v>4.627451921397352E-2</c:v>
                </c:pt>
                <c:pt idx="2039">
                  <c:v>4.0923348208188104E-2</c:v>
                </c:pt>
                <c:pt idx="2040">
                  <c:v>4.0014565873709662E-2</c:v>
                </c:pt>
                <c:pt idx="2041">
                  <c:v>3.4752649254380596E-2</c:v>
                </c:pt>
                <c:pt idx="2042">
                  <c:v>3.0944610708813824E-2</c:v>
                </c:pt>
                <c:pt idx="2043">
                  <c:v>5.0676169880522481E-2</c:v>
                </c:pt>
                <c:pt idx="2044">
                  <c:v>4.8216137453877206E-2</c:v>
                </c:pt>
                <c:pt idx="2045">
                  <c:v>3.9486706019997042E-2</c:v>
                </c:pt>
                <c:pt idx="2046">
                  <c:v>3.3439376633568996E-2</c:v>
                </c:pt>
                <c:pt idx="2047">
                  <c:v>3.8076733004506647E-2</c:v>
                </c:pt>
                <c:pt idx="2048">
                  <c:v>4.0559430282727682E-2</c:v>
                </c:pt>
                <c:pt idx="2049">
                  <c:v>3.8951299092389924E-2</c:v>
                </c:pt>
                <c:pt idx="2050">
                  <c:v>2.7917636138289348E-2</c:v>
                </c:pt>
                <c:pt idx="2051">
                  <c:v>3.4123944700667597E-2</c:v>
                </c:pt>
                <c:pt idx="2052">
                  <c:v>3.0581088014128177E-2</c:v>
                </c:pt>
                <c:pt idx="2053">
                  <c:v>2.9272324555538853E-2</c:v>
                </c:pt>
                <c:pt idx="2054">
                  <c:v>2.9078147780912555E-2</c:v>
                </c:pt>
                <c:pt idx="2055">
                  <c:v>3.4225429073557301E-2</c:v>
                </c:pt>
                <c:pt idx="2056">
                  <c:v>2.7817018037031183E-2</c:v>
                </c:pt>
                <c:pt idx="2057">
                  <c:v>2.6256243803776336E-2</c:v>
                </c:pt>
                <c:pt idx="2058">
                  <c:v>2.4208632685452702E-2</c:v>
                </c:pt>
                <c:pt idx="2059">
                  <c:v>3.6077677271035613E-2</c:v>
                </c:pt>
                <c:pt idx="2060">
                  <c:v>2.247589241300707E-2</c:v>
                </c:pt>
                <c:pt idx="2061">
                  <c:v>2.0082028718637179E-2</c:v>
                </c:pt>
                <c:pt idx="2062">
                  <c:v>2.05133922159495E-2</c:v>
                </c:pt>
                <c:pt idx="2063">
                  <c:v>2.4891141340909417E-2</c:v>
                </c:pt>
                <c:pt idx="2064">
                  <c:v>2.7473413762440391E-2</c:v>
                </c:pt>
                <c:pt idx="2065">
                  <c:v>2.0367945226529738E-2</c:v>
                </c:pt>
                <c:pt idx="2066">
                  <c:v>4.1320306614600621E-3</c:v>
                </c:pt>
                <c:pt idx="2067">
                  <c:v>4.1485188984460297E-3</c:v>
                </c:pt>
                <c:pt idx="2068">
                  <c:v>1.5431558858414629E-2</c:v>
                </c:pt>
                <c:pt idx="2069">
                  <c:v>2.5521678861051278E-2</c:v>
                </c:pt>
                <c:pt idx="2070">
                  <c:v>5.8530109681320663E-3</c:v>
                </c:pt>
                <c:pt idx="2071">
                  <c:v>-1.6028389604896276E-3</c:v>
                </c:pt>
                <c:pt idx="2072">
                  <c:v>1.3482109896942207E-2</c:v>
                </c:pt>
                <c:pt idx="2073">
                  <c:v>2.2190544760391617E-2</c:v>
                </c:pt>
                <c:pt idx="2074">
                  <c:v>7.9864606376456315E-3</c:v>
                </c:pt>
                <c:pt idx="2075">
                  <c:v>1.2295132403333131E-2</c:v>
                </c:pt>
                <c:pt idx="2076">
                  <c:v>1.7840519490359474E-2</c:v>
                </c:pt>
                <c:pt idx="2077">
                  <c:v>1.7115638879463324E-2</c:v>
                </c:pt>
                <c:pt idx="2078">
                  <c:v>1.6488982134839736E-2</c:v>
                </c:pt>
                <c:pt idx="2079">
                  <c:v>3.1753823722775021E-2</c:v>
                </c:pt>
                <c:pt idx="2080">
                  <c:v>6.2893007545387292E-2</c:v>
                </c:pt>
                <c:pt idx="2081">
                  <c:v>5.0645931480608697E-2</c:v>
                </c:pt>
                <c:pt idx="2082">
                  <c:v>8.0695690649412954E-2</c:v>
                </c:pt>
                <c:pt idx="2083">
                  <c:v>7.2775741705921826E-2</c:v>
                </c:pt>
                <c:pt idx="2084">
                  <c:v>7.4843347803571714E-2</c:v>
                </c:pt>
                <c:pt idx="2085">
                  <c:v>5.8253730261321301E-2</c:v>
                </c:pt>
                <c:pt idx="2086">
                  <c:v>3.9685252814809946E-2</c:v>
                </c:pt>
                <c:pt idx="2087">
                  <c:v>3.2521129862183473E-2</c:v>
                </c:pt>
                <c:pt idx="2088">
                  <c:v>3.1516210234161512E-2</c:v>
                </c:pt>
                <c:pt idx="2089">
                  <c:v>4.3632176569021075E-2</c:v>
                </c:pt>
                <c:pt idx="2090">
                  <c:v>3.3235544848430498E-2</c:v>
                </c:pt>
                <c:pt idx="2091">
                  <c:v>4.0520086958096391E-2</c:v>
                </c:pt>
                <c:pt idx="2092">
                  <c:v>2.8630512079943493E-2</c:v>
                </c:pt>
                <c:pt idx="2093">
                  <c:v>3.0131651594710096E-2</c:v>
                </c:pt>
                <c:pt idx="2094">
                  <c:v>2.1028258833836633E-2</c:v>
                </c:pt>
                <c:pt idx="2095">
                  <c:v>2.1629437870332113E-2</c:v>
                </c:pt>
                <c:pt idx="2096">
                  <c:v>1.5470377073625308E-2</c:v>
                </c:pt>
                <c:pt idx="2097">
                  <c:v>-7.6275647121154533E-3</c:v>
                </c:pt>
                <c:pt idx="2098">
                  <c:v>-1.2627904342483287E-2</c:v>
                </c:pt>
                <c:pt idx="2099">
                  <c:v>-1.6752659991946528E-2</c:v>
                </c:pt>
                <c:pt idx="2100">
                  <c:v>-1.1492259859426257E-2</c:v>
                </c:pt>
                <c:pt idx="2101">
                  <c:v>-1.1378111891551246E-3</c:v>
                </c:pt>
                <c:pt idx="2102">
                  <c:v>-4.6071074919795674E-4</c:v>
                </c:pt>
                <c:pt idx="2103">
                  <c:v>-1.2467397889447396E-3</c:v>
                </c:pt>
                <c:pt idx="2104">
                  <c:v>-1.134179484835951E-2</c:v>
                </c:pt>
                <c:pt idx="2105">
                  <c:v>-4.4859096427886103E-3</c:v>
                </c:pt>
                <c:pt idx="2106">
                  <c:v>-1.4824396721461186E-3</c:v>
                </c:pt>
                <c:pt idx="2107">
                  <c:v>-4.1668064548583406E-4</c:v>
                </c:pt>
                <c:pt idx="2108">
                  <c:v>1.8736576337221589E-3</c:v>
                </c:pt>
                <c:pt idx="2109">
                  <c:v>5.808529643235083E-3</c:v>
                </c:pt>
                <c:pt idx="2110">
                  <c:v>1.9016674000939648E-2</c:v>
                </c:pt>
                <c:pt idx="2111">
                  <c:v>1.1322953367297162E-2</c:v>
                </c:pt>
                <c:pt idx="2112">
                  <c:v>1.8821431946029143E-2</c:v>
                </c:pt>
                <c:pt idx="2113">
                  <c:v>1.6254121752502515E-2</c:v>
                </c:pt>
                <c:pt idx="2114">
                  <c:v>2.9706273898110425E-2</c:v>
                </c:pt>
                <c:pt idx="2115">
                  <c:v>1.7074320662351372E-2</c:v>
                </c:pt>
                <c:pt idx="2116">
                  <c:v>7.4509902667887484E-3</c:v>
                </c:pt>
                <c:pt idx="2117">
                  <c:v>-9.7635478060457137E-3</c:v>
                </c:pt>
                <c:pt idx="2118">
                  <c:v>-1.1026485692388843E-2</c:v>
                </c:pt>
                <c:pt idx="2119">
                  <c:v>-7.4743921657857149E-3</c:v>
                </c:pt>
                <c:pt idx="2120">
                  <c:v>-5.3242213942048533E-3</c:v>
                </c:pt>
                <c:pt idx="2121">
                  <c:v>-1.748972095347523E-3</c:v>
                </c:pt>
                <c:pt idx="2122">
                  <c:v>2.5908405278749491E-3</c:v>
                </c:pt>
                <c:pt idx="2123">
                  <c:v>-1.0867836753796656E-2</c:v>
                </c:pt>
                <c:pt idx="2124">
                  <c:v>-5.1322655262379113E-3</c:v>
                </c:pt>
                <c:pt idx="2125">
                  <c:v>-1.3308716987433411E-2</c:v>
                </c:pt>
                <c:pt idx="2126">
                  <c:v>-1.83237037995162E-2</c:v>
                </c:pt>
                <c:pt idx="2127">
                  <c:v>-3.2812766286055228E-2</c:v>
                </c:pt>
                <c:pt idx="2128">
                  <c:v>-3.9067309844674658E-2</c:v>
                </c:pt>
                <c:pt idx="2129">
                  <c:v>-3.2341935650123443E-2</c:v>
                </c:pt>
                <c:pt idx="2130">
                  <c:v>-8.1636171355212728E-3</c:v>
                </c:pt>
                <c:pt idx="2131">
                  <c:v>-1.0482248361955993E-3</c:v>
                </c:pt>
                <c:pt idx="2132">
                  <c:v>-1.6423549981016361E-2</c:v>
                </c:pt>
                <c:pt idx="2133">
                  <c:v>-1.5651901017949998E-2</c:v>
                </c:pt>
                <c:pt idx="2134">
                  <c:v>1.7432290785213134E-3</c:v>
                </c:pt>
                <c:pt idx="2135">
                  <c:v>2.2644797553867946E-2</c:v>
                </c:pt>
                <c:pt idx="2136">
                  <c:v>1.3073739106501225E-2</c:v>
                </c:pt>
                <c:pt idx="2137">
                  <c:v>-3.716749797093466E-3</c:v>
                </c:pt>
                <c:pt idx="2138">
                  <c:v>1.1051031017126345E-3</c:v>
                </c:pt>
                <c:pt idx="2139">
                  <c:v>-2.9061845403544062E-3</c:v>
                </c:pt>
                <c:pt idx="2140">
                  <c:v>-3.1860140210332455E-3</c:v>
                </c:pt>
                <c:pt idx="2141">
                  <c:v>-8.7151085226914171E-3</c:v>
                </c:pt>
                <c:pt idx="2142">
                  <c:v>-7.6919530754251397E-3</c:v>
                </c:pt>
                <c:pt idx="2143">
                  <c:v>-7.344234912644465E-3</c:v>
                </c:pt>
                <c:pt idx="2144">
                  <c:v>-9.795029380041731E-3</c:v>
                </c:pt>
                <c:pt idx="2145">
                  <c:v>-1.4868126098446233E-2</c:v>
                </c:pt>
                <c:pt idx="2146">
                  <c:v>-1.7213472633189508E-2</c:v>
                </c:pt>
                <c:pt idx="2147">
                  <c:v>-7.3981000349175874E-3</c:v>
                </c:pt>
                <c:pt idx="2148">
                  <c:v>4.9447333498764401E-3</c:v>
                </c:pt>
                <c:pt idx="2149">
                  <c:v>7.4265987534127831E-5</c:v>
                </c:pt>
                <c:pt idx="2150">
                  <c:v>4.3327420505632208E-3</c:v>
                </c:pt>
                <c:pt idx="2151">
                  <c:v>1.8114675612286968E-2</c:v>
                </c:pt>
                <c:pt idx="2152">
                  <c:v>7.9624652635779114E-3</c:v>
                </c:pt>
                <c:pt idx="2153">
                  <c:v>5.8567911452467314E-3</c:v>
                </c:pt>
                <c:pt idx="2154">
                  <c:v>-9.5799390785955563E-4</c:v>
                </c:pt>
                <c:pt idx="2155">
                  <c:v>-1.3546118529816686E-2</c:v>
                </c:pt>
                <c:pt idx="2156">
                  <c:v>-1.6521185852946596E-2</c:v>
                </c:pt>
                <c:pt idx="2157">
                  <c:v>-2.3985589781060801E-2</c:v>
                </c:pt>
                <c:pt idx="2158">
                  <c:v>-1.8614716715033341E-2</c:v>
                </c:pt>
                <c:pt idx="2159">
                  <c:v>-2.9129884805450978E-2</c:v>
                </c:pt>
                <c:pt idx="2160">
                  <c:v>-3.2641641012262745E-2</c:v>
                </c:pt>
                <c:pt idx="2161">
                  <c:v>-1.083071666372204E-2</c:v>
                </c:pt>
                <c:pt idx="2162">
                  <c:v>-8.6472513150435137E-3</c:v>
                </c:pt>
                <c:pt idx="2163">
                  <c:v>-2.3547850725021968E-3</c:v>
                </c:pt>
                <c:pt idx="2164">
                  <c:v>-1.1597609074352033E-2</c:v>
                </c:pt>
                <c:pt idx="2165">
                  <c:v>-7.0472498574417619E-3</c:v>
                </c:pt>
                <c:pt idx="2166">
                  <c:v>-1.1845318796147253E-2</c:v>
                </c:pt>
                <c:pt idx="2167">
                  <c:v>-9.6040442631742939E-3</c:v>
                </c:pt>
                <c:pt idx="2168">
                  <c:v>-1.2569033498729398E-2</c:v>
                </c:pt>
                <c:pt idx="2169">
                  <c:v>-1.6729550144393368E-2</c:v>
                </c:pt>
                <c:pt idx="2170">
                  <c:v>-1.9594018412510295E-2</c:v>
                </c:pt>
                <c:pt idx="2171">
                  <c:v>-3.4225688027822554E-2</c:v>
                </c:pt>
                <c:pt idx="2172">
                  <c:v>-4.877317789639668E-2</c:v>
                </c:pt>
                <c:pt idx="2173">
                  <c:v>-6.2366701215861964E-2</c:v>
                </c:pt>
                <c:pt idx="2174">
                  <c:v>-6.7856755499691612E-2</c:v>
                </c:pt>
                <c:pt idx="2175">
                  <c:v>-5.8371691079791455E-2</c:v>
                </c:pt>
                <c:pt idx="2176">
                  <c:v>-7.0141953285124625E-2</c:v>
                </c:pt>
                <c:pt idx="2177">
                  <c:v>-7.3105111269912371E-2</c:v>
                </c:pt>
                <c:pt idx="2178">
                  <c:v>-8.2329702635077773E-2</c:v>
                </c:pt>
                <c:pt idx="2179">
                  <c:v>-7.0993817467321141E-2</c:v>
                </c:pt>
                <c:pt idx="2180">
                  <c:v>-5.314146886159743E-2</c:v>
                </c:pt>
                <c:pt idx="2181">
                  <c:v>-4.0578863901930662E-2</c:v>
                </c:pt>
                <c:pt idx="2182">
                  <c:v>-2.8351200436078527E-2</c:v>
                </c:pt>
                <c:pt idx="2183">
                  <c:v>-2.8390312618518765E-2</c:v>
                </c:pt>
                <c:pt idx="2184">
                  <c:v>-2.7828854074079201E-2</c:v>
                </c:pt>
                <c:pt idx="2185">
                  <c:v>-3.3508919780243951E-2</c:v>
                </c:pt>
                <c:pt idx="2186">
                  <c:v>-3.95589510893819E-2</c:v>
                </c:pt>
                <c:pt idx="2187">
                  <c:v>-2.1057615764933924E-2</c:v>
                </c:pt>
                <c:pt idx="2188">
                  <c:v>-3.2201496761635195E-2</c:v>
                </c:pt>
                <c:pt idx="2189">
                  <c:v>-1.5557592126794417E-2</c:v>
                </c:pt>
                <c:pt idx="2190">
                  <c:v>-3.1837762925237545E-3</c:v>
                </c:pt>
                <c:pt idx="2191">
                  <c:v>9.2927406013472158E-3</c:v>
                </c:pt>
                <c:pt idx="2192">
                  <c:v>8.8100954216441263E-3</c:v>
                </c:pt>
                <c:pt idx="2193">
                  <c:v>1.7947860419287309E-2</c:v>
                </c:pt>
                <c:pt idx="2194">
                  <c:v>1.2124480657887737E-2</c:v>
                </c:pt>
                <c:pt idx="2195">
                  <c:v>7.5553435845781003E-3</c:v>
                </c:pt>
                <c:pt idx="2196">
                  <c:v>1.4438721034897961E-2</c:v>
                </c:pt>
                <c:pt idx="2197">
                  <c:v>1.7919854002661939E-2</c:v>
                </c:pt>
                <c:pt idx="2198">
                  <c:v>1.2466121707414901E-2</c:v>
                </c:pt>
                <c:pt idx="2199">
                  <c:v>-9.0130507085295353E-4</c:v>
                </c:pt>
                <c:pt idx="2200">
                  <c:v>-2.3001960252261311E-3</c:v>
                </c:pt>
                <c:pt idx="2201">
                  <c:v>4.1260919618069103E-3</c:v>
                </c:pt>
                <c:pt idx="2202">
                  <c:v>1.0350767351198442E-2</c:v>
                </c:pt>
                <c:pt idx="2203">
                  <c:v>2.0213942319904143E-2</c:v>
                </c:pt>
                <c:pt idx="2204">
                  <c:v>2.2117779321867204E-2</c:v>
                </c:pt>
                <c:pt idx="2205">
                  <c:v>3.1486119013625302E-2</c:v>
                </c:pt>
                <c:pt idx="2206">
                  <c:v>3.7457761210956786E-2</c:v>
                </c:pt>
                <c:pt idx="2207">
                  <c:v>3.2627282160929694E-2</c:v>
                </c:pt>
                <c:pt idx="2208">
                  <c:v>3.6889068127696989E-2</c:v>
                </c:pt>
                <c:pt idx="2209">
                  <c:v>4.1732975391011617E-2</c:v>
                </c:pt>
                <c:pt idx="2210">
                  <c:v>4.3318569067023693E-2</c:v>
                </c:pt>
                <c:pt idx="2211">
                  <c:v>2.7177656288675411E-2</c:v>
                </c:pt>
                <c:pt idx="2212">
                  <c:v>3.2379179038129147E-2</c:v>
                </c:pt>
                <c:pt idx="2213">
                  <c:v>4.368346863546213E-2</c:v>
                </c:pt>
                <c:pt idx="2214">
                  <c:v>4.1415358643605238E-2</c:v>
                </c:pt>
                <c:pt idx="2215">
                  <c:v>3.5759595503789265E-2</c:v>
                </c:pt>
                <c:pt idx="2216">
                  <c:v>5.112489345857818E-2</c:v>
                </c:pt>
                <c:pt idx="2217">
                  <c:v>5.2335175020664648E-2</c:v>
                </c:pt>
                <c:pt idx="2218">
                  <c:v>6.0388797948635498E-2</c:v>
                </c:pt>
                <c:pt idx="2219">
                  <c:v>6.8850926821439007E-2</c:v>
                </c:pt>
                <c:pt idx="2220">
                  <c:v>6.9783059551634441E-2</c:v>
                </c:pt>
                <c:pt idx="2221">
                  <c:v>6.8049725791604398E-2</c:v>
                </c:pt>
                <c:pt idx="2222">
                  <c:v>6.3514688562843258E-2</c:v>
                </c:pt>
                <c:pt idx="2223">
                  <c:v>6.5422645388964584E-2</c:v>
                </c:pt>
                <c:pt idx="2224">
                  <c:v>8.4361011347531711E-2</c:v>
                </c:pt>
                <c:pt idx="2225">
                  <c:v>8.2984765205259103E-2</c:v>
                </c:pt>
                <c:pt idx="2226">
                  <c:v>8.380595494463372E-2</c:v>
                </c:pt>
                <c:pt idx="2227">
                  <c:v>7.3275349250778055E-2</c:v>
                </c:pt>
                <c:pt idx="2228">
                  <c:v>7.3809921444163873E-2</c:v>
                </c:pt>
                <c:pt idx="2229">
                  <c:v>4.5534348886550058E-2</c:v>
                </c:pt>
                <c:pt idx="2230">
                  <c:v>5.2444021931949969E-2</c:v>
                </c:pt>
                <c:pt idx="2231">
                  <c:v>4.5500954849270192E-2</c:v>
                </c:pt>
                <c:pt idx="2232">
                  <c:v>5.3230875139833156E-2</c:v>
                </c:pt>
                <c:pt idx="2233">
                  <c:v>3.9717872097573936E-2</c:v>
                </c:pt>
                <c:pt idx="2234">
                  <c:v>4.6768269677543994E-2</c:v>
                </c:pt>
                <c:pt idx="2235">
                  <c:v>5.5133929502301227E-2</c:v>
                </c:pt>
                <c:pt idx="2236">
                  <c:v>7.5864816642063237E-2</c:v>
                </c:pt>
                <c:pt idx="2237">
                  <c:v>8.7642713230356106E-2</c:v>
                </c:pt>
                <c:pt idx="2238">
                  <c:v>0.1016951511837576</c:v>
                </c:pt>
                <c:pt idx="2239">
                  <c:v>0.10006839592893213</c:v>
                </c:pt>
                <c:pt idx="2240">
                  <c:v>0.11140898766890439</c:v>
                </c:pt>
                <c:pt idx="2241">
                  <c:v>0.11970731045997618</c:v>
                </c:pt>
                <c:pt idx="2242">
                  <c:v>0.13154700670727371</c:v>
                </c:pt>
                <c:pt idx="2243">
                  <c:v>0.12751140733513178</c:v>
                </c:pt>
                <c:pt idx="2244">
                  <c:v>0.1171741817422991</c:v>
                </c:pt>
                <c:pt idx="2245">
                  <c:v>0.1097775902606335</c:v>
                </c:pt>
                <c:pt idx="2246">
                  <c:v>9.2899751386285034E-2</c:v>
                </c:pt>
                <c:pt idx="2247">
                  <c:v>9.850938214464966E-2</c:v>
                </c:pt>
                <c:pt idx="2248">
                  <c:v>9.7195381120381841E-2</c:v>
                </c:pt>
                <c:pt idx="2249">
                  <c:v>9.7577017841228963E-2</c:v>
                </c:pt>
                <c:pt idx="2250">
                  <c:v>9.3876529508215123E-2</c:v>
                </c:pt>
                <c:pt idx="2251">
                  <c:v>9.0486728799806126E-2</c:v>
                </c:pt>
                <c:pt idx="2252">
                  <c:v>9.1321611484725285E-2</c:v>
                </c:pt>
                <c:pt idx="2253">
                  <c:v>8.8444522234603085E-2</c:v>
                </c:pt>
                <c:pt idx="2254">
                  <c:v>8.3080583505381389E-2</c:v>
                </c:pt>
                <c:pt idx="2255">
                  <c:v>8.5219784697503353E-2</c:v>
                </c:pt>
                <c:pt idx="2256">
                  <c:v>9.3986841766668716E-2</c:v>
                </c:pt>
                <c:pt idx="2257">
                  <c:v>8.2367022884994645E-2</c:v>
                </c:pt>
                <c:pt idx="2258">
                  <c:v>7.9302722514119628E-2</c:v>
                </c:pt>
                <c:pt idx="2259">
                  <c:v>8.8955029262304697E-2</c:v>
                </c:pt>
                <c:pt idx="2260">
                  <c:v>9.0440798600884609E-2</c:v>
                </c:pt>
                <c:pt idx="2261">
                  <c:v>8.3110184690799116E-2</c:v>
                </c:pt>
                <c:pt idx="2262">
                  <c:v>8.155726068099467E-2</c:v>
                </c:pt>
                <c:pt idx="2263">
                  <c:v>8.1695036797102549E-2</c:v>
                </c:pt>
                <c:pt idx="2264">
                  <c:v>8.5235728564141633E-2</c:v>
                </c:pt>
                <c:pt idx="2265">
                  <c:v>8.6750139770015E-2</c:v>
                </c:pt>
                <c:pt idx="2266">
                  <c:v>8.0034747881796875E-2</c:v>
                </c:pt>
                <c:pt idx="2267">
                  <c:v>6.7478878616362703E-2</c:v>
                </c:pt>
                <c:pt idx="2268">
                  <c:v>7.1673707142762444E-2</c:v>
                </c:pt>
                <c:pt idx="2269">
                  <c:v>8.0260168025182876E-2</c:v>
                </c:pt>
                <c:pt idx="2270">
                  <c:v>7.4969263017038212E-2</c:v>
                </c:pt>
                <c:pt idx="2271">
                  <c:v>7.4006483085972796E-2</c:v>
                </c:pt>
                <c:pt idx="2272">
                  <c:v>7.6743994780933855E-2</c:v>
                </c:pt>
                <c:pt idx="2273">
                  <c:v>7.5309574082646824E-2</c:v>
                </c:pt>
                <c:pt idx="2274">
                  <c:v>7.6075074198350245E-2</c:v>
                </c:pt>
                <c:pt idx="2275">
                  <c:v>7.2858319658551718E-2</c:v>
                </c:pt>
                <c:pt idx="2276">
                  <c:v>6.3032775990596646E-2</c:v>
                </c:pt>
                <c:pt idx="2277">
                  <c:v>6.5204741536857069E-2</c:v>
                </c:pt>
                <c:pt idx="2278">
                  <c:v>6.8258529547150726E-2</c:v>
                </c:pt>
                <c:pt idx="2279">
                  <c:v>7.4118622129720979E-2</c:v>
                </c:pt>
                <c:pt idx="2280">
                  <c:v>7.2814476751986712E-2</c:v>
                </c:pt>
                <c:pt idx="2281">
                  <c:v>7.5658169247649454E-2</c:v>
                </c:pt>
                <c:pt idx="2282">
                  <c:v>7.6321014842367862E-2</c:v>
                </c:pt>
                <c:pt idx="2283">
                  <c:v>7.5690590391394919E-2</c:v>
                </c:pt>
                <c:pt idx="2284">
                  <c:v>7.8828490319370559E-2</c:v>
                </c:pt>
                <c:pt idx="2285">
                  <c:v>7.6314808076251017E-2</c:v>
                </c:pt>
                <c:pt idx="2286">
                  <c:v>7.6835280754681712E-2</c:v>
                </c:pt>
                <c:pt idx="2287">
                  <c:v>7.7543329641818648E-2</c:v>
                </c:pt>
                <c:pt idx="2288">
                  <c:v>7.2973238159108611E-2</c:v>
                </c:pt>
                <c:pt idx="2289">
                  <c:v>7.7478891411955741E-2</c:v>
                </c:pt>
                <c:pt idx="2290">
                  <c:v>6.4874757007628236E-2</c:v>
                </c:pt>
                <c:pt idx="2291">
                  <c:v>7.1556693886785316E-2</c:v>
                </c:pt>
                <c:pt idx="2292">
                  <c:v>6.7109458937759658E-2</c:v>
                </c:pt>
                <c:pt idx="2293">
                  <c:v>7.6895093804346226E-2</c:v>
                </c:pt>
                <c:pt idx="2294">
                  <c:v>6.4620634788792986E-2</c:v>
                </c:pt>
                <c:pt idx="2295">
                  <c:v>7.2669788608424435E-2</c:v>
                </c:pt>
                <c:pt idx="2296">
                  <c:v>7.6132578232157577E-2</c:v>
                </c:pt>
                <c:pt idx="2297">
                  <c:v>7.2176599857900481E-2</c:v>
                </c:pt>
                <c:pt idx="2298">
                  <c:v>6.6431767389260044E-2</c:v>
                </c:pt>
                <c:pt idx="2299">
                  <c:v>7.1288755327092224E-2</c:v>
                </c:pt>
                <c:pt idx="2300">
                  <c:v>6.2689469770634387E-2</c:v>
                </c:pt>
                <c:pt idx="2301">
                  <c:v>7.3393271625209922E-2</c:v>
                </c:pt>
                <c:pt idx="2302">
                  <c:v>7.2816076556015963E-2</c:v>
                </c:pt>
                <c:pt idx="2303">
                  <c:v>6.5657624323471442E-2</c:v>
                </c:pt>
                <c:pt idx="2304">
                  <c:v>4.7474360689914841E-2</c:v>
                </c:pt>
                <c:pt idx="2305">
                  <c:v>5.7531513401599454E-2</c:v>
                </c:pt>
                <c:pt idx="2306">
                  <c:v>5.6388472086012387E-2</c:v>
                </c:pt>
                <c:pt idx="2307">
                  <c:v>5.0010801297173835E-2</c:v>
                </c:pt>
                <c:pt idx="2308">
                  <c:v>5.226628248442533E-2</c:v>
                </c:pt>
                <c:pt idx="2309">
                  <c:v>5.0316352559214073E-2</c:v>
                </c:pt>
                <c:pt idx="2310">
                  <c:v>5.5498484951024274E-2</c:v>
                </c:pt>
                <c:pt idx="2311">
                  <c:v>5.4459631254618168E-2</c:v>
                </c:pt>
                <c:pt idx="2312">
                  <c:v>6.968197506739493E-2</c:v>
                </c:pt>
                <c:pt idx="2313">
                  <c:v>7.4752463898066335E-2</c:v>
                </c:pt>
                <c:pt idx="2314">
                  <c:v>7.8824670561445931E-2</c:v>
                </c:pt>
                <c:pt idx="2315">
                  <c:v>8.202747269122157E-2</c:v>
                </c:pt>
                <c:pt idx="2316">
                  <c:v>9.2684109937852144E-2</c:v>
                </c:pt>
                <c:pt idx="2317">
                  <c:v>8.8823540650354804E-2</c:v>
                </c:pt>
                <c:pt idx="2318">
                  <c:v>8.7329495836950821E-2</c:v>
                </c:pt>
                <c:pt idx="2319">
                  <c:v>7.9273595849478129E-2</c:v>
                </c:pt>
                <c:pt idx="2320">
                  <c:v>7.6213159238401662E-2</c:v>
                </c:pt>
                <c:pt idx="2321">
                  <c:v>7.9799193849880101E-2</c:v>
                </c:pt>
                <c:pt idx="2322">
                  <c:v>8.0482602541877002E-2</c:v>
                </c:pt>
                <c:pt idx="2323">
                  <c:v>6.767013421144541E-2</c:v>
                </c:pt>
                <c:pt idx="2324">
                  <c:v>6.3994404250087511E-2</c:v>
                </c:pt>
                <c:pt idx="2325">
                  <c:v>6.5815037961824752E-2</c:v>
                </c:pt>
                <c:pt idx="2326">
                  <c:v>6.7238109516834621E-2</c:v>
                </c:pt>
                <c:pt idx="2327">
                  <c:v>6.4728149388306511E-2</c:v>
                </c:pt>
                <c:pt idx="2328">
                  <c:v>5.3576204721042853E-2</c:v>
                </c:pt>
                <c:pt idx="2329">
                  <c:v>5.3875900561335399E-2</c:v>
                </c:pt>
                <c:pt idx="2330">
                  <c:v>5.7560002296293211E-2</c:v>
                </c:pt>
                <c:pt idx="2331">
                  <c:v>6.3064354619015939E-2</c:v>
                </c:pt>
                <c:pt idx="2332">
                  <c:v>5.4407509681649646E-2</c:v>
                </c:pt>
                <c:pt idx="2333">
                  <c:v>5.115210238813539E-2</c:v>
                </c:pt>
                <c:pt idx="2334">
                  <c:v>5.8759277909692154E-2</c:v>
                </c:pt>
                <c:pt idx="2335">
                  <c:v>6.0683548669391962E-2</c:v>
                </c:pt>
                <c:pt idx="2336">
                  <c:v>4.7495192631023864E-2</c:v>
                </c:pt>
                <c:pt idx="2337">
                  <c:v>3.6247946931015074E-2</c:v>
                </c:pt>
                <c:pt idx="2338">
                  <c:v>4.8103905457761886E-2</c:v>
                </c:pt>
                <c:pt idx="2339">
                  <c:v>3.8356464541472235E-2</c:v>
                </c:pt>
                <c:pt idx="2340">
                  <c:v>3.0646661712200984E-2</c:v>
                </c:pt>
                <c:pt idx="2341">
                  <c:v>2.8879103543922202E-2</c:v>
                </c:pt>
                <c:pt idx="2342">
                  <c:v>3.5704930160957771E-2</c:v>
                </c:pt>
                <c:pt idx="2343">
                  <c:v>2.4793660695611619E-2</c:v>
                </c:pt>
                <c:pt idx="2344">
                  <c:v>3.3921238634087691E-2</c:v>
                </c:pt>
                <c:pt idx="2345">
                  <c:v>2.5770072881426076E-2</c:v>
                </c:pt>
                <c:pt idx="2346">
                  <c:v>3.0814010059860841E-2</c:v>
                </c:pt>
                <c:pt idx="2347">
                  <c:v>2.7614372940098608E-2</c:v>
                </c:pt>
                <c:pt idx="2348">
                  <c:v>2.0067526283157111E-2</c:v>
                </c:pt>
                <c:pt idx="2349">
                  <c:v>1.5477900830342284E-2</c:v>
                </c:pt>
                <c:pt idx="2350">
                  <c:v>1.3526562213266091E-2</c:v>
                </c:pt>
                <c:pt idx="2351">
                  <c:v>2.4284881598945374E-2</c:v>
                </c:pt>
                <c:pt idx="2352">
                  <c:v>1.7438075667003172E-2</c:v>
                </c:pt>
                <c:pt idx="2353">
                  <c:v>2.2851371169654744E-2</c:v>
                </c:pt>
                <c:pt idx="2354">
                  <c:v>3.7355794473397541E-2</c:v>
                </c:pt>
                <c:pt idx="2355">
                  <c:v>3.0475930630075254E-2</c:v>
                </c:pt>
                <c:pt idx="2356">
                  <c:v>3.5998388576909068E-2</c:v>
                </c:pt>
                <c:pt idx="2357">
                  <c:v>2.5146422669388491E-2</c:v>
                </c:pt>
                <c:pt idx="2358">
                  <c:v>3.7799774050419011E-2</c:v>
                </c:pt>
                <c:pt idx="2359">
                  <c:v>4.1198435818063484E-2</c:v>
                </c:pt>
                <c:pt idx="2360">
                  <c:v>4.9212583479938399E-2</c:v>
                </c:pt>
                <c:pt idx="2361">
                  <c:v>5.3792002367111902E-2</c:v>
                </c:pt>
                <c:pt idx="2362">
                  <c:v>5.0394298538033011E-2</c:v>
                </c:pt>
                <c:pt idx="2363">
                  <c:v>4.2921096621044263E-2</c:v>
                </c:pt>
                <c:pt idx="2364">
                  <c:v>4.109985928813642E-2</c:v>
                </c:pt>
                <c:pt idx="2365">
                  <c:v>2.5682496654271025E-2</c:v>
                </c:pt>
                <c:pt idx="2366">
                  <c:v>2.417014224321079E-2</c:v>
                </c:pt>
                <c:pt idx="2367">
                  <c:v>2.9415758275237236E-2</c:v>
                </c:pt>
                <c:pt idx="2368">
                  <c:v>2.9089783772577205E-2</c:v>
                </c:pt>
                <c:pt idx="2369">
                  <c:v>9.7693057902683567E-3</c:v>
                </c:pt>
                <c:pt idx="2370">
                  <c:v>1.7388337633367223E-2</c:v>
                </c:pt>
                <c:pt idx="2371">
                  <c:v>2.1711149060155144E-2</c:v>
                </c:pt>
                <c:pt idx="2372">
                  <c:v>2.7402514370192144E-2</c:v>
                </c:pt>
                <c:pt idx="2373">
                  <c:v>3.7588208245463273E-2</c:v>
                </c:pt>
                <c:pt idx="2374">
                  <c:v>2.025783134352066E-2</c:v>
                </c:pt>
                <c:pt idx="2375">
                  <c:v>-1.2505776896266307E-2</c:v>
                </c:pt>
                <c:pt idx="2376">
                  <c:v>-4.494109412719316E-2</c:v>
                </c:pt>
                <c:pt idx="2377">
                  <c:v>-4.546744660351798E-2</c:v>
                </c:pt>
                <c:pt idx="2378">
                  <c:v>-3.392498848796377E-2</c:v>
                </c:pt>
                <c:pt idx="2379">
                  <c:v>-4.010621072550169E-2</c:v>
                </c:pt>
                <c:pt idx="2380">
                  <c:v>-3.5358853608155494E-2</c:v>
                </c:pt>
                <c:pt idx="2381">
                  <c:v>-3.7173351348268602E-2</c:v>
                </c:pt>
                <c:pt idx="2382">
                  <c:v>-3.7570434023042498E-2</c:v>
                </c:pt>
                <c:pt idx="2383">
                  <c:v>-3.1687062491721041E-2</c:v>
                </c:pt>
                <c:pt idx="2384">
                  <c:v>-1.8531502972209402E-2</c:v>
                </c:pt>
                <c:pt idx="2385">
                  <c:v>-1.8198070919016818E-2</c:v>
                </c:pt>
                <c:pt idx="2386">
                  <c:v>-1.095740349408747E-2</c:v>
                </c:pt>
                <c:pt idx="2387">
                  <c:v>-1.1774618927594016E-2</c:v>
                </c:pt>
                <c:pt idx="2388">
                  <c:v>-9.6094618753871375E-3</c:v>
                </c:pt>
                <c:pt idx="2389">
                  <c:v>-4.0647827491591126E-3</c:v>
                </c:pt>
                <c:pt idx="2390">
                  <c:v>-2.8690783362725902E-3</c:v>
                </c:pt>
                <c:pt idx="2391">
                  <c:v>2.6702633678794552E-3</c:v>
                </c:pt>
                <c:pt idx="2392">
                  <c:v>1.5161891942490069E-2</c:v>
                </c:pt>
                <c:pt idx="2393">
                  <c:v>1.2415188054709425E-2</c:v>
                </c:pt>
                <c:pt idx="2394">
                  <c:v>1.7140164380088807E-2</c:v>
                </c:pt>
                <c:pt idx="2395">
                  <c:v>1.4835255327694696E-2</c:v>
                </c:pt>
                <c:pt idx="2396">
                  <c:v>1.9123581616509844E-2</c:v>
                </c:pt>
                <c:pt idx="2397">
                  <c:v>8.0254389512957047E-4</c:v>
                </c:pt>
                <c:pt idx="2398">
                  <c:v>-1.6420864797496271E-2</c:v>
                </c:pt>
                <c:pt idx="2399">
                  <c:v>-2.0370022615648797E-2</c:v>
                </c:pt>
                <c:pt idx="2400">
                  <c:v>-2.8323952152345511E-2</c:v>
                </c:pt>
                <c:pt idx="2401">
                  <c:v>-1.1341590238544752E-2</c:v>
                </c:pt>
                <c:pt idx="2402">
                  <c:v>-2.7086588398078648E-2</c:v>
                </c:pt>
                <c:pt idx="2403">
                  <c:v>-1.4001465392662449E-2</c:v>
                </c:pt>
                <c:pt idx="2404">
                  <c:v>2.9364899512720477E-3</c:v>
                </c:pt>
                <c:pt idx="2405">
                  <c:v>9.7228752295244192E-3</c:v>
                </c:pt>
                <c:pt idx="2406">
                  <c:v>1.2007304492640536E-3</c:v>
                </c:pt>
                <c:pt idx="2407">
                  <c:v>6.4783828285988054E-3</c:v>
                </c:pt>
                <c:pt idx="2408">
                  <c:v>-8.1416759726914423E-3</c:v>
                </c:pt>
                <c:pt idx="2409">
                  <c:v>1.2809858010928821E-2</c:v>
                </c:pt>
                <c:pt idx="2410">
                  <c:v>-8.5439987001056927E-3</c:v>
                </c:pt>
                <c:pt idx="2411">
                  <c:v>-2.484430589354103E-3</c:v>
                </c:pt>
                <c:pt idx="2412">
                  <c:v>9.8251864445393355E-3</c:v>
                </c:pt>
                <c:pt idx="2413">
                  <c:v>1.343778504806914E-2</c:v>
                </c:pt>
                <c:pt idx="2414">
                  <c:v>2.8343547010573067E-2</c:v>
                </c:pt>
                <c:pt idx="2415">
                  <c:v>3.0235879689953338E-2</c:v>
                </c:pt>
                <c:pt idx="2416">
                  <c:v>2.4544830816390251E-2</c:v>
                </c:pt>
                <c:pt idx="2417">
                  <c:v>1.3800269200256121E-2</c:v>
                </c:pt>
                <c:pt idx="2418">
                  <c:v>8.6960495055914411E-3</c:v>
                </c:pt>
                <c:pt idx="2419">
                  <c:v>1.7480059376431267E-3</c:v>
                </c:pt>
                <c:pt idx="2420">
                  <c:v>6.2825161549155961E-3</c:v>
                </c:pt>
                <c:pt idx="2421">
                  <c:v>1.7588361112280015E-2</c:v>
                </c:pt>
                <c:pt idx="2422">
                  <c:v>2.9877009151044742E-3</c:v>
                </c:pt>
                <c:pt idx="2423">
                  <c:v>3.9730078449675688E-3</c:v>
                </c:pt>
                <c:pt idx="2424">
                  <c:v>-6.5130551994597718E-3</c:v>
                </c:pt>
                <c:pt idx="2425">
                  <c:v>9.4291114383038277E-3</c:v>
                </c:pt>
                <c:pt idx="2426">
                  <c:v>1.7908200198748725E-2</c:v>
                </c:pt>
                <c:pt idx="2427">
                  <c:v>1.4109817972352445E-2</c:v>
                </c:pt>
                <c:pt idx="2428">
                  <c:v>1.4285866218565868E-2</c:v>
                </c:pt>
                <c:pt idx="2429">
                  <c:v>3.0821482485473339E-2</c:v>
                </c:pt>
                <c:pt idx="2430">
                  <c:v>2.3247969396242851E-2</c:v>
                </c:pt>
                <c:pt idx="2431">
                  <c:v>1.519132913309873E-2</c:v>
                </c:pt>
                <c:pt idx="2432">
                  <c:v>1.9360108506199847E-2</c:v>
                </c:pt>
                <c:pt idx="2433">
                  <c:v>2.3535474030387693E-2</c:v>
                </c:pt>
                <c:pt idx="2434">
                  <c:v>1.5748898450238524E-2</c:v>
                </c:pt>
                <c:pt idx="2435">
                  <c:v>1.7468933738159054E-2</c:v>
                </c:pt>
                <c:pt idx="2436">
                  <c:v>1.7265419572023877E-2</c:v>
                </c:pt>
                <c:pt idx="2437">
                  <c:v>3.0769942759998337E-3</c:v>
                </c:pt>
                <c:pt idx="2438">
                  <c:v>2.2455049881335842E-3</c:v>
                </c:pt>
                <c:pt idx="2439">
                  <c:v>1.811658673621741E-2</c:v>
                </c:pt>
                <c:pt idx="2440">
                  <c:v>5.1670574288027904E-2</c:v>
                </c:pt>
                <c:pt idx="2441">
                  <c:v>4.4827675040015835E-2</c:v>
                </c:pt>
                <c:pt idx="2442">
                  <c:v>2.9908910271128963E-2</c:v>
                </c:pt>
                <c:pt idx="2443">
                  <c:v>2.2390980115153836E-2</c:v>
                </c:pt>
                <c:pt idx="2444">
                  <c:v>2.2810635269346902E-2</c:v>
                </c:pt>
                <c:pt idx="2445">
                  <c:v>1.6802666848911407E-2</c:v>
                </c:pt>
                <c:pt idx="2446">
                  <c:v>2.2877019591350356E-2</c:v>
                </c:pt>
                <c:pt idx="2447">
                  <c:v>-2.2509900507863279E-3</c:v>
                </c:pt>
                <c:pt idx="2448">
                  <c:v>-1.5535662960262209E-2</c:v>
                </c:pt>
                <c:pt idx="2449">
                  <c:v>-7.5771774503246014E-3</c:v>
                </c:pt>
                <c:pt idx="2450">
                  <c:v>-2.131984534997966E-2</c:v>
                </c:pt>
                <c:pt idx="2451">
                  <c:v>-1.6882734977058278E-2</c:v>
                </c:pt>
                <c:pt idx="2452">
                  <c:v>-2.4034458681106985E-2</c:v>
                </c:pt>
                <c:pt idx="2453">
                  <c:v>-2.7570034745829308E-2</c:v>
                </c:pt>
                <c:pt idx="2454">
                  <c:v>-2.764128500246843E-2</c:v>
                </c:pt>
                <c:pt idx="2455">
                  <c:v>-1.5854364847445401E-2</c:v>
                </c:pt>
                <c:pt idx="2456">
                  <c:v>-1.7489851229174236E-2</c:v>
                </c:pt>
                <c:pt idx="2457">
                  <c:v>-2.6169258718457433E-2</c:v>
                </c:pt>
                <c:pt idx="2458">
                  <c:v>-3.6072202099413531E-2</c:v>
                </c:pt>
                <c:pt idx="2459">
                  <c:v>-3.233871144415712E-2</c:v>
                </c:pt>
                <c:pt idx="2460">
                  <c:v>-2.6193454765254143E-2</c:v>
                </c:pt>
                <c:pt idx="2461">
                  <c:v>-9.7640246661514496E-3</c:v>
                </c:pt>
                <c:pt idx="2462">
                  <c:v>4.2911120536450742E-3</c:v>
                </c:pt>
                <c:pt idx="2463">
                  <c:v>1.3532354144473846E-2</c:v>
                </c:pt>
                <c:pt idx="2464">
                  <c:v>2.8098361606599731E-2</c:v>
                </c:pt>
                <c:pt idx="2465">
                  <c:v>2.1608000858827747E-2</c:v>
                </c:pt>
                <c:pt idx="2466">
                  <c:v>2.8833368033039486E-2</c:v>
                </c:pt>
                <c:pt idx="2467">
                  <c:v>2.2562186630086911E-2</c:v>
                </c:pt>
                <c:pt idx="2468">
                  <c:v>1.7588055619305321E-2</c:v>
                </c:pt>
                <c:pt idx="2469">
                  <c:v>9.0746547350619711E-3</c:v>
                </c:pt>
                <c:pt idx="2470">
                  <c:v>5.3818084287942103E-3</c:v>
                </c:pt>
                <c:pt idx="2471">
                  <c:v>7.7154637761478462E-4</c:v>
                </c:pt>
                <c:pt idx="2472">
                  <c:v>2.2061191009732362E-3</c:v>
                </c:pt>
                <c:pt idx="2473">
                  <c:v>-1.0770190984490613E-2</c:v>
                </c:pt>
                <c:pt idx="2474">
                  <c:v>-1.1225966307068402E-2</c:v>
                </c:pt>
                <c:pt idx="2475">
                  <c:v>-2.4573357603605905E-2</c:v>
                </c:pt>
                <c:pt idx="2476">
                  <c:v>-2.9647563186234072E-2</c:v>
                </c:pt>
                <c:pt idx="2477">
                  <c:v>-2.6967635511398247E-2</c:v>
                </c:pt>
                <c:pt idx="2478">
                  <c:v>-3.8927648984628194E-2</c:v>
                </c:pt>
                <c:pt idx="2479">
                  <c:v>-4.451746788510913E-2</c:v>
                </c:pt>
                <c:pt idx="2480">
                  <c:v>-2.8031552143695793E-2</c:v>
                </c:pt>
                <c:pt idx="2481">
                  <c:v>-2.8912541146714932E-2</c:v>
                </c:pt>
                <c:pt idx="2482">
                  <c:v>-2.429402909835976E-2</c:v>
                </c:pt>
                <c:pt idx="2483">
                  <c:v>-9.2659933764939195E-3</c:v>
                </c:pt>
                <c:pt idx="2484">
                  <c:v>-1.7944176074217832E-2</c:v>
                </c:pt>
                <c:pt idx="2485">
                  <c:v>-1.0764502447894175E-2</c:v>
                </c:pt>
                <c:pt idx="2486">
                  <c:v>-1.9760103154239372E-3</c:v>
                </c:pt>
                <c:pt idx="2487">
                  <c:v>-9.4609492947340668E-3</c:v>
                </c:pt>
                <c:pt idx="2488">
                  <c:v>-3.514154069814146E-3</c:v>
                </c:pt>
                <c:pt idx="2489">
                  <c:v>-1.7286330878552136E-2</c:v>
                </c:pt>
                <c:pt idx="2490">
                  <c:v>-2.7768949111439234E-2</c:v>
                </c:pt>
                <c:pt idx="2491">
                  <c:v>-1.9985232729851976E-2</c:v>
                </c:pt>
                <c:pt idx="2492">
                  <c:v>-5.4961522565243337E-3</c:v>
                </c:pt>
                <c:pt idx="2493">
                  <c:v>-3.9968602698803313E-3</c:v>
                </c:pt>
                <c:pt idx="2494">
                  <c:v>3.3426273742742652E-4</c:v>
                </c:pt>
                <c:pt idx="2495">
                  <c:v>7.2785560866732713E-3</c:v>
                </c:pt>
                <c:pt idx="2496">
                  <c:v>1.3287655745142457E-2</c:v>
                </c:pt>
                <c:pt idx="2497">
                  <c:v>2.0282050960638953E-2</c:v>
                </c:pt>
                <c:pt idx="2498">
                  <c:v>2.423322170287312E-2</c:v>
                </c:pt>
                <c:pt idx="2499">
                  <c:v>2.4280573180552878E-2</c:v>
                </c:pt>
                <c:pt idx="2500">
                  <c:v>1.9866440244334038E-2</c:v>
                </c:pt>
                <c:pt idx="2501">
                  <c:v>2.9400934604273621E-2</c:v>
                </c:pt>
                <c:pt idx="2502">
                  <c:v>4.8223577713095711E-2</c:v>
                </c:pt>
                <c:pt idx="2503">
                  <c:v>6.9352223970283733E-2</c:v>
                </c:pt>
                <c:pt idx="2504">
                  <c:v>5.9026899975429536E-2</c:v>
                </c:pt>
                <c:pt idx="2505">
                  <c:v>5.3745131490961828E-2</c:v>
                </c:pt>
                <c:pt idx="2506">
                  <c:v>5.6295948856408762E-2</c:v>
                </c:pt>
                <c:pt idx="2507">
                  <c:v>6.7444258734773666E-2</c:v>
                </c:pt>
                <c:pt idx="2508">
                  <c:v>7.3412929251678083E-2</c:v>
                </c:pt>
                <c:pt idx="2509">
                  <c:v>7.6132888277371746E-2</c:v>
                </c:pt>
                <c:pt idx="2510">
                  <c:v>7.0339002825835717E-2</c:v>
                </c:pt>
                <c:pt idx="2511">
                  <c:v>9.4337831709408126E-2</c:v>
                </c:pt>
                <c:pt idx="2512">
                  <c:v>9.698444477554502E-2</c:v>
                </c:pt>
                <c:pt idx="2513">
                  <c:v>9.7216172383217447E-2</c:v>
                </c:pt>
                <c:pt idx="2514">
                  <c:v>0.10303524127086261</c:v>
                </c:pt>
                <c:pt idx="2515">
                  <c:v>0.10894253364922557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6E-4A45-A6AB-FF86BE16D493}"/>
            </c:ext>
          </c:extLst>
        </c:ser>
        <c:ser>
          <c:idx val="1"/>
          <c:order val="1"/>
          <c:tx>
            <c:v>Obligations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'Rendement hist'!$A$2:$A$2517</c:f>
              <c:numCache>
                <c:formatCode>m/d/yyyy</c:formatCode>
                <c:ptCount val="2516"/>
                <c:pt idx="0">
                  <c:v>42101</c:v>
                </c:pt>
                <c:pt idx="1">
                  <c:v>42102</c:v>
                </c:pt>
                <c:pt idx="2">
                  <c:v>42103</c:v>
                </c:pt>
                <c:pt idx="3">
                  <c:v>42104</c:v>
                </c:pt>
                <c:pt idx="4">
                  <c:v>42107</c:v>
                </c:pt>
                <c:pt idx="5">
                  <c:v>42108</c:v>
                </c:pt>
                <c:pt idx="6">
                  <c:v>42109</c:v>
                </c:pt>
                <c:pt idx="7">
                  <c:v>42110</c:v>
                </c:pt>
                <c:pt idx="8">
                  <c:v>42111</c:v>
                </c:pt>
                <c:pt idx="9">
                  <c:v>42114</c:v>
                </c:pt>
                <c:pt idx="10">
                  <c:v>42115</c:v>
                </c:pt>
                <c:pt idx="11">
                  <c:v>42116</c:v>
                </c:pt>
                <c:pt idx="12">
                  <c:v>42117</c:v>
                </c:pt>
                <c:pt idx="13">
                  <c:v>42118</c:v>
                </c:pt>
                <c:pt idx="14">
                  <c:v>42121</c:v>
                </c:pt>
                <c:pt idx="15">
                  <c:v>42122</c:v>
                </c:pt>
                <c:pt idx="16">
                  <c:v>42123</c:v>
                </c:pt>
                <c:pt idx="17">
                  <c:v>42124</c:v>
                </c:pt>
                <c:pt idx="18">
                  <c:v>42125</c:v>
                </c:pt>
                <c:pt idx="19">
                  <c:v>42129</c:v>
                </c:pt>
                <c:pt idx="20">
                  <c:v>42130</c:v>
                </c:pt>
                <c:pt idx="21">
                  <c:v>42131</c:v>
                </c:pt>
                <c:pt idx="22">
                  <c:v>42132</c:v>
                </c:pt>
                <c:pt idx="23">
                  <c:v>42135</c:v>
                </c:pt>
                <c:pt idx="24">
                  <c:v>42136</c:v>
                </c:pt>
                <c:pt idx="25">
                  <c:v>42137</c:v>
                </c:pt>
                <c:pt idx="26">
                  <c:v>42138</c:v>
                </c:pt>
                <c:pt idx="27">
                  <c:v>42139</c:v>
                </c:pt>
                <c:pt idx="28">
                  <c:v>42142</c:v>
                </c:pt>
                <c:pt idx="29">
                  <c:v>42143</c:v>
                </c:pt>
                <c:pt idx="30">
                  <c:v>42144</c:v>
                </c:pt>
                <c:pt idx="31">
                  <c:v>42145</c:v>
                </c:pt>
                <c:pt idx="32">
                  <c:v>42146</c:v>
                </c:pt>
                <c:pt idx="33">
                  <c:v>42150</c:v>
                </c:pt>
                <c:pt idx="34">
                  <c:v>42151</c:v>
                </c:pt>
                <c:pt idx="35">
                  <c:v>42152</c:v>
                </c:pt>
                <c:pt idx="36">
                  <c:v>42153</c:v>
                </c:pt>
                <c:pt idx="37">
                  <c:v>42156</c:v>
                </c:pt>
                <c:pt idx="38">
                  <c:v>42157</c:v>
                </c:pt>
                <c:pt idx="39">
                  <c:v>42158</c:v>
                </c:pt>
                <c:pt idx="40">
                  <c:v>42159</c:v>
                </c:pt>
                <c:pt idx="41">
                  <c:v>42160</c:v>
                </c:pt>
                <c:pt idx="42">
                  <c:v>42163</c:v>
                </c:pt>
                <c:pt idx="43">
                  <c:v>42164</c:v>
                </c:pt>
                <c:pt idx="44">
                  <c:v>42165</c:v>
                </c:pt>
                <c:pt idx="45">
                  <c:v>42166</c:v>
                </c:pt>
                <c:pt idx="46">
                  <c:v>42167</c:v>
                </c:pt>
                <c:pt idx="47">
                  <c:v>42170</c:v>
                </c:pt>
                <c:pt idx="48">
                  <c:v>42171</c:v>
                </c:pt>
                <c:pt idx="49">
                  <c:v>42172</c:v>
                </c:pt>
                <c:pt idx="50">
                  <c:v>42173</c:v>
                </c:pt>
                <c:pt idx="51">
                  <c:v>42174</c:v>
                </c:pt>
                <c:pt idx="52">
                  <c:v>42177</c:v>
                </c:pt>
                <c:pt idx="53">
                  <c:v>42178</c:v>
                </c:pt>
                <c:pt idx="54">
                  <c:v>42179</c:v>
                </c:pt>
                <c:pt idx="55">
                  <c:v>42180</c:v>
                </c:pt>
                <c:pt idx="56">
                  <c:v>42181</c:v>
                </c:pt>
                <c:pt idx="57">
                  <c:v>42184</c:v>
                </c:pt>
                <c:pt idx="58">
                  <c:v>42185</c:v>
                </c:pt>
                <c:pt idx="59">
                  <c:v>42186</c:v>
                </c:pt>
                <c:pt idx="60">
                  <c:v>42187</c:v>
                </c:pt>
                <c:pt idx="61">
                  <c:v>42188</c:v>
                </c:pt>
                <c:pt idx="62">
                  <c:v>42191</c:v>
                </c:pt>
                <c:pt idx="63">
                  <c:v>42192</c:v>
                </c:pt>
                <c:pt idx="64">
                  <c:v>42193</c:v>
                </c:pt>
                <c:pt idx="65">
                  <c:v>42194</c:v>
                </c:pt>
                <c:pt idx="66">
                  <c:v>42195</c:v>
                </c:pt>
                <c:pt idx="67">
                  <c:v>42198</c:v>
                </c:pt>
                <c:pt idx="68">
                  <c:v>42199</c:v>
                </c:pt>
                <c:pt idx="69">
                  <c:v>42200</c:v>
                </c:pt>
                <c:pt idx="70">
                  <c:v>42201</c:v>
                </c:pt>
                <c:pt idx="71">
                  <c:v>42202</c:v>
                </c:pt>
                <c:pt idx="72">
                  <c:v>42205</c:v>
                </c:pt>
                <c:pt idx="73">
                  <c:v>42206</c:v>
                </c:pt>
                <c:pt idx="74">
                  <c:v>42207</c:v>
                </c:pt>
                <c:pt idx="75">
                  <c:v>42208</c:v>
                </c:pt>
                <c:pt idx="76">
                  <c:v>42209</c:v>
                </c:pt>
                <c:pt idx="77">
                  <c:v>42212</c:v>
                </c:pt>
                <c:pt idx="78">
                  <c:v>42213</c:v>
                </c:pt>
                <c:pt idx="79">
                  <c:v>42214</c:v>
                </c:pt>
                <c:pt idx="80">
                  <c:v>42215</c:v>
                </c:pt>
                <c:pt idx="81">
                  <c:v>42216</c:v>
                </c:pt>
                <c:pt idx="82">
                  <c:v>42219</c:v>
                </c:pt>
                <c:pt idx="83">
                  <c:v>42220</c:v>
                </c:pt>
                <c:pt idx="84">
                  <c:v>42221</c:v>
                </c:pt>
                <c:pt idx="85">
                  <c:v>42222</c:v>
                </c:pt>
                <c:pt idx="86">
                  <c:v>42223</c:v>
                </c:pt>
                <c:pt idx="87">
                  <c:v>42226</c:v>
                </c:pt>
                <c:pt idx="88">
                  <c:v>42227</c:v>
                </c:pt>
                <c:pt idx="89">
                  <c:v>42228</c:v>
                </c:pt>
                <c:pt idx="90">
                  <c:v>42229</c:v>
                </c:pt>
                <c:pt idx="91">
                  <c:v>42230</c:v>
                </c:pt>
                <c:pt idx="92">
                  <c:v>42233</c:v>
                </c:pt>
                <c:pt idx="93">
                  <c:v>42234</c:v>
                </c:pt>
                <c:pt idx="94">
                  <c:v>42235</c:v>
                </c:pt>
                <c:pt idx="95">
                  <c:v>42236</c:v>
                </c:pt>
                <c:pt idx="96">
                  <c:v>42237</c:v>
                </c:pt>
                <c:pt idx="97">
                  <c:v>42240</c:v>
                </c:pt>
                <c:pt idx="98">
                  <c:v>42241</c:v>
                </c:pt>
                <c:pt idx="99">
                  <c:v>42242</c:v>
                </c:pt>
                <c:pt idx="100">
                  <c:v>42243</c:v>
                </c:pt>
                <c:pt idx="101">
                  <c:v>42244</c:v>
                </c:pt>
                <c:pt idx="102">
                  <c:v>42247</c:v>
                </c:pt>
                <c:pt idx="103">
                  <c:v>42248</c:v>
                </c:pt>
                <c:pt idx="104">
                  <c:v>42249</c:v>
                </c:pt>
                <c:pt idx="105">
                  <c:v>42250</c:v>
                </c:pt>
                <c:pt idx="106">
                  <c:v>42251</c:v>
                </c:pt>
                <c:pt idx="107">
                  <c:v>42254</c:v>
                </c:pt>
                <c:pt idx="108">
                  <c:v>42255</c:v>
                </c:pt>
                <c:pt idx="109">
                  <c:v>42256</c:v>
                </c:pt>
                <c:pt idx="110">
                  <c:v>42257</c:v>
                </c:pt>
                <c:pt idx="111">
                  <c:v>42258</c:v>
                </c:pt>
                <c:pt idx="112">
                  <c:v>42261</c:v>
                </c:pt>
                <c:pt idx="113">
                  <c:v>42262</c:v>
                </c:pt>
                <c:pt idx="114">
                  <c:v>42263</c:v>
                </c:pt>
                <c:pt idx="115">
                  <c:v>42264</c:v>
                </c:pt>
                <c:pt idx="116">
                  <c:v>42265</c:v>
                </c:pt>
                <c:pt idx="117">
                  <c:v>42268</c:v>
                </c:pt>
                <c:pt idx="118">
                  <c:v>42269</c:v>
                </c:pt>
                <c:pt idx="119">
                  <c:v>42270</c:v>
                </c:pt>
                <c:pt idx="120">
                  <c:v>42271</c:v>
                </c:pt>
                <c:pt idx="121">
                  <c:v>42272</c:v>
                </c:pt>
                <c:pt idx="122">
                  <c:v>42275</c:v>
                </c:pt>
                <c:pt idx="123">
                  <c:v>42276</c:v>
                </c:pt>
                <c:pt idx="124">
                  <c:v>42277</c:v>
                </c:pt>
                <c:pt idx="125">
                  <c:v>42278</c:v>
                </c:pt>
                <c:pt idx="126">
                  <c:v>42279</c:v>
                </c:pt>
                <c:pt idx="127">
                  <c:v>42282</c:v>
                </c:pt>
                <c:pt idx="128">
                  <c:v>42283</c:v>
                </c:pt>
                <c:pt idx="129">
                  <c:v>42284</c:v>
                </c:pt>
                <c:pt idx="130">
                  <c:v>42285</c:v>
                </c:pt>
                <c:pt idx="131">
                  <c:v>42286</c:v>
                </c:pt>
                <c:pt idx="132">
                  <c:v>42289</c:v>
                </c:pt>
                <c:pt idx="133">
                  <c:v>42290</c:v>
                </c:pt>
                <c:pt idx="134">
                  <c:v>42291</c:v>
                </c:pt>
                <c:pt idx="135">
                  <c:v>42292</c:v>
                </c:pt>
                <c:pt idx="136">
                  <c:v>42293</c:v>
                </c:pt>
                <c:pt idx="137">
                  <c:v>42296</c:v>
                </c:pt>
                <c:pt idx="138">
                  <c:v>42297</c:v>
                </c:pt>
                <c:pt idx="139">
                  <c:v>42298</c:v>
                </c:pt>
                <c:pt idx="140">
                  <c:v>42299</c:v>
                </c:pt>
                <c:pt idx="141">
                  <c:v>42300</c:v>
                </c:pt>
                <c:pt idx="142">
                  <c:v>42303</c:v>
                </c:pt>
                <c:pt idx="143">
                  <c:v>42304</c:v>
                </c:pt>
                <c:pt idx="144">
                  <c:v>42305</c:v>
                </c:pt>
                <c:pt idx="145">
                  <c:v>42306</c:v>
                </c:pt>
                <c:pt idx="146">
                  <c:v>42307</c:v>
                </c:pt>
                <c:pt idx="147">
                  <c:v>42310</c:v>
                </c:pt>
                <c:pt idx="148">
                  <c:v>42311</c:v>
                </c:pt>
                <c:pt idx="149">
                  <c:v>42312</c:v>
                </c:pt>
                <c:pt idx="150">
                  <c:v>42313</c:v>
                </c:pt>
                <c:pt idx="151">
                  <c:v>42314</c:v>
                </c:pt>
                <c:pt idx="152">
                  <c:v>42317</c:v>
                </c:pt>
                <c:pt idx="153">
                  <c:v>42318</c:v>
                </c:pt>
                <c:pt idx="154">
                  <c:v>42319</c:v>
                </c:pt>
                <c:pt idx="155">
                  <c:v>42320</c:v>
                </c:pt>
                <c:pt idx="156">
                  <c:v>42321</c:v>
                </c:pt>
                <c:pt idx="157">
                  <c:v>42324</c:v>
                </c:pt>
                <c:pt idx="158">
                  <c:v>42325</c:v>
                </c:pt>
                <c:pt idx="159">
                  <c:v>42326</c:v>
                </c:pt>
                <c:pt idx="160">
                  <c:v>42327</c:v>
                </c:pt>
                <c:pt idx="161">
                  <c:v>42328</c:v>
                </c:pt>
                <c:pt idx="162">
                  <c:v>42331</c:v>
                </c:pt>
                <c:pt idx="163">
                  <c:v>42332</c:v>
                </c:pt>
                <c:pt idx="164">
                  <c:v>42333</c:v>
                </c:pt>
                <c:pt idx="165">
                  <c:v>42334</c:v>
                </c:pt>
                <c:pt idx="166">
                  <c:v>42335</c:v>
                </c:pt>
                <c:pt idx="167">
                  <c:v>42338</c:v>
                </c:pt>
                <c:pt idx="168">
                  <c:v>42339</c:v>
                </c:pt>
                <c:pt idx="169">
                  <c:v>42340</c:v>
                </c:pt>
                <c:pt idx="170">
                  <c:v>42341</c:v>
                </c:pt>
                <c:pt idx="171">
                  <c:v>42342</c:v>
                </c:pt>
                <c:pt idx="172">
                  <c:v>42345</c:v>
                </c:pt>
                <c:pt idx="173">
                  <c:v>42346</c:v>
                </c:pt>
                <c:pt idx="174">
                  <c:v>42347</c:v>
                </c:pt>
                <c:pt idx="175">
                  <c:v>42348</c:v>
                </c:pt>
                <c:pt idx="176">
                  <c:v>42349</c:v>
                </c:pt>
                <c:pt idx="177">
                  <c:v>42352</c:v>
                </c:pt>
                <c:pt idx="178">
                  <c:v>42353</c:v>
                </c:pt>
                <c:pt idx="179">
                  <c:v>42354</c:v>
                </c:pt>
                <c:pt idx="180">
                  <c:v>42355</c:v>
                </c:pt>
                <c:pt idx="181">
                  <c:v>42356</c:v>
                </c:pt>
                <c:pt idx="182">
                  <c:v>42359</c:v>
                </c:pt>
                <c:pt idx="183">
                  <c:v>42360</c:v>
                </c:pt>
                <c:pt idx="184">
                  <c:v>42361</c:v>
                </c:pt>
                <c:pt idx="185">
                  <c:v>42362</c:v>
                </c:pt>
                <c:pt idx="186">
                  <c:v>42367</c:v>
                </c:pt>
                <c:pt idx="187">
                  <c:v>42368</c:v>
                </c:pt>
                <c:pt idx="188">
                  <c:v>42369</c:v>
                </c:pt>
                <c:pt idx="189">
                  <c:v>42373</c:v>
                </c:pt>
                <c:pt idx="190">
                  <c:v>42374</c:v>
                </c:pt>
                <c:pt idx="191">
                  <c:v>42375</c:v>
                </c:pt>
                <c:pt idx="192">
                  <c:v>42376</c:v>
                </c:pt>
                <c:pt idx="193">
                  <c:v>42377</c:v>
                </c:pt>
                <c:pt idx="194">
                  <c:v>42380</c:v>
                </c:pt>
                <c:pt idx="195">
                  <c:v>42381</c:v>
                </c:pt>
                <c:pt idx="196">
                  <c:v>42382</c:v>
                </c:pt>
                <c:pt idx="197">
                  <c:v>42383</c:v>
                </c:pt>
                <c:pt idx="198">
                  <c:v>42384</c:v>
                </c:pt>
                <c:pt idx="199">
                  <c:v>42387</c:v>
                </c:pt>
                <c:pt idx="200">
                  <c:v>42388</c:v>
                </c:pt>
                <c:pt idx="201">
                  <c:v>42389</c:v>
                </c:pt>
                <c:pt idx="202">
                  <c:v>42390</c:v>
                </c:pt>
                <c:pt idx="203">
                  <c:v>42391</c:v>
                </c:pt>
                <c:pt idx="204">
                  <c:v>42394</c:v>
                </c:pt>
                <c:pt idx="205">
                  <c:v>42395</c:v>
                </c:pt>
                <c:pt idx="206">
                  <c:v>42396</c:v>
                </c:pt>
                <c:pt idx="207">
                  <c:v>42397</c:v>
                </c:pt>
                <c:pt idx="208">
                  <c:v>42398</c:v>
                </c:pt>
                <c:pt idx="209">
                  <c:v>42401</c:v>
                </c:pt>
                <c:pt idx="210">
                  <c:v>42402</c:v>
                </c:pt>
                <c:pt idx="211">
                  <c:v>42403</c:v>
                </c:pt>
                <c:pt idx="212">
                  <c:v>42404</c:v>
                </c:pt>
                <c:pt idx="213">
                  <c:v>42405</c:v>
                </c:pt>
                <c:pt idx="214">
                  <c:v>42408</c:v>
                </c:pt>
                <c:pt idx="215">
                  <c:v>42409</c:v>
                </c:pt>
                <c:pt idx="216">
                  <c:v>42410</c:v>
                </c:pt>
                <c:pt idx="217">
                  <c:v>42411</c:v>
                </c:pt>
                <c:pt idx="218">
                  <c:v>42412</c:v>
                </c:pt>
                <c:pt idx="219">
                  <c:v>42415</c:v>
                </c:pt>
                <c:pt idx="220">
                  <c:v>42416</c:v>
                </c:pt>
                <c:pt idx="221">
                  <c:v>42417</c:v>
                </c:pt>
                <c:pt idx="222">
                  <c:v>42418</c:v>
                </c:pt>
                <c:pt idx="223">
                  <c:v>42419</c:v>
                </c:pt>
                <c:pt idx="224">
                  <c:v>42422</c:v>
                </c:pt>
                <c:pt idx="225">
                  <c:v>42423</c:v>
                </c:pt>
                <c:pt idx="226">
                  <c:v>42424</c:v>
                </c:pt>
                <c:pt idx="227">
                  <c:v>42425</c:v>
                </c:pt>
                <c:pt idx="228">
                  <c:v>42426</c:v>
                </c:pt>
                <c:pt idx="229">
                  <c:v>42429</c:v>
                </c:pt>
                <c:pt idx="230">
                  <c:v>42430</c:v>
                </c:pt>
                <c:pt idx="231">
                  <c:v>42431</c:v>
                </c:pt>
                <c:pt idx="232">
                  <c:v>42432</c:v>
                </c:pt>
                <c:pt idx="233">
                  <c:v>42433</c:v>
                </c:pt>
                <c:pt idx="234">
                  <c:v>42436</c:v>
                </c:pt>
                <c:pt idx="235">
                  <c:v>42437</c:v>
                </c:pt>
                <c:pt idx="236">
                  <c:v>42438</c:v>
                </c:pt>
                <c:pt idx="237">
                  <c:v>42439</c:v>
                </c:pt>
                <c:pt idx="238">
                  <c:v>42440</c:v>
                </c:pt>
                <c:pt idx="239">
                  <c:v>42443</c:v>
                </c:pt>
                <c:pt idx="240">
                  <c:v>42444</c:v>
                </c:pt>
                <c:pt idx="241">
                  <c:v>42445</c:v>
                </c:pt>
                <c:pt idx="242">
                  <c:v>42446</c:v>
                </c:pt>
                <c:pt idx="243">
                  <c:v>42447</c:v>
                </c:pt>
                <c:pt idx="244">
                  <c:v>42450</c:v>
                </c:pt>
                <c:pt idx="245">
                  <c:v>42451</c:v>
                </c:pt>
                <c:pt idx="246">
                  <c:v>42452</c:v>
                </c:pt>
                <c:pt idx="247">
                  <c:v>42453</c:v>
                </c:pt>
                <c:pt idx="248">
                  <c:v>42458</c:v>
                </c:pt>
                <c:pt idx="249">
                  <c:v>42459</c:v>
                </c:pt>
                <c:pt idx="250">
                  <c:v>42460</c:v>
                </c:pt>
                <c:pt idx="251">
                  <c:v>42461</c:v>
                </c:pt>
                <c:pt idx="252">
                  <c:v>42464</c:v>
                </c:pt>
                <c:pt idx="253">
                  <c:v>42465</c:v>
                </c:pt>
                <c:pt idx="254">
                  <c:v>42466</c:v>
                </c:pt>
                <c:pt idx="255">
                  <c:v>42467</c:v>
                </c:pt>
                <c:pt idx="256">
                  <c:v>42468</c:v>
                </c:pt>
                <c:pt idx="257">
                  <c:v>42471</c:v>
                </c:pt>
                <c:pt idx="258">
                  <c:v>42472</c:v>
                </c:pt>
                <c:pt idx="259">
                  <c:v>42473</c:v>
                </c:pt>
                <c:pt idx="260">
                  <c:v>42474</c:v>
                </c:pt>
                <c:pt idx="261">
                  <c:v>42475</c:v>
                </c:pt>
                <c:pt idx="262">
                  <c:v>42478</c:v>
                </c:pt>
                <c:pt idx="263">
                  <c:v>42479</c:v>
                </c:pt>
                <c:pt idx="264">
                  <c:v>42480</c:v>
                </c:pt>
                <c:pt idx="265">
                  <c:v>42481</c:v>
                </c:pt>
                <c:pt idx="266">
                  <c:v>42482</c:v>
                </c:pt>
                <c:pt idx="267">
                  <c:v>42485</c:v>
                </c:pt>
                <c:pt idx="268">
                  <c:v>42486</c:v>
                </c:pt>
                <c:pt idx="269">
                  <c:v>42487</c:v>
                </c:pt>
                <c:pt idx="270">
                  <c:v>42488</c:v>
                </c:pt>
                <c:pt idx="271">
                  <c:v>42489</c:v>
                </c:pt>
                <c:pt idx="272">
                  <c:v>42493</c:v>
                </c:pt>
                <c:pt idx="273">
                  <c:v>42494</c:v>
                </c:pt>
                <c:pt idx="274">
                  <c:v>42495</c:v>
                </c:pt>
                <c:pt idx="275">
                  <c:v>42496</c:v>
                </c:pt>
                <c:pt idx="276">
                  <c:v>42499</c:v>
                </c:pt>
                <c:pt idx="277">
                  <c:v>42500</c:v>
                </c:pt>
                <c:pt idx="278">
                  <c:v>42501</c:v>
                </c:pt>
                <c:pt idx="279">
                  <c:v>42502</c:v>
                </c:pt>
                <c:pt idx="280">
                  <c:v>42503</c:v>
                </c:pt>
                <c:pt idx="281">
                  <c:v>42506</c:v>
                </c:pt>
                <c:pt idx="282">
                  <c:v>42507</c:v>
                </c:pt>
                <c:pt idx="283">
                  <c:v>42508</c:v>
                </c:pt>
                <c:pt idx="284">
                  <c:v>42509</c:v>
                </c:pt>
                <c:pt idx="285">
                  <c:v>42510</c:v>
                </c:pt>
                <c:pt idx="286">
                  <c:v>42513</c:v>
                </c:pt>
                <c:pt idx="287">
                  <c:v>42514</c:v>
                </c:pt>
                <c:pt idx="288">
                  <c:v>42515</c:v>
                </c:pt>
                <c:pt idx="289">
                  <c:v>42516</c:v>
                </c:pt>
                <c:pt idx="290">
                  <c:v>42517</c:v>
                </c:pt>
                <c:pt idx="291">
                  <c:v>42521</c:v>
                </c:pt>
                <c:pt idx="292">
                  <c:v>42522</c:v>
                </c:pt>
                <c:pt idx="293">
                  <c:v>42523</c:v>
                </c:pt>
                <c:pt idx="294">
                  <c:v>42524</c:v>
                </c:pt>
                <c:pt idx="295">
                  <c:v>42527</c:v>
                </c:pt>
                <c:pt idx="296">
                  <c:v>42528</c:v>
                </c:pt>
                <c:pt idx="297">
                  <c:v>42529</c:v>
                </c:pt>
                <c:pt idx="298">
                  <c:v>42530</c:v>
                </c:pt>
                <c:pt idx="299">
                  <c:v>42531</c:v>
                </c:pt>
                <c:pt idx="300">
                  <c:v>42534</c:v>
                </c:pt>
                <c:pt idx="301">
                  <c:v>42535</c:v>
                </c:pt>
                <c:pt idx="302">
                  <c:v>42536</c:v>
                </c:pt>
                <c:pt idx="303">
                  <c:v>42537</c:v>
                </c:pt>
                <c:pt idx="304">
                  <c:v>42538</c:v>
                </c:pt>
                <c:pt idx="305">
                  <c:v>42541</c:v>
                </c:pt>
                <c:pt idx="306">
                  <c:v>42542</c:v>
                </c:pt>
                <c:pt idx="307">
                  <c:v>42543</c:v>
                </c:pt>
                <c:pt idx="308">
                  <c:v>42544</c:v>
                </c:pt>
                <c:pt idx="309">
                  <c:v>42545</c:v>
                </c:pt>
                <c:pt idx="310">
                  <c:v>42548</c:v>
                </c:pt>
                <c:pt idx="311">
                  <c:v>42549</c:v>
                </c:pt>
                <c:pt idx="312">
                  <c:v>42550</c:v>
                </c:pt>
                <c:pt idx="313">
                  <c:v>42551</c:v>
                </c:pt>
                <c:pt idx="314">
                  <c:v>42552</c:v>
                </c:pt>
                <c:pt idx="315">
                  <c:v>42555</c:v>
                </c:pt>
                <c:pt idx="316">
                  <c:v>42556</c:v>
                </c:pt>
                <c:pt idx="317">
                  <c:v>42557</c:v>
                </c:pt>
                <c:pt idx="318">
                  <c:v>42558</c:v>
                </c:pt>
                <c:pt idx="319">
                  <c:v>42559</c:v>
                </c:pt>
                <c:pt idx="320">
                  <c:v>42562</c:v>
                </c:pt>
                <c:pt idx="321">
                  <c:v>42563</c:v>
                </c:pt>
                <c:pt idx="322">
                  <c:v>42564</c:v>
                </c:pt>
                <c:pt idx="323">
                  <c:v>42565</c:v>
                </c:pt>
                <c:pt idx="324">
                  <c:v>42566</c:v>
                </c:pt>
                <c:pt idx="325">
                  <c:v>42569</c:v>
                </c:pt>
                <c:pt idx="326">
                  <c:v>42570</c:v>
                </c:pt>
                <c:pt idx="327">
                  <c:v>42571</c:v>
                </c:pt>
                <c:pt idx="328">
                  <c:v>42572</c:v>
                </c:pt>
                <c:pt idx="329">
                  <c:v>42573</c:v>
                </c:pt>
                <c:pt idx="330">
                  <c:v>42576</c:v>
                </c:pt>
                <c:pt idx="331">
                  <c:v>42577</c:v>
                </c:pt>
                <c:pt idx="332">
                  <c:v>42578</c:v>
                </c:pt>
                <c:pt idx="333">
                  <c:v>42579</c:v>
                </c:pt>
                <c:pt idx="334">
                  <c:v>42580</c:v>
                </c:pt>
                <c:pt idx="335">
                  <c:v>42583</c:v>
                </c:pt>
                <c:pt idx="336">
                  <c:v>42584</c:v>
                </c:pt>
                <c:pt idx="337">
                  <c:v>42585</c:v>
                </c:pt>
                <c:pt idx="338">
                  <c:v>42586</c:v>
                </c:pt>
                <c:pt idx="339">
                  <c:v>42587</c:v>
                </c:pt>
                <c:pt idx="340">
                  <c:v>42590</c:v>
                </c:pt>
                <c:pt idx="341">
                  <c:v>42591</c:v>
                </c:pt>
                <c:pt idx="342">
                  <c:v>42592</c:v>
                </c:pt>
                <c:pt idx="343">
                  <c:v>42593</c:v>
                </c:pt>
                <c:pt idx="344">
                  <c:v>42594</c:v>
                </c:pt>
                <c:pt idx="345">
                  <c:v>42597</c:v>
                </c:pt>
                <c:pt idx="346">
                  <c:v>42598</c:v>
                </c:pt>
                <c:pt idx="347">
                  <c:v>42599</c:v>
                </c:pt>
                <c:pt idx="348">
                  <c:v>42600</c:v>
                </c:pt>
                <c:pt idx="349">
                  <c:v>42601</c:v>
                </c:pt>
                <c:pt idx="350">
                  <c:v>42604</c:v>
                </c:pt>
                <c:pt idx="351">
                  <c:v>42605</c:v>
                </c:pt>
                <c:pt idx="352">
                  <c:v>42606</c:v>
                </c:pt>
                <c:pt idx="353">
                  <c:v>42607</c:v>
                </c:pt>
                <c:pt idx="354">
                  <c:v>42608</c:v>
                </c:pt>
                <c:pt idx="355">
                  <c:v>42612</c:v>
                </c:pt>
                <c:pt idx="356">
                  <c:v>42613</c:v>
                </c:pt>
                <c:pt idx="357">
                  <c:v>42614</c:v>
                </c:pt>
                <c:pt idx="358">
                  <c:v>42615</c:v>
                </c:pt>
                <c:pt idx="359">
                  <c:v>42618</c:v>
                </c:pt>
                <c:pt idx="360">
                  <c:v>42619</c:v>
                </c:pt>
                <c:pt idx="361">
                  <c:v>42620</c:v>
                </c:pt>
                <c:pt idx="362">
                  <c:v>42621</c:v>
                </c:pt>
                <c:pt idx="363">
                  <c:v>42622</c:v>
                </c:pt>
                <c:pt idx="364">
                  <c:v>42625</c:v>
                </c:pt>
                <c:pt idx="365">
                  <c:v>42626</c:v>
                </c:pt>
                <c:pt idx="366">
                  <c:v>42627</c:v>
                </c:pt>
                <c:pt idx="367">
                  <c:v>42628</c:v>
                </c:pt>
                <c:pt idx="368">
                  <c:v>42629</c:v>
                </c:pt>
                <c:pt idx="369">
                  <c:v>42632</c:v>
                </c:pt>
                <c:pt idx="370">
                  <c:v>42633</c:v>
                </c:pt>
                <c:pt idx="371">
                  <c:v>42634</c:v>
                </c:pt>
                <c:pt idx="372">
                  <c:v>42635</c:v>
                </c:pt>
                <c:pt idx="373">
                  <c:v>42636</c:v>
                </c:pt>
                <c:pt idx="374">
                  <c:v>42639</c:v>
                </c:pt>
                <c:pt idx="375">
                  <c:v>42640</c:v>
                </c:pt>
                <c:pt idx="376">
                  <c:v>42641</c:v>
                </c:pt>
                <c:pt idx="377">
                  <c:v>42642</c:v>
                </c:pt>
                <c:pt idx="378">
                  <c:v>42643</c:v>
                </c:pt>
                <c:pt idx="379">
                  <c:v>42646</c:v>
                </c:pt>
                <c:pt idx="380">
                  <c:v>42647</c:v>
                </c:pt>
                <c:pt idx="381">
                  <c:v>42648</c:v>
                </c:pt>
                <c:pt idx="382">
                  <c:v>42649</c:v>
                </c:pt>
                <c:pt idx="383">
                  <c:v>42650</c:v>
                </c:pt>
                <c:pt idx="384">
                  <c:v>42653</c:v>
                </c:pt>
                <c:pt idx="385">
                  <c:v>42654</c:v>
                </c:pt>
                <c:pt idx="386">
                  <c:v>42655</c:v>
                </c:pt>
                <c:pt idx="387">
                  <c:v>42656</c:v>
                </c:pt>
                <c:pt idx="388">
                  <c:v>42657</c:v>
                </c:pt>
                <c:pt idx="389">
                  <c:v>42660</c:v>
                </c:pt>
                <c:pt idx="390">
                  <c:v>42661</c:v>
                </c:pt>
                <c:pt idx="391">
                  <c:v>42662</c:v>
                </c:pt>
                <c:pt idx="392">
                  <c:v>42663</c:v>
                </c:pt>
                <c:pt idx="393">
                  <c:v>42664</c:v>
                </c:pt>
                <c:pt idx="394">
                  <c:v>42667</c:v>
                </c:pt>
                <c:pt idx="395">
                  <c:v>42668</c:v>
                </c:pt>
                <c:pt idx="396">
                  <c:v>42669</c:v>
                </c:pt>
                <c:pt idx="397">
                  <c:v>42670</c:v>
                </c:pt>
                <c:pt idx="398">
                  <c:v>42671</c:v>
                </c:pt>
                <c:pt idx="399">
                  <c:v>42674</c:v>
                </c:pt>
                <c:pt idx="400">
                  <c:v>42675</c:v>
                </c:pt>
                <c:pt idx="401">
                  <c:v>42676</c:v>
                </c:pt>
                <c:pt idx="402">
                  <c:v>42677</c:v>
                </c:pt>
                <c:pt idx="403">
                  <c:v>42678</c:v>
                </c:pt>
                <c:pt idx="404">
                  <c:v>42681</c:v>
                </c:pt>
                <c:pt idx="405">
                  <c:v>42682</c:v>
                </c:pt>
                <c:pt idx="406">
                  <c:v>42683</c:v>
                </c:pt>
                <c:pt idx="407">
                  <c:v>42684</c:v>
                </c:pt>
                <c:pt idx="408">
                  <c:v>42685</c:v>
                </c:pt>
                <c:pt idx="409">
                  <c:v>42688</c:v>
                </c:pt>
                <c:pt idx="410">
                  <c:v>42689</c:v>
                </c:pt>
                <c:pt idx="411">
                  <c:v>42690</c:v>
                </c:pt>
                <c:pt idx="412">
                  <c:v>42691</c:v>
                </c:pt>
                <c:pt idx="413">
                  <c:v>42692</c:v>
                </c:pt>
                <c:pt idx="414">
                  <c:v>42695</c:v>
                </c:pt>
                <c:pt idx="415">
                  <c:v>42696</c:v>
                </c:pt>
                <c:pt idx="416">
                  <c:v>42697</c:v>
                </c:pt>
                <c:pt idx="417">
                  <c:v>42698</c:v>
                </c:pt>
                <c:pt idx="418">
                  <c:v>42699</c:v>
                </c:pt>
                <c:pt idx="419">
                  <c:v>42702</c:v>
                </c:pt>
                <c:pt idx="420">
                  <c:v>42703</c:v>
                </c:pt>
                <c:pt idx="421">
                  <c:v>42704</c:v>
                </c:pt>
                <c:pt idx="422">
                  <c:v>42705</c:v>
                </c:pt>
                <c:pt idx="423">
                  <c:v>42706</c:v>
                </c:pt>
                <c:pt idx="424">
                  <c:v>42709</c:v>
                </c:pt>
                <c:pt idx="425">
                  <c:v>42710</c:v>
                </c:pt>
                <c:pt idx="426">
                  <c:v>42711</c:v>
                </c:pt>
                <c:pt idx="427">
                  <c:v>42712</c:v>
                </c:pt>
                <c:pt idx="428">
                  <c:v>42713</c:v>
                </c:pt>
                <c:pt idx="429">
                  <c:v>42716</c:v>
                </c:pt>
                <c:pt idx="430">
                  <c:v>42717</c:v>
                </c:pt>
                <c:pt idx="431">
                  <c:v>42718</c:v>
                </c:pt>
                <c:pt idx="432">
                  <c:v>42719</c:v>
                </c:pt>
                <c:pt idx="433">
                  <c:v>42720</c:v>
                </c:pt>
                <c:pt idx="434">
                  <c:v>42723</c:v>
                </c:pt>
                <c:pt idx="435">
                  <c:v>42724</c:v>
                </c:pt>
                <c:pt idx="436">
                  <c:v>42725</c:v>
                </c:pt>
                <c:pt idx="437">
                  <c:v>42726</c:v>
                </c:pt>
                <c:pt idx="438">
                  <c:v>42727</c:v>
                </c:pt>
                <c:pt idx="439">
                  <c:v>42732</c:v>
                </c:pt>
                <c:pt idx="440">
                  <c:v>42733</c:v>
                </c:pt>
                <c:pt idx="441">
                  <c:v>42734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42744</c:v>
                </c:pt>
                <c:pt idx="447">
                  <c:v>42745</c:v>
                </c:pt>
                <c:pt idx="448">
                  <c:v>42746</c:v>
                </c:pt>
                <c:pt idx="449">
                  <c:v>42747</c:v>
                </c:pt>
                <c:pt idx="450">
                  <c:v>42748</c:v>
                </c:pt>
                <c:pt idx="451">
                  <c:v>42751</c:v>
                </c:pt>
                <c:pt idx="452">
                  <c:v>42752</c:v>
                </c:pt>
                <c:pt idx="453">
                  <c:v>42753</c:v>
                </c:pt>
                <c:pt idx="454">
                  <c:v>42754</c:v>
                </c:pt>
                <c:pt idx="455">
                  <c:v>42755</c:v>
                </c:pt>
                <c:pt idx="456">
                  <c:v>42758</c:v>
                </c:pt>
                <c:pt idx="457">
                  <c:v>42759</c:v>
                </c:pt>
                <c:pt idx="458">
                  <c:v>42760</c:v>
                </c:pt>
                <c:pt idx="459">
                  <c:v>42761</c:v>
                </c:pt>
                <c:pt idx="460">
                  <c:v>42762</c:v>
                </c:pt>
                <c:pt idx="461">
                  <c:v>42765</c:v>
                </c:pt>
                <c:pt idx="462">
                  <c:v>42766</c:v>
                </c:pt>
                <c:pt idx="463">
                  <c:v>42767</c:v>
                </c:pt>
                <c:pt idx="464">
                  <c:v>42768</c:v>
                </c:pt>
                <c:pt idx="465">
                  <c:v>42769</c:v>
                </c:pt>
                <c:pt idx="466">
                  <c:v>42772</c:v>
                </c:pt>
                <c:pt idx="467">
                  <c:v>42773</c:v>
                </c:pt>
                <c:pt idx="468">
                  <c:v>42774</c:v>
                </c:pt>
                <c:pt idx="469">
                  <c:v>42775</c:v>
                </c:pt>
                <c:pt idx="470">
                  <c:v>42776</c:v>
                </c:pt>
                <c:pt idx="471">
                  <c:v>42779</c:v>
                </c:pt>
                <c:pt idx="472">
                  <c:v>42780</c:v>
                </c:pt>
                <c:pt idx="473">
                  <c:v>42781</c:v>
                </c:pt>
                <c:pt idx="474">
                  <c:v>42782</c:v>
                </c:pt>
                <c:pt idx="475">
                  <c:v>42783</c:v>
                </c:pt>
                <c:pt idx="476">
                  <c:v>42786</c:v>
                </c:pt>
                <c:pt idx="477">
                  <c:v>42787</c:v>
                </c:pt>
                <c:pt idx="478">
                  <c:v>42788</c:v>
                </c:pt>
                <c:pt idx="479">
                  <c:v>42789</c:v>
                </c:pt>
                <c:pt idx="480">
                  <c:v>42790</c:v>
                </c:pt>
                <c:pt idx="481">
                  <c:v>42793</c:v>
                </c:pt>
                <c:pt idx="482">
                  <c:v>42794</c:v>
                </c:pt>
                <c:pt idx="483">
                  <c:v>42795</c:v>
                </c:pt>
                <c:pt idx="484">
                  <c:v>42796</c:v>
                </c:pt>
                <c:pt idx="485">
                  <c:v>42797</c:v>
                </c:pt>
                <c:pt idx="486">
                  <c:v>42800</c:v>
                </c:pt>
                <c:pt idx="487">
                  <c:v>42801</c:v>
                </c:pt>
                <c:pt idx="488">
                  <c:v>42802</c:v>
                </c:pt>
                <c:pt idx="489">
                  <c:v>42803</c:v>
                </c:pt>
                <c:pt idx="490">
                  <c:v>42804</c:v>
                </c:pt>
                <c:pt idx="491">
                  <c:v>42807</c:v>
                </c:pt>
                <c:pt idx="492">
                  <c:v>42808</c:v>
                </c:pt>
                <c:pt idx="493">
                  <c:v>42809</c:v>
                </c:pt>
                <c:pt idx="494">
                  <c:v>42810</c:v>
                </c:pt>
                <c:pt idx="495">
                  <c:v>42811</c:v>
                </c:pt>
                <c:pt idx="496">
                  <c:v>42814</c:v>
                </c:pt>
                <c:pt idx="497">
                  <c:v>42815</c:v>
                </c:pt>
                <c:pt idx="498">
                  <c:v>42816</c:v>
                </c:pt>
                <c:pt idx="499">
                  <c:v>42817</c:v>
                </c:pt>
                <c:pt idx="500">
                  <c:v>42818</c:v>
                </c:pt>
                <c:pt idx="501">
                  <c:v>42821</c:v>
                </c:pt>
                <c:pt idx="502">
                  <c:v>42822</c:v>
                </c:pt>
                <c:pt idx="503">
                  <c:v>42823</c:v>
                </c:pt>
                <c:pt idx="504">
                  <c:v>42824</c:v>
                </c:pt>
                <c:pt idx="505">
                  <c:v>42825</c:v>
                </c:pt>
                <c:pt idx="506">
                  <c:v>42828</c:v>
                </c:pt>
                <c:pt idx="507">
                  <c:v>42829</c:v>
                </c:pt>
                <c:pt idx="508">
                  <c:v>42830</c:v>
                </c:pt>
                <c:pt idx="509">
                  <c:v>42831</c:v>
                </c:pt>
                <c:pt idx="510">
                  <c:v>42832</c:v>
                </c:pt>
                <c:pt idx="511">
                  <c:v>42835</c:v>
                </c:pt>
                <c:pt idx="512">
                  <c:v>42836</c:v>
                </c:pt>
                <c:pt idx="513">
                  <c:v>42837</c:v>
                </c:pt>
                <c:pt idx="514">
                  <c:v>42838</c:v>
                </c:pt>
                <c:pt idx="515">
                  <c:v>42843</c:v>
                </c:pt>
                <c:pt idx="516">
                  <c:v>42844</c:v>
                </c:pt>
                <c:pt idx="517">
                  <c:v>42845</c:v>
                </c:pt>
                <c:pt idx="518">
                  <c:v>42846</c:v>
                </c:pt>
                <c:pt idx="519">
                  <c:v>42849</c:v>
                </c:pt>
                <c:pt idx="520">
                  <c:v>42850</c:v>
                </c:pt>
                <c:pt idx="521">
                  <c:v>42851</c:v>
                </c:pt>
                <c:pt idx="522">
                  <c:v>42852</c:v>
                </c:pt>
                <c:pt idx="523">
                  <c:v>42853</c:v>
                </c:pt>
                <c:pt idx="524">
                  <c:v>42856</c:v>
                </c:pt>
                <c:pt idx="525">
                  <c:v>42857</c:v>
                </c:pt>
                <c:pt idx="526">
                  <c:v>42858</c:v>
                </c:pt>
                <c:pt idx="527">
                  <c:v>42859</c:v>
                </c:pt>
                <c:pt idx="528">
                  <c:v>42860</c:v>
                </c:pt>
                <c:pt idx="529">
                  <c:v>42863</c:v>
                </c:pt>
                <c:pt idx="530">
                  <c:v>42864</c:v>
                </c:pt>
                <c:pt idx="531">
                  <c:v>42865</c:v>
                </c:pt>
                <c:pt idx="532">
                  <c:v>42866</c:v>
                </c:pt>
                <c:pt idx="533">
                  <c:v>42867</c:v>
                </c:pt>
                <c:pt idx="534">
                  <c:v>42870</c:v>
                </c:pt>
                <c:pt idx="535">
                  <c:v>42871</c:v>
                </c:pt>
                <c:pt idx="536">
                  <c:v>42872</c:v>
                </c:pt>
                <c:pt idx="537">
                  <c:v>42873</c:v>
                </c:pt>
                <c:pt idx="538">
                  <c:v>42874</c:v>
                </c:pt>
                <c:pt idx="539">
                  <c:v>42877</c:v>
                </c:pt>
                <c:pt idx="540">
                  <c:v>42878</c:v>
                </c:pt>
                <c:pt idx="541">
                  <c:v>42879</c:v>
                </c:pt>
                <c:pt idx="542">
                  <c:v>42880</c:v>
                </c:pt>
                <c:pt idx="543">
                  <c:v>42881</c:v>
                </c:pt>
                <c:pt idx="544">
                  <c:v>42885</c:v>
                </c:pt>
                <c:pt idx="545">
                  <c:v>42886</c:v>
                </c:pt>
                <c:pt idx="546">
                  <c:v>42887</c:v>
                </c:pt>
                <c:pt idx="547">
                  <c:v>42888</c:v>
                </c:pt>
                <c:pt idx="548">
                  <c:v>42891</c:v>
                </c:pt>
                <c:pt idx="549">
                  <c:v>42892</c:v>
                </c:pt>
                <c:pt idx="550">
                  <c:v>42893</c:v>
                </c:pt>
                <c:pt idx="551">
                  <c:v>42894</c:v>
                </c:pt>
                <c:pt idx="552">
                  <c:v>42895</c:v>
                </c:pt>
                <c:pt idx="553">
                  <c:v>42898</c:v>
                </c:pt>
                <c:pt idx="554">
                  <c:v>42899</c:v>
                </c:pt>
                <c:pt idx="555">
                  <c:v>42900</c:v>
                </c:pt>
                <c:pt idx="556">
                  <c:v>42901</c:v>
                </c:pt>
                <c:pt idx="557">
                  <c:v>42902</c:v>
                </c:pt>
                <c:pt idx="558">
                  <c:v>42905</c:v>
                </c:pt>
                <c:pt idx="559">
                  <c:v>42906</c:v>
                </c:pt>
                <c:pt idx="560">
                  <c:v>42907</c:v>
                </c:pt>
                <c:pt idx="561">
                  <c:v>42908</c:v>
                </c:pt>
                <c:pt idx="562">
                  <c:v>42909</c:v>
                </c:pt>
                <c:pt idx="563">
                  <c:v>42912</c:v>
                </c:pt>
                <c:pt idx="564">
                  <c:v>42913</c:v>
                </c:pt>
                <c:pt idx="565">
                  <c:v>42914</c:v>
                </c:pt>
                <c:pt idx="566">
                  <c:v>42915</c:v>
                </c:pt>
                <c:pt idx="567">
                  <c:v>42916</c:v>
                </c:pt>
                <c:pt idx="568">
                  <c:v>42919</c:v>
                </c:pt>
                <c:pt idx="569">
                  <c:v>42920</c:v>
                </c:pt>
                <c:pt idx="570">
                  <c:v>42921</c:v>
                </c:pt>
                <c:pt idx="571">
                  <c:v>42922</c:v>
                </c:pt>
                <c:pt idx="572">
                  <c:v>42923</c:v>
                </c:pt>
                <c:pt idx="573">
                  <c:v>42926</c:v>
                </c:pt>
                <c:pt idx="574">
                  <c:v>42927</c:v>
                </c:pt>
                <c:pt idx="575">
                  <c:v>42928</c:v>
                </c:pt>
                <c:pt idx="576">
                  <c:v>42929</c:v>
                </c:pt>
                <c:pt idx="577">
                  <c:v>42930</c:v>
                </c:pt>
                <c:pt idx="578">
                  <c:v>42933</c:v>
                </c:pt>
                <c:pt idx="579">
                  <c:v>42934</c:v>
                </c:pt>
                <c:pt idx="580">
                  <c:v>42935</c:v>
                </c:pt>
                <c:pt idx="581">
                  <c:v>42936</c:v>
                </c:pt>
                <c:pt idx="582">
                  <c:v>42937</c:v>
                </c:pt>
                <c:pt idx="583">
                  <c:v>42940</c:v>
                </c:pt>
                <c:pt idx="584">
                  <c:v>42941</c:v>
                </c:pt>
                <c:pt idx="585">
                  <c:v>42942</c:v>
                </c:pt>
                <c:pt idx="586">
                  <c:v>42943</c:v>
                </c:pt>
                <c:pt idx="587">
                  <c:v>42944</c:v>
                </c:pt>
                <c:pt idx="588">
                  <c:v>42947</c:v>
                </c:pt>
                <c:pt idx="589">
                  <c:v>42948</c:v>
                </c:pt>
                <c:pt idx="590">
                  <c:v>42949</c:v>
                </c:pt>
                <c:pt idx="591">
                  <c:v>42950</c:v>
                </c:pt>
                <c:pt idx="592">
                  <c:v>42951</c:v>
                </c:pt>
                <c:pt idx="593">
                  <c:v>42954</c:v>
                </c:pt>
                <c:pt idx="594">
                  <c:v>42955</c:v>
                </c:pt>
                <c:pt idx="595">
                  <c:v>42956</c:v>
                </c:pt>
                <c:pt idx="596">
                  <c:v>42957</c:v>
                </c:pt>
                <c:pt idx="597">
                  <c:v>42958</c:v>
                </c:pt>
                <c:pt idx="598">
                  <c:v>42961</c:v>
                </c:pt>
                <c:pt idx="599">
                  <c:v>42962</c:v>
                </c:pt>
                <c:pt idx="600">
                  <c:v>42963</c:v>
                </c:pt>
                <c:pt idx="601">
                  <c:v>42964</c:v>
                </c:pt>
                <c:pt idx="602">
                  <c:v>42965</c:v>
                </c:pt>
                <c:pt idx="603">
                  <c:v>42968</c:v>
                </c:pt>
                <c:pt idx="604">
                  <c:v>42969</c:v>
                </c:pt>
                <c:pt idx="605">
                  <c:v>42970</c:v>
                </c:pt>
                <c:pt idx="606">
                  <c:v>42971</c:v>
                </c:pt>
                <c:pt idx="607">
                  <c:v>42972</c:v>
                </c:pt>
                <c:pt idx="608">
                  <c:v>42976</c:v>
                </c:pt>
                <c:pt idx="609">
                  <c:v>42977</c:v>
                </c:pt>
                <c:pt idx="610">
                  <c:v>42978</c:v>
                </c:pt>
                <c:pt idx="611">
                  <c:v>42979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42989</c:v>
                </c:pt>
                <c:pt idx="618">
                  <c:v>42990</c:v>
                </c:pt>
                <c:pt idx="619">
                  <c:v>42991</c:v>
                </c:pt>
                <c:pt idx="620">
                  <c:v>42992</c:v>
                </c:pt>
                <c:pt idx="621">
                  <c:v>42993</c:v>
                </c:pt>
                <c:pt idx="622">
                  <c:v>42996</c:v>
                </c:pt>
                <c:pt idx="623">
                  <c:v>42997</c:v>
                </c:pt>
                <c:pt idx="624">
                  <c:v>42998</c:v>
                </c:pt>
                <c:pt idx="625">
                  <c:v>42999</c:v>
                </c:pt>
                <c:pt idx="626">
                  <c:v>43000</c:v>
                </c:pt>
                <c:pt idx="627">
                  <c:v>43003</c:v>
                </c:pt>
                <c:pt idx="628">
                  <c:v>43004</c:v>
                </c:pt>
                <c:pt idx="629">
                  <c:v>43005</c:v>
                </c:pt>
                <c:pt idx="630">
                  <c:v>43006</c:v>
                </c:pt>
                <c:pt idx="631">
                  <c:v>43007</c:v>
                </c:pt>
                <c:pt idx="632">
                  <c:v>43010</c:v>
                </c:pt>
                <c:pt idx="633">
                  <c:v>43011</c:v>
                </c:pt>
                <c:pt idx="634">
                  <c:v>43012</c:v>
                </c:pt>
                <c:pt idx="635">
                  <c:v>43013</c:v>
                </c:pt>
                <c:pt idx="636">
                  <c:v>43014</c:v>
                </c:pt>
                <c:pt idx="637">
                  <c:v>43017</c:v>
                </c:pt>
                <c:pt idx="638">
                  <c:v>43018</c:v>
                </c:pt>
                <c:pt idx="639">
                  <c:v>43019</c:v>
                </c:pt>
                <c:pt idx="640">
                  <c:v>43020</c:v>
                </c:pt>
                <c:pt idx="641">
                  <c:v>43021</c:v>
                </c:pt>
                <c:pt idx="642">
                  <c:v>43024</c:v>
                </c:pt>
                <c:pt idx="643">
                  <c:v>43025</c:v>
                </c:pt>
                <c:pt idx="644">
                  <c:v>43026</c:v>
                </c:pt>
                <c:pt idx="645">
                  <c:v>43027</c:v>
                </c:pt>
                <c:pt idx="646">
                  <c:v>43028</c:v>
                </c:pt>
                <c:pt idx="647">
                  <c:v>43031</c:v>
                </c:pt>
                <c:pt idx="648">
                  <c:v>43032</c:v>
                </c:pt>
                <c:pt idx="649">
                  <c:v>43033</c:v>
                </c:pt>
                <c:pt idx="650">
                  <c:v>43034</c:v>
                </c:pt>
                <c:pt idx="651">
                  <c:v>43035</c:v>
                </c:pt>
                <c:pt idx="652">
                  <c:v>43038</c:v>
                </c:pt>
                <c:pt idx="653">
                  <c:v>43039</c:v>
                </c:pt>
                <c:pt idx="654">
                  <c:v>43040</c:v>
                </c:pt>
                <c:pt idx="655">
                  <c:v>43041</c:v>
                </c:pt>
                <c:pt idx="656">
                  <c:v>43042</c:v>
                </c:pt>
                <c:pt idx="657">
                  <c:v>43045</c:v>
                </c:pt>
                <c:pt idx="658">
                  <c:v>43046</c:v>
                </c:pt>
                <c:pt idx="659">
                  <c:v>43047</c:v>
                </c:pt>
                <c:pt idx="660">
                  <c:v>43048</c:v>
                </c:pt>
                <c:pt idx="661">
                  <c:v>43049</c:v>
                </c:pt>
                <c:pt idx="662">
                  <c:v>43052</c:v>
                </c:pt>
                <c:pt idx="663">
                  <c:v>43053</c:v>
                </c:pt>
                <c:pt idx="664">
                  <c:v>43054</c:v>
                </c:pt>
                <c:pt idx="665">
                  <c:v>43055</c:v>
                </c:pt>
                <c:pt idx="666">
                  <c:v>43056</c:v>
                </c:pt>
                <c:pt idx="667">
                  <c:v>43059</c:v>
                </c:pt>
                <c:pt idx="668">
                  <c:v>43060</c:v>
                </c:pt>
                <c:pt idx="669">
                  <c:v>43061</c:v>
                </c:pt>
                <c:pt idx="670">
                  <c:v>43062</c:v>
                </c:pt>
                <c:pt idx="671">
                  <c:v>43063</c:v>
                </c:pt>
                <c:pt idx="672">
                  <c:v>43066</c:v>
                </c:pt>
                <c:pt idx="673">
                  <c:v>43067</c:v>
                </c:pt>
                <c:pt idx="674">
                  <c:v>43068</c:v>
                </c:pt>
                <c:pt idx="675">
                  <c:v>43069</c:v>
                </c:pt>
                <c:pt idx="676">
                  <c:v>43070</c:v>
                </c:pt>
                <c:pt idx="677">
                  <c:v>43073</c:v>
                </c:pt>
                <c:pt idx="678">
                  <c:v>43074</c:v>
                </c:pt>
                <c:pt idx="679">
                  <c:v>43075</c:v>
                </c:pt>
                <c:pt idx="680">
                  <c:v>43076</c:v>
                </c:pt>
                <c:pt idx="681">
                  <c:v>43077</c:v>
                </c:pt>
                <c:pt idx="682">
                  <c:v>43080</c:v>
                </c:pt>
                <c:pt idx="683">
                  <c:v>43081</c:v>
                </c:pt>
                <c:pt idx="684">
                  <c:v>43082</c:v>
                </c:pt>
                <c:pt idx="685">
                  <c:v>43083</c:v>
                </c:pt>
                <c:pt idx="686">
                  <c:v>43084</c:v>
                </c:pt>
                <c:pt idx="687">
                  <c:v>43087</c:v>
                </c:pt>
                <c:pt idx="688">
                  <c:v>43088</c:v>
                </c:pt>
                <c:pt idx="689">
                  <c:v>43089</c:v>
                </c:pt>
                <c:pt idx="690">
                  <c:v>43090</c:v>
                </c:pt>
                <c:pt idx="691">
                  <c:v>43091</c:v>
                </c:pt>
                <c:pt idx="692">
                  <c:v>43096</c:v>
                </c:pt>
                <c:pt idx="693">
                  <c:v>43097</c:v>
                </c:pt>
                <c:pt idx="694">
                  <c:v>43098</c:v>
                </c:pt>
                <c:pt idx="695">
                  <c:v>43102</c:v>
                </c:pt>
                <c:pt idx="696">
                  <c:v>43103</c:v>
                </c:pt>
                <c:pt idx="697">
                  <c:v>43104</c:v>
                </c:pt>
                <c:pt idx="698">
                  <c:v>43105</c:v>
                </c:pt>
                <c:pt idx="699">
                  <c:v>43108</c:v>
                </c:pt>
                <c:pt idx="700">
                  <c:v>43109</c:v>
                </c:pt>
                <c:pt idx="701">
                  <c:v>43110</c:v>
                </c:pt>
                <c:pt idx="702">
                  <c:v>43111</c:v>
                </c:pt>
                <c:pt idx="703">
                  <c:v>43112</c:v>
                </c:pt>
                <c:pt idx="704">
                  <c:v>43115</c:v>
                </c:pt>
                <c:pt idx="705">
                  <c:v>43116</c:v>
                </c:pt>
                <c:pt idx="706">
                  <c:v>43117</c:v>
                </c:pt>
                <c:pt idx="707">
                  <c:v>43118</c:v>
                </c:pt>
                <c:pt idx="708">
                  <c:v>43119</c:v>
                </c:pt>
                <c:pt idx="709">
                  <c:v>43122</c:v>
                </c:pt>
                <c:pt idx="710">
                  <c:v>43123</c:v>
                </c:pt>
                <c:pt idx="711">
                  <c:v>43124</c:v>
                </c:pt>
                <c:pt idx="712">
                  <c:v>43125</c:v>
                </c:pt>
                <c:pt idx="713">
                  <c:v>43126</c:v>
                </c:pt>
                <c:pt idx="714">
                  <c:v>43129</c:v>
                </c:pt>
                <c:pt idx="715">
                  <c:v>43130</c:v>
                </c:pt>
                <c:pt idx="716">
                  <c:v>43131</c:v>
                </c:pt>
                <c:pt idx="717">
                  <c:v>43132</c:v>
                </c:pt>
                <c:pt idx="718">
                  <c:v>43133</c:v>
                </c:pt>
                <c:pt idx="719">
                  <c:v>43136</c:v>
                </c:pt>
                <c:pt idx="720">
                  <c:v>43137</c:v>
                </c:pt>
                <c:pt idx="721">
                  <c:v>43138</c:v>
                </c:pt>
                <c:pt idx="722">
                  <c:v>43139</c:v>
                </c:pt>
                <c:pt idx="723">
                  <c:v>43140</c:v>
                </c:pt>
                <c:pt idx="724">
                  <c:v>43143</c:v>
                </c:pt>
                <c:pt idx="725">
                  <c:v>43144</c:v>
                </c:pt>
                <c:pt idx="726">
                  <c:v>43145</c:v>
                </c:pt>
                <c:pt idx="727">
                  <c:v>43146</c:v>
                </c:pt>
                <c:pt idx="728">
                  <c:v>43147</c:v>
                </c:pt>
                <c:pt idx="729">
                  <c:v>43150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43189</c:v>
                </c:pt>
                <c:pt idx="759">
                  <c:v>43192</c:v>
                </c:pt>
                <c:pt idx="760">
                  <c:v>43193</c:v>
                </c:pt>
                <c:pt idx="761">
                  <c:v>43194</c:v>
                </c:pt>
                <c:pt idx="762">
                  <c:v>43195</c:v>
                </c:pt>
                <c:pt idx="763">
                  <c:v>43196</c:v>
                </c:pt>
                <c:pt idx="764">
                  <c:v>43199</c:v>
                </c:pt>
                <c:pt idx="765">
                  <c:v>43200</c:v>
                </c:pt>
                <c:pt idx="766">
                  <c:v>43201</c:v>
                </c:pt>
                <c:pt idx="767">
                  <c:v>43202</c:v>
                </c:pt>
                <c:pt idx="768">
                  <c:v>43203</c:v>
                </c:pt>
                <c:pt idx="769">
                  <c:v>43206</c:v>
                </c:pt>
                <c:pt idx="770">
                  <c:v>43207</c:v>
                </c:pt>
                <c:pt idx="771">
                  <c:v>43208</c:v>
                </c:pt>
                <c:pt idx="772">
                  <c:v>43209</c:v>
                </c:pt>
                <c:pt idx="773">
                  <c:v>43210</c:v>
                </c:pt>
                <c:pt idx="774">
                  <c:v>43213</c:v>
                </c:pt>
                <c:pt idx="775">
                  <c:v>43214</c:v>
                </c:pt>
                <c:pt idx="776">
                  <c:v>43215</c:v>
                </c:pt>
                <c:pt idx="777">
                  <c:v>43216</c:v>
                </c:pt>
                <c:pt idx="778">
                  <c:v>43217</c:v>
                </c:pt>
                <c:pt idx="779">
                  <c:v>43220</c:v>
                </c:pt>
                <c:pt idx="780">
                  <c:v>43221</c:v>
                </c:pt>
                <c:pt idx="781">
                  <c:v>43222</c:v>
                </c:pt>
                <c:pt idx="782">
                  <c:v>43223</c:v>
                </c:pt>
                <c:pt idx="783">
                  <c:v>43224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43285</c:v>
                </c:pt>
                <c:pt idx="825">
                  <c:v>43286</c:v>
                </c:pt>
                <c:pt idx="826">
                  <c:v>43287</c:v>
                </c:pt>
                <c:pt idx="827">
                  <c:v>43290</c:v>
                </c:pt>
                <c:pt idx="828">
                  <c:v>43291</c:v>
                </c:pt>
                <c:pt idx="829">
                  <c:v>43292</c:v>
                </c:pt>
                <c:pt idx="830">
                  <c:v>43293</c:v>
                </c:pt>
                <c:pt idx="831">
                  <c:v>43294</c:v>
                </c:pt>
                <c:pt idx="832">
                  <c:v>43297</c:v>
                </c:pt>
                <c:pt idx="833">
                  <c:v>43298</c:v>
                </c:pt>
                <c:pt idx="834">
                  <c:v>43299</c:v>
                </c:pt>
                <c:pt idx="835">
                  <c:v>43300</c:v>
                </c:pt>
                <c:pt idx="836">
                  <c:v>43301</c:v>
                </c:pt>
                <c:pt idx="837">
                  <c:v>43304</c:v>
                </c:pt>
                <c:pt idx="838">
                  <c:v>43305</c:v>
                </c:pt>
                <c:pt idx="839">
                  <c:v>43306</c:v>
                </c:pt>
                <c:pt idx="840">
                  <c:v>43307</c:v>
                </c:pt>
                <c:pt idx="841">
                  <c:v>43308</c:v>
                </c:pt>
                <c:pt idx="842">
                  <c:v>43311</c:v>
                </c:pt>
                <c:pt idx="843">
                  <c:v>43312</c:v>
                </c:pt>
                <c:pt idx="844">
                  <c:v>43313</c:v>
                </c:pt>
                <c:pt idx="845">
                  <c:v>43314</c:v>
                </c:pt>
                <c:pt idx="846">
                  <c:v>43315</c:v>
                </c:pt>
                <c:pt idx="847">
                  <c:v>43318</c:v>
                </c:pt>
                <c:pt idx="848">
                  <c:v>43319</c:v>
                </c:pt>
                <c:pt idx="849">
                  <c:v>43320</c:v>
                </c:pt>
                <c:pt idx="850">
                  <c:v>43321</c:v>
                </c:pt>
                <c:pt idx="851">
                  <c:v>43322</c:v>
                </c:pt>
                <c:pt idx="852">
                  <c:v>43325</c:v>
                </c:pt>
                <c:pt idx="853">
                  <c:v>43326</c:v>
                </c:pt>
                <c:pt idx="854">
                  <c:v>43327</c:v>
                </c:pt>
                <c:pt idx="855">
                  <c:v>43328</c:v>
                </c:pt>
                <c:pt idx="856">
                  <c:v>43329</c:v>
                </c:pt>
                <c:pt idx="857">
                  <c:v>43332</c:v>
                </c:pt>
                <c:pt idx="858">
                  <c:v>43333</c:v>
                </c:pt>
                <c:pt idx="859">
                  <c:v>43334</c:v>
                </c:pt>
                <c:pt idx="860">
                  <c:v>43335</c:v>
                </c:pt>
                <c:pt idx="861">
                  <c:v>43336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43346</c:v>
                </c:pt>
                <c:pt idx="867">
                  <c:v>43347</c:v>
                </c:pt>
                <c:pt idx="868">
                  <c:v>43348</c:v>
                </c:pt>
                <c:pt idx="869">
                  <c:v>43349</c:v>
                </c:pt>
                <c:pt idx="870">
                  <c:v>43350</c:v>
                </c:pt>
                <c:pt idx="871">
                  <c:v>43353</c:v>
                </c:pt>
                <c:pt idx="872">
                  <c:v>43354</c:v>
                </c:pt>
                <c:pt idx="873">
                  <c:v>43355</c:v>
                </c:pt>
                <c:pt idx="874">
                  <c:v>43356</c:v>
                </c:pt>
                <c:pt idx="875">
                  <c:v>43357</c:v>
                </c:pt>
                <c:pt idx="876">
                  <c:v>43360</c:v>
                </c:pt>
                <c:pt idx="877">
                  <c:v>43361</c:v>
                </c:pt>
                <c:pt idx="878">
                  <c:v>43362</c:v>
                </c:pt>
                <c:pt idx="879">
                  <c:v>43363</c:v>
                </c:pt>
                <c:pt idx="880">
                  <c:v>43364</c:v>
                </c:pt>
                <c:pt idx="881">
                  <c:v>43367</c:v>
                </c:pt>
                <c:pt idx="882">
                  <c:v>43368</c:v>
                </c:pt>
                <c:pt idx="883">
                  <c:v>43369</c:v>
                </c:pt>
                <c:pt idx="884">
                  <c:v>43370</c:v>
                </c:pt>
                <c:pt idx="885">
                  <c:v>43371</c:v>
                </c:pt>
                <c:pt idx="886">
                  <c:v>43374</c:v>
                </c:pt>
                <c:pt idx="887">
                  <c:v>43375</c:v>
                </c:pt>
                <c:pt idx="888">
                  <c:v>43376</c:v>
                </c:pt>
                <c:pt idx="889">
                  <c:v>43377</c:v>
                </c:pt>
                <c:pt idx="890">
                  <c:v>43378</c:v>
                </c:pt>
                <c:pt idx="891">
                  <c:v>43381</c:v>
                </c:pt>
                <c:pt idx="892">
                  <c:v>43382</c:v>
                </c:pt>
                <c:pt idx="893">
                  <c:v>43383</c:v>
                </c:pt>
                <c:pt idx="894">
                  <c:v>43384</c:v>
                </c:pt>
                <c:pt idx="895">
                  <c:v>43385</c:v>
                </c:pt>
                <c:pt idx="896">
                  <c:v>43388</c:v>
                </c:pt>
                <c:pt idx="897">
                  <c:v>43389</c:v>
                </c:pt>
                <c:pt idx="898">
                  <c:v>43390</c:v>
                </c:pt>
                <c:pt idx="899">
                  <c:v>43391</c:v>
                </c:pt>
                <c:pt idx="900">
                  <c:v>43392</c:v>
                </c:pt>
                <c:pt idx="901">
                  <c:v>43395</c:v>
                </c:pt>
                <c:pt idx="902">
                  <c:v>43396</c:v>
                </c:pt>
                <c:pt idx="903">
                  <c:v>43397</c:v>
                </c:pt>
                <c:pt idx="904">
                  <c:v>43398</c:v>
                </c:pt>
                <c:pt idx="905">
                  <c:v>43399</c:v>
                </c:pt>
                <c:pt idx="906">
                  <c:v>43402</c:v>
                </c:pt>
                <c:pt idx="907">
                  <c:v>43403</c:v>
                </c:pt>
                <c:pt idx="908">
                  <c:v>43404</c:v>
                </c:pt>
                <c:pt idx="909">
                  <c:v>43405</c:v>
                </c:pt>
                <c:pt idx="910">
                  <c:v>43406</c:v>
                </c:pt>
                <c:pt idx="911">
                  <c:v>43409</c:v>
                </c:pt>
                <c:pt idx="912">
                  <c:v>43410</c:v>
                </c:pt>
                <c:pt idx="913">
                  <c:v>43411</c:v>
                </c:pt>
                <c:pt idx="914">
                  <c:v>43412</c:v>
                </c:pt>
                <c:pt idx="915">
                  <c:v>43413</c:v>
                </c:pt>
                <c:pt idx="916">
                  <c:v>43416</c:v>
                </c:pt>
                <c:pt idx="917">
                  <c:v>43417</c:v>
                </c:pt>
                <c:pt idx="918">
                  <c:v>43418</c:v>
                </c:pt>
                <c:pt idx="919">
                  <c:v>43419</c:v>
                </c:pt>
                <c:pt idx="920">
                  <c:v>43420</c:v>
                </c:pt>
                <c:pt idx="921">
                  <c:v>43423</c:v>
                </c:pt>
                <c:pt idx="922">
                  <c:v>43424</c:v>
                </c:pt>
                <c:pt idx="923">
                  <c:v>43425</c:v>
                </c:pt>
                <c:pt idx="924">
                  <c:v>43426</c:v>
                </c:pt>
                <c:pt idx="925">
                  <c:v>43427</c:v>
                </c:pt>
                <c:pt idx="926">
                  <c:v>43430</c:v>
                </c:pt>
                <c:pt idx="927">
                  <c:v>43431</c:v>
                </c:pt>
                <c:pt idx="928">
                  <c:v>43432</c:v>
                </c:pt>
                <c:pt idx="929">
                  <c:v>43433</c:v>
                </c:pt>
                <c:pt idx="930">
                  <c:v>43434</c:v>
                </c:pt>
                <c:pt idx="931">
                  <c:v>43437</c:v>
                </c:pt>
                <c:pt idx="932">
                  <c:v>43438</c:v>
                </c:pt>
                <c:pt idx="933">
                  <c:v>43439</c:v>
                </c:pt>
                <c:pt idx="934">
                  <c:v>43440</c:v>
                </c:pt>
                <c:pt idx="935">
                  <c:v>43441</c:v>
                </c:pt>
                <c:pt idx="936">
                  <c:v>43444</c:v>
                </c:pt>
                <c:pt idx="937">
                  <c:v>43445</c:v>
                </c:pt>
                <c:pt idx="938">
                  <c:v>43446</c:v>
                </c:pt>
                <c:pt idx="939">
                  <c:v>43447</c:v>
                </c:pt>
                <c:pt idx="940">
                  <c:v>43448</c:v>
                </c:pt>
                <c:pt idx="941">
                  <c:v>43451</c:v>
                </c:pt>
                <c:pt idx="942">
                  <c:v>43452</c:v>
                </c:pt>
                <c:pt idx="943">
                  <c:v>43453</c:v>
                </c:pt>
                <c:pt idx="944">
                  <c:v>43454</c:v>
                </c:pt>
                <c:pt idx="945">
                  <c:v>43455</c:v>
                </c:pt>
                <c:pt idx="946">
                  <c:v>43458</c:v>
                </c:pt>
                <c:pt idx="947">
                  <c:v>43461</c:v>
                </c:pt>
                <c:pt idx="948">
                  <c:v>43462</c:v>
                </c:pt>
                <c:pt idx="949">
                  <c:v>43465</c:v>
                </c:pt>
                <c:pt idx="950">
                  <c:v>43467</c:v>
                </c:pt>
                <c:pt idx="951">
                  <c:v>43468</c:v>
                </c:pt>
                <c:pt idx="952">
                  <c:v>43469</c:v>
                </c:pt>
                <c:pt idx="953">
                  <c:v>43472</c:v>
                </c:pt>
                <c:pt idx="954">
                  <c:v>43473</c:v>
                </c:pt>
                <c:pt idx="955">
                  <c:v>43474</c:v>
                </c:pt>
                <c:pt idx="956">
                  <c:v>43475</c:v>
                </c:pt>
                <c:pt idx="957">
                  <c:v>43476</c:v>
                </c:pt>
                <c:pt idx="958">
                  <c:v>43479</c:v>
                </c:pt>
                <c:pt idx="959">
                  <c:v>43480</c:v>
                </c:pt>
                <c:pt idx="960">
                  <c:v>43481</c:v>
                </c:pt>
                <c:pt idx="961">
                  <c:v>43482</c:v>
                </c:pt>
                <c:pt idx="962">
                  <c:v>43483</c:v>
                </c:pt>
                <c:pt idx="963">
                  <c:v>43486</c:v>
                </c:pt>
                <c:pt idx="964">
                  <c:v>43487</c:v>
                </c:pt>
                <c:pt idx="965">
                  <c:v>43488</c:v>
                </c:pt>
                <c:pt idx="966">
                  <c:v>43489</c:v>
                </c:pt>
                <c:pt idx="967">
                  <c:v>43490</c:v>
                </c:pt>
                <c:pt idx="968">
                  <c:v>43493</c:v>
                </c:pt>
                <c:pt idx="969">
                  <c:v>43494</c:v>
                </c:pt>
                <c:pt idx="970">
                  <c:v>43495</c:v>
                </c:pt>
                <c:pt idx="971">
                  <c:v>43496</c:v>
                </c:pt>
                <c:pt idx="972">
                  <c:v>43497</c:v>
                </c:pt>
                <c:pt idx="973">
                  <c:v>43500</c:v>
                </c:pt>
                <c:pt idx="974">
                  <c:v>43501</c:v>
                </c:pt>
                <c:pt idx="975">
                  <c:v>43502</c:v>
                </c:pt>
                <c:pt idx="976">
                  <c:v>43503</c:v>
                </c:pt>
                <c:pt idx="977">
                  <c:v>43504</c:v>
                </c:pt>
                <c:pt idx="978">
                  <c:v>43507</c:v>
                </c:pt>
                <c:pt idx="979">
                  <c:v>43508</c:v>
                </c:pt>
                <c:pt idx="980">
                  <c:v>43509</c:v>
                </c:pt>
                <c:pt idx="981">
                  <c:v>43510</c:v>
                </c:pt>
                <c:pt idx="982">
                  <c:v>43511</c:v>
                </c:pt>
                <c:pt idx="983">
                  <c:v>43514</c:v>
                </c:pt>
                <c:pt idx="984">
                  <c:v>43515</c:v>
                </c:pt>
                <c:pt idx="985">
                  <c:v>43516</c:v>
                </c:pt>
                <c:pt idx="986">
                  <c:v>43517</c:v>
                </c:pt>
                <c:pt idx="987">
                  <c:v>43518</c:v>
                </c:pt>
                <c:pt idx="988">
                  <c:v>43521</c:v>
                </c:pt>
                <c:pt idx="989">
                  <c:v>43522</c:v>
                </c:pt>
                <c:pt idx="990">
                  <c:v>43523</c:v>
                </c:pt>
                <c:pt idx="991">
                  <c:v>43524</c:v>
                </c:pt>
                <c:pt idx="992">
                  <c:v>43525</c:v>
                </c:pt>
                <c:pt idx="993">
                  <c:v>43528</c:v>
                </c:pt>
                <c:pt idx="994">
                  <c:v>43529</c:v>
                </c:pt>
                <c:pt idx="995">
                  <c:v>43530</c:v>
                </c:pt>
                <c:pt idx="996">
                  <c:v>43531</c:v>
                </c:pt>
                <c:pt idx="997">
                  <c:v>43532</c:v>
                </c:pt>
                <c:pt idx="998">
                  <c:v>43535</c:v>
                </c:pt>
                <c:pt idx="999">
                  <c:v>43536</c:v>
                </c:pt>
                <c:pt idx="1000">
                  <c:v>43537</c:v>
                </c:pt>
                <c:pt idx="1001">
                  <c:v>43538</c:v>
                </c:pt>
                <c:pt idx="1002">
                  <c:v>43539</c:v>
                </c:pt>
                <c:pt idx="1003">
                  <c:v>43542</c:v>
                </c:pt>
                <c:pt idx="1004">
                  <c:v>43543</c:v>
                </c:pt>
                <c:pt idx="1005">
                  <c:v>43544</c:v>
                </c:pt>
                <c:pt idx="1006">
                  <c:v>43545</c:v>
                </c:pt>
                <c:pt idx="1007">
                  <c:v>43546</c:v>
                </c:pt>
                <c:pt idx="1008">
                  <c:v>43549</c:v>
                </c:pt>
                <c:pt idx="1009">
                  <c:v>43550</c:v>
                </c:pt>
                <c:pt idx="1010">
                  <c:v>43551</c:v>
                </c:pt>
                <c:pt idx="1011">
                  <c:v>43552</c:v>
                </c:pt>
                <c:pt idx="1012">
                  <c:v>43553</c:v>
                </c:pt>
                <c:pt idx="1013">
                  <c:v>43556</c:v>
                </c:pt>
                <c:pt idx="1014">
                  <c:v>43557</c:v>
                </c:pt>
                <c:pt idx="1015">
                  <c:v>43558</c:v>
                </c:pt>
                <c:pt idx="1016">
                  <c:v>43559</c:v>
                </c:pt>
                <c:pt idx="1017">
                  <c:v>43560</c:v>
                </c:pt>
                <c:pt idx="1018">
                  <c:v>43563</c:v>
                </c:pt>
                <c:pt idx="1019">
                  <c:v>43564</c:v>
                </c:pt>
                <c:pt idx="1020">
                  <c:v>43565</c:v>
                </c:pt>
                <c:pt idx="1021">
                  <c:v>43566</c:v>
                </c:pt>
                <c:pt idx="1022">
                  <c:v>43567</c:v>
                </c:pt>
                <c:pt idx="1023">
                  <c:v>43570</c:v>
                </c:pt>
                <c:pt idx="1024">
                  <c:v>43571</c:v>
                </c:pt>
                <c:pt idx="1025">
                  <c:v>43572</c:v>
                </c:pt>
                <c:pt idx="1026">
                  <c:v>43573</c:v>
                </c:pt>
                <c:pt idx="1027">
                  <c:v>43578</c:v>
                </c:pt>
                <c:pt idx="1028">
                  <c:v>43579</c:v>
                </c:pt>
                <c:pt idx="1029">
                  <c:v>43580</c:v>
                </c:pt>
                <c:pt idx="1030">
                  <c:v>43581</c:v>
                </c:pt>
                <c:pt idx="1031">
                  <c:v>43584</c:v>
                </c:pt>
                <c:pt idx="1032">
                  <c:v>43585</c:v>
                </c:pt>
                <c:pt idx="1033">
                  <c:v>43586</c:v>
                </c:pt>
                <c:pt idx="1034">
                  <c:v>43587</c:v>
                </c:pt>
                <c:pt idx="1035">
                  <c:v>43588</c:v>
                </c:pt>
                <c:pt idx="1036">
                  <c:v>43592</c:v>
                </c:pt>
                <c:pt idx="1037">
                  <c:v>43593</c:v>
                </c:pt>
                <c:pt idx="1038">
                  <c:v>43594</c:v>
                </c:pt>
                <c:pt idx="1039">
                  <c:v>43595</c:v>
                </c:pt>
                <c:pt idx="1040">
                  <c:v>43598</c:v>
                </c:pt>
                <c:pt idx="1041">
                  <c:v>43599</c:v>
                </c:pt>
                <c:pt idx="1042">
                  <c:v>43600</c:v>
                </c:pt>
                <c:pt idx="1043">
                  <c:v>43601</c:v>
                </c:pt>
                <c:pt idx="1044">
                  <c:v>43602</c:v>
                </c:pt>
                <c:pt idx="1045">
                  <c:v>43605</c:v>
                </c:pt>
                <c:pt idx="1046">
                  <c:v>43606</c:v>
                </c:pt>
                <c:pt idx="1047">
                  <c:v>43607</c:v>
                </c:pt>
                <c:pt idx="1048">
                  <c:v>43608</c:v>
                </c:pt>
                <c:pt idx="1049">
                  <c:v>43609</c:v>
                </c:pt>
                <c:pt idx="1050">
                  <c:v>43613</c:v>
                </c:pt>
                <c:pt idx="1051">
                  <c:v>43614</c:v>
                </c:pt>
                <c:pt idx="1052">
                  <c:v>43615</c:v>
                </c:pt>
                <c:pt idx="1053">
                  <c:v>43616</c:v>
                </c:pt>
                <c:pt idx="1054">
                  <c:v>43619</c:v>
                </c:pt>
                <c:pt idx="1055">
                  <c:v>43620</c:v>
                </c:pt>
                <c:pt idx="1056">
                  <c:v>43621</c:v>
                </c:pt>
                <c:pt idx="1057">
                  <c:v>43622</c:v>
                </c:pt>
                <c:pt idx="1058">
                  <c:v>43623</c:v>
                </c:pt>
                <c:pt idx="1059">
                  <c:v>43626</c:v>
                </c:pt>
                <c:pt idx="1060">
                  <c:v>43627</c:v>
                </c:pt>
                <c:pt idx="1061">
                  <c:v>43628</c:v>
                </c:pt>
                <c:pt idx="1062">
                  <c:v>43629</c:v>
                </c:pt>
                <c:pt idx="1063">
                  <c:v>43630</c:v>
                </c:pt>
                <c:pt idx="1064">
                  <c:v>43633</c:v>
                </c:pt>
                <c:pt idx="1065">
                  <c:v>43634</c:v>
                </c:pt>
                <c:pt idx="1066">
                  <c:v>43635</c:v>
                </c:pt>
                <c:pt idx="1067">
                  <c:v>43636</c:v>
                </c:pt>
                <c:pt idx="1068">
                  <c:v>43637</c:v>
                </c:pt>
                <c:pt idx="1069">
                  <c:v>43640</c:v>
                </c:pt>
                <c:pt idx="1070">
                  <c:v>43641</c:v>
                </c:pt>
                <c:pt idx="1071">
                  <c:v>43642</c:v>
                </c:pt>
                <c:pt idx="1072">
                  <c:v>43643</c:v>
                </c:pt>
                <c:pt idx="1073">
                  <c:v>43644</c:v>
                </c:pt>
                <c:pt idx="1074">
                  <c:v>43647</c:v>
                </c:pt>
                <c:pt idx="1075">
                  <c:v>43648</c:v>
                </c:pt>
                <c:pt idx="1076">
                  <c:v>43649</c:v>
                </c:pt>
                <c:pt idx="1077">
                  <c:v>43650</c:v>
                </c:pt>
                <c:pt idx="1078">
                  <c:v>43651</c:v>
                </c:pt>
                <c:pt idx="1079">
                  <c:v>43654</c:v>
                </c:pt>
                <c:pt idx="1080">
                  <c:v>43655</c:v>
                </c:pt>
                <c:pt idx="1081">
                  <c:v>43656</c:v>
                </c:pt>
                <c:pt idx="1082">
                  <c:v>43657</c:v>
                </c:pt>
                <c:pt idx="1083">
                  <c:v>43658</c:v>
                </c:pt>
                <c:pt idx="1084">
                  <c:v>43661</c:v>
                </c:pt>
                <c:pt idx="1085">
                  <c:v>43662</c:v>
                </c:pt>
                <c:pt idx="1086">
                  <c:v>43663</c:v>
                </c:pt>
                <c:pt idx="1087">
                  <c:v>43664</c:v>
                </c:pt>
                <c:pt idx="1088">
                  <c:v>43665</c:v>
                </c:pt>
                <c:pt idx="1089">
                  <c:v>43668</c:v>
                </c:pt>
                <c:pt idx="1090">
                  <c:v>43669</c:v>
                </c:pt>
                <c:pt idx="1091">
                  <c:v>43670</c:v>
                </c:pt>
                <c:pt idx="1092">
                  <c:v>43671</c:v>
                </c:pt>
                <c:pt idx="1093">
                  <c:v>43672</c:v>
                </c:pt>
                <c:pt idx="1094">
                  <c:v>43675</c:v>
                </c:pt>
                <c:pt idx="1095">
                  <c:v>43676</c:v>
                </c:pt>
                <c:pt idx="1096">
                  <c:v>43677</c:v>
                </c:pt>
                <c:pt idx="1097">
                  <c:v>43678</c:v>
                </c:pt>
                <c:pt idx="1098">
                  <c:v>43679</c:v>
                </c:pt>
                <c:pt idx="1099">
                  <c:v>43682</c:v>
                </c:pt>
                <c:pt idx="1100">
                  <c:v>43683</c:v>
                </c:pt>
                <c:pt idx="1101">
                  <c:v>43684</c:v>
                </c:pt>
                <c:pt idx="1102">
                  <c:v>43685</c:v>
                </c:pt>
                <c:pt idx="1103">
                  <c:v>43686</c:v>
                </c:pt>
                <c:pt idx="1104">
                  <c:v>43689</c:v>
                </c:pt>
                <c:pt idx="1105">
                  <c:v>43690</c:v>
                </c:pt>
                <c:pt idx="1106">
                  <c:v>43691</c:v>
                </c:pt>
                <c:pt idx="1107">
                  <c:v>43692</c:v>
                </c:pt>
                <c:pt idx="1108">
                  <c:v>43693</c:v>
                </c:pt>
                <c:pt idx="1109">
                  <c:v>43696</c:v>
                </c:pt>
                <c:pt idx="1110">
                  <c:v>43697</c:v>
                </c:pt>
                <c:pt idx="1111">
                  <c:v>43698</c:v>
                </c:pt>
                <c:pt idx="1112">
                  <c:v>43699</c:v>
                </c:pt>
                <c:pt idx="1113">
                  <c:v>43700</c:v>
                </c:pt>
                <c:pt idx="1114">
                  <c:v>43704</c:v>
                </c:pt>
                <c:pt idx="1115">
                  <c:v>43705</c:v>
                </c:pt>
                <c:pt idx="1116">
                  <c:v>43706</c:v>
                </c:pt>
                <c:pt idx="1117">
                  <c:v>43707</c:v>
                </c:pt>
                <c:pt idx="1118">
                  <c:v>43710</c:v>
                </c:pt>
                <c:pt idx="1119">
                  <c:v>43711</c:v>
                </c:pt>
                <c:pt idx="1120">
                  <c:v>43712</c:v>
                </c:pt>
                <c:pt idx="1121">
                  <c:v>43713</c:v>
                </c:pt>
                <c:pt idx="1122">
                  <c:v>43714</c:v>
                </c:pt>
                <c:pt idx="1123">
                  <c:v>43717</c:v>
                </c:pt>
                <c:pt idx="1124">
                  <c:v>43718</c:v>
                </c:pt>
                <c:pt idx="1125">
                  <c:v>43719</c:v>
                </c:pt>
                <c:pt idx="1126">
                  <c:v>43720</c:v>
                </c:pt>
                <c:pt idx="1127">
                  <c:v>43721</c:v>
                </c:pt>
                <c:pt idx="1128">
                  <c:v>43724</c:v>
                </c:pt>
                <c:pt idx="1129">
                  <c:v>43725</c:v>
                </c:pt>
                <c:pt idx="1130">
                  <c:v>43726</c:v>
                </c:pt>
                <c:pt idx="1131">
                  <c:v>43727</c:v>
                </c:pt>
                <c:pt idx="1132">
                  <c:v>43728</c:v>
                </c:pt>
                <c:pt idx="1133">
                  <c:v>43731</c:v>
                </c:pt>
                <c:pt idx="1134">
                  <c:v>43732</c:v>
                </c:pt>
                <c:pt idx="1135">
                  <c:v>43733</c:v>
                </c:pt>
                <c:pt idx="1136">
                  <c:v>43734</c:v>
                </c:pt>
                <c:pt idx="1137">
                  <c:v>43735</c:v>
                </c:pt>
                <c:pt idx="1138">
                  <c:v>43738</c:v>
                </c:pt>
                <c:pt idx="1139">
                  <c:v>43739</c:v>
                </c:pt>
                <c:pt idx="1140">
                  <c:v>43740</c:v>
                </c:pt>
                <c:pt idx="1141">
                  <c:v>43741</c:v>
                </c:pt>
                <c:pt idx="1142">
                  <c:v>43742</c:v>
                </c:pt>
                <c:pt idx="1143">
                  <c:v>43745</c:v>
                </c:pt>
                <c:pt idx="1144">
                  <c:v>43746</c:v>
                </c:pt>
                <c:pt idx="1145">
                  <c:v>43747</c:v>
                </c:pt>
                <c:pt idx="1146">
                  <c:v>43748</c:v>
                </c:pt>
                <c:pt idx="1147">
                  <c:v>43749</c:v>
                </c:pt>
                <c:pt idx="1148">
                  <c:v>43752</c:v>
                </c:pt>
                <c:pt idx="1149">
                  <c:v>43753</c:v>
                </c:pt>
                <c:pt idx="1150">
                  <c:v>43754</c:v>
                </c:pt>
                <c:pt idx="1151">
                  <c:v>43755</c:v>
                </c:pt>
                <c:pt idx="1152">
                  <c:v>43756</c:v>
                </c:pt>
                <c:pt idx="1153">
                  <c:v>43759</c:v>
                </c:pt>
                <c:pt idx="1154">
                  <c:v>43760</c:v>
                </c:pt>
                <c:pt idx="1155">
                  <c:v>43761</c:v>
                </c:pt>
                <c:pt idx="1156">
                  <c:v>43762</c:v>
                </c:pt>
                <c:pt idx="1157">
                  <c:v>43763</c:v>
                </c:pt>
                <c:pt idx="1158">
                  <c:v>43766</c:v>
                </c:pt>
                <c:pt idx="1159">
                  <c:v>43767</c:v>
                </c:pt>
                <c:pt idx="1160">
                  <c:v>43768</c:v>
                </c:pt>
                <c:pt idx="1161">
                  <c:v>43769</c:v>
                </c:pt>
                <c:pt idx="1162">
                  <c:v>43770</c:v>
                </c:pt>
                <c:pt idx="1163">
                  <c:v>43773</c:v>
                </c:pt>
                <c:pt idx="1164">
                  <c:v>43774</c:v>
                </c:pt>
                <c:pt idx="1165">
                  <c:v>43775</c:v>
                </c:pt>
                <c:pt idx="1166">
                  <c:v>43776</c:v>
                </c:pt>
                <c:pt idx="1167">
                  <c:v>43777</c:v>
                </c:pt>
                <c:pt idx="1168">
                  <c:v>43780</c:v>
                </c:pt>
                <c:pt idx="1169">
                  <c:v>43781</c:v>
                </c:pt>
                <c:pt idx="1170">
                  <c:v>43782</c:v>
                </c:pt>
                <c:pt idx="1171">
                  <c:v>43783</c:v>
                </c:pt>
                <c:pt idx="1172">
                  <c:v>43784</c:v>
                </c:pt>
                <c:pt idx="1173">
                  <c:v>43787</c:v>
                </c:pt>
                <c:pt idx="1174">
                  <c:v>43788</c:v>
                </c:pt>
                <c:pt idx="1175">
                  <c:v>43789</c:v>
                </c:pt>
                <c:pt idx="1176">
                  <c:v>43790</c:v>
                </c:pt>
                <c:pt idx="1177">
                  <c:v>43791</c:v>
                </c:pt>
                <c:pt idx="1178">
                  <c:v>43794</c:v>
                </c:pt>
                <c:pt idx="1179">
                  <c:v>43795</c:v>
                </c:pt>
                <c:pt idx="1180">
                  <c:v>43796</c:v>
                </c:pt>
                <c:pt idx="1181">
                  <c:v>43797</c:v>
                </c:pt>
                <c:pt idx="1182">
                  <c:v>43798</c:v>
                </c:pt>
                <c:pt idx="1183">
                  <c:v>43801</c:v>
                </c:pt>
                <c:pt idx="1184">
                  <c:v>43802</c:v>
                </c:pt>
                <c:pt idx="1185">
                  <c:v>43803</c:v>
                </c:pt>
                <c:pt idx="1186">
                  <c:v>43804</c:v>
                </c:pt>
                <c:pt idx="1187">
                  <c:v>43805</c:v>
                </c:pt>
                <c:pt idx="1188">
                  <c:v>43808</c:v>
                </c:pt>
                <c:pt idx="1189">
                  <c:v>43809</c:v>
                </c:pt>
                <c:pt idx="1190">
                  <c:v>43810</c:v>
                </c:pt>
                <c:pt idx="1191">
                  <c:v>43811</c:v>
                </c:pt>
                <c:pt idx="1192">
                  <c:v>43812</c:v>
                </c:pt>
                <c:pt idx="1193">
                  <c:v>43815</c:v>
                </c:pt>
                <c:pt idx="1194">
                  <c:v>43816</c:v>
                </c:pt>
                <c:pt idx="1195">
                  <c:v>43817</c:v>
                </c:pt>
                <c:pt idx="1196">
                  <c:v>43818</c:v>
                </c:pt>
                <c:pt idx="1197">
                  <c:v>43819</c:v>
                </c:pt>
                <c:pt idx="1198">
                  <c:v>43822</c:v>
                </c:pt>
                <c:pt idx="1199">
                  <c:v>43823</c:v>
                </c:pt>
                <c:pt idx="1200">
                  <c:v>43826</c:v>
                </c:pt>
                <c:pt idx="1201">
                  <c:v>43829</c:v>
                </c:pt>
                <c:pt idx="1202">
                  <c:v>43830</c:v>
                </c:pt>
                <c:pt idx="1203">
                  <c:v>43832</c:v>
                </c:pt>
                <c:pt idx="1204">
                  <c:v>43833</c:v>
                </c:pt>
                <c:pt idx="1205">
                  <c:v>43836</c:v>
                </c:pt>
                <c:pt idx="1206">
                  <c:v>43837</c:v>
                </c:pt>
                <c:pt idx="1207">
                  <c:v>43838</c:v>
                </c:pt>
                <c:pt idx="1208">
                  <c:v>43839</c:v>
                </c:pt>
                <c:pt idx="1209">
                  <c:v>43840</c:v>
                </c:pt>
                <c:pt idx="1210">
                  <c:v>43843</c:v>
                </c:pt>
                <c:pt idx="1211">
                  <c:v>43844</c:v>
                </c:pt>
                <c:pt idx="1212">
                  <c:v>43845</c:v>
                </c:pt>
                <c:pt idx="1213">
                  <c:v>43846</c:v>
                </c:pt>
                <c:pt idx="1214">
                  <c:v>43847</c:v>
                </c:pt>
                <c:pt idx="1215">
                  <c:v>43850</c:v>
                </c:pt>
                <c:pt idx="1216">
                  <c:v>43851</c:v>
                </c:pt>
                <c:pt idx="1217">
                  <c:v>43852</c:v>
                </c:pt>
                <c:pt idx="1218">
                  <c:v>43853</c:v>
                </c:pt>
                <c:pt idx="1219">
                  <c:v>43854</c:v>
                </c:pt>
                <c:pt idx="1220">
                  <c:v>43857</c:v>
                </c:pt>
                <c:pt idx="1221">
                  <c:v>43858</c:v>
                </c:pt>
                <c:pt idx="1222">
                  <c:v>43859</c:v>
                </c:pt>
                <c:pt idx="1223">
                  <c:v>43860</c:v>
                </c:pt>
                <c:pt idx="1224">
                  <c:v>43861</c:v>
                </c:pt>
                <c:pt idx="1225">
                  <c:v>43864</c:v>
                </c:pt>
                <c:pt idx="1226">
                  <c:v>43865</c:v>
                </c:pt>
                <c:pt idx="1227">
                  <c:v>43866</c:v>
                </c:pt>
                <c:pt idx="1228">
                  <c:v>43867</c:v>
                </c:pt>
                <c:pt idx="1229">
                  <c:v>43868</c:v>
                </c:pt>
                <c:pt idx="1230">
                  <c:v>43871</c:v>
                </c:pt>
                <c:pt idx="1231">
                  <c:v>43872</c:v>
                </c:pt>
                <c:pt idx="1232">
                  <c:v>43873</c:v>
                </c:pt>
                <c:pt idx="1233">
                  <c:v>43874</c:v>
                </c:pt>
                <c:pt idx="1234">
                  <c:v>43875</c:v>
                </c:pt>
                <c:pt idx="1235">
                  <c:v>43878</c:v>
                </c:pt>
                <c:pt idx="1236">
                  <c:v>43879</c:v>
                </c:pt>
                <c:pt idx="1237">
                  <c:v>43880</c:v>
                </c:pt>
                <c:pt idx="1238">
                  <c:v>43881</c:v>
                </c:pt>
                <c:pt idx="1239">
                  <c:v>43882</c:v>
                </c:pt>
                <c:pt idx="1240">
                  <c:v>43885</c:v>
                </c:pt>
                <c:pt idx="1241">
                  <c:v>43886</c:v>
                </c:pt>
                <c:pt idx="1242">
                  <c:v>43887</c:v>
                </c:pt>
                <c:pt idx="1243">
                  <c:v>43888</c:v>
                </c:pt>
                <c:pt idx="1244">
                  <c:v>43889</c:v>
                </c:pt>
                <c:pt idx="1245">
                  <c:v>43892</c:v>
                </c:pt>
                <c:pt idx="1246">
                  <c:v>43893</c:v>
                </c:pt>
                <c:pt idx="1247">
                  <c:v>43894</c:v>
                </c:pt>
                <c:pt idx="1248">
                  <c:v>43895</c:v>
                </c:pt>
                <c:pt idx="1249">
                  <c:v>43896</c:v>
                </c:pt>
                <c:pt idx="1250">
                  <c:v>43899</c:v>
                </c:pt>
                <c:pt idx="1251">
                  <c:v>43900</c:v>
                </c:pt>
                <c:pt idx="1252">
                  <c:v>43901</c:v>
                </c:pt>
                <c:pt idx="1253">
                  <c:v>43902</c:v>
                </c:pt>
                <c:pt idx="1254">
                  <c:v>43903</c:v>
                </c:pt>
                <c:pt idx="1255">
                  <c:v>43906</c:v>
                </c:pt>
                <c:pt idx="1256">
                  <c:v>43907</c:v>
                </c:pt>
                <c:pt idx="1257">
                  <c:v>43908</c:v>
                </c:pt>
                <c:pt idx="1258">
                  <c:v>43909</c:v>
                </c:pt>
                <c:pt idx="1259">
                  <c:v>43910</c:v>
                </c:pt>
                <c:pt idx="1260">
                  <c:v>43913</c:v>
                </c:pt>
                <c:pt idx="1261">
                  <c:v>43914</c:v>
                </c:pt>
                <c:pt idx="1262">
                  <c:v>43915</c:v>
                </c:pt>
                <c:pt idx="1263">
                  <c:v>43916</c:v>
                </c:pt>
                <c:pt idx="1264">
                  <c:v>43917</c:v>
                </c:pt>
                <c:pt idx="1265">
                  <c:v>43920</c:v>
                </c:pt>
                <c:pt idx="1266">
                  <c:v>43921</c:v>
                </c:pt>
                <c:pt idx="1267">
                  <c:v>43922</c:v>
                </c:pt>
                <c:pt idx="1268">
                  <c:v>43923</c:v>
                </c:pt>
                <c:pt idx="1269">
                  <c:v>43924</c:v>
                </c:pt>
                <c:pt idx="1270">
                  <c:v>43927</c:v>
                </c:pt>
                <c:pt idx="1271">
                  <c:v>43928</c:v>
                </c:pt>
                <c:pt idx="1272">
                  <c:v>43929</c:v>
                </c:pt>
                <c:pt idx="1273">
                  <c:v>43930</c:v>
                </c:pt>
                <c:pt idx="1274">
                  <c:v>43935</c:v>
                </c:pt>
                <c:pt idx="1275">
                  <c:v>43936</c:v>
                </c:pt>
                <c:pt idx="1276">
                  <c:v>43937</c:v>
                </c:pt>
                <c:pt idx="1277">
                  <c:v>43938</c:v>
                </c:pt>
                <c:pt idx="1278">
                  <c:v>43941</c:v>
                </c:pt>
                <c:pt idx="1279">
                  <c:v>43942</c:v>
                </c:pt>
                <c:pt idx="1280">
                  <c:v>43943</c:v>
                </c:pt>
                <c:pt idx="1281">
                  <c:v>43944</c:v>
                </c:pt>
                <c:pt idx="1282">
                  <c:v>43945</c:v>
                </c:pt>
                <c:pt idx="1283">
                  <c:v>43948</c:v>
                </c:pt>
                <c:pt idx="1284">
                  <c:v>43949</c:v>
                </c:pt>
                <c:pt idx="1285">
                  <c:v>43950</c:v>
                </c:pt>
                <c:pt idx="1286">
                  <c:v>43951</c:v>
                </c:pt>
                <c:pt idx="1287">
                  <c:v>43952</c:v>
                </c:pt>
                <c:pt idx="1288">
                  <c:v>43955</c:v>
                </c:pt>
                <c:pt idx="1289">
                  <c:v>43956</c:v>
                </c:pt>
                <c:pt idx="1290">
                  <c:v>43957</c:v>
                </c:pt>
                <c:pt idx="1291">
                  <c:v>43958</c:v>
                </c:pt>
                <c:pt idx="1292">
                  <c:v>43962</c:v>
                </c:pt>
                <c:pt idx="1293">
                  <c:v>43963</c:v>
                </c:pt>
                <c:pt idx="1294">
                  <c:v>43964</c:v>
                </c:pt>
                <c:pt idx="1295">
                  <c:v>43965</c:v>
                </c:pt>
                <c:pt idx="1296">
                  <c:v>43966</c:v>
                </c:pt>
                <c:pt idx="1297">
                  <c:v>43969</c:v>
                </c:pt>
                <c:pt idx="1298">
                  <c:v>43970</c:v>
                </c:pt>
                <c:pt idx="1299">
                  <c:v>43971</c:v>
                </c:pt>
                <c:pt idx="1300">
                  <c:v>43972</c:v>
                </c:pt>
                <c:pt idx="1301">
                  <c:v>43973</c:v>
                </c:pt>
                <c:pt idx="1302">
                  <c:v>43977</c:v>
                </c:pt>
                <c:pt idx="1303">
                  <c:v>43978</c:v>
                </c:pt>
                <c:pt idx="1304">
                  <c:v>43979</c:v>
                </c:pt>
                <c:pt idx="1305">
                  <c:v>43980</c:v>
                </c:pt>
                <c:pt idx="1306">
                  <c:v>43983</c:v>
                </c:pt>
                <c:pt idx="1307">
                  <c:v>43984</c:v>
                </c:pt>
                <c:pt idx="1308">
                  <c:v>43985</c:v>
                </c:pt>
                <c:pt idx="1309">
                  <c:v>43986</c:v>
                </c:pt>
                <c:pt idx="1310">
                  <c:v>43987</c:v>
                </c:pt>
                <c:pt idx="1311">
                  <c:v>43990</c:v>
                </c:pt>
                <c:pt idx="1312">
                  <c:v>43991</c:v>
                </c:pt>
                <c:pt idx="1313">
                  <c:v>43992</c:v>
                </c:pt>
                <c:pt idx="1314">
                  <c:v>43993</c:v>
                </c:pt>
                <c:pt idx="1315">
                  <c:v>43994</c:v>
                </c:pt>
                <c:pt idx="1316">
                  <c:v>43997</c:v>
                </c:pt>
                <c:pt idx="1317">
                  <c:v>43998</c:v>
                </c:pt>
                <c:pt idx="1318">
                  <c:v>43999</c:v>
                </c:pt>
                <c:pt idx="1319">
                  <c:v>44000</c:v>
                </c:pt>
                <c:pt idx="1320">
                  <c:v>44001</c:v>
                </c:pt>
                <c:pt idx="1321">
                  <c:v>44004</c:v>
                </c:pt>
                <c:pt idx="1322">
                  <c:v>44005</c:v>
                </c:pt>
                <c:pt idx="1323">
                  <c:v>44006</c:v>
                </c:pt>
                <c:pt idx="1324">
                  <c:v>44007</c:v>
                </c:pt>
                <c:pt idx="1325">
                  <c:v>44008</c:v>
                </c:pt>
                <c:pt idx="1326">
                  <c:v>44011</c:v>
                </c:pt>
                <c:pt idx="1327">
                  <c:v>44012</c:v>
                </c:pt>
                <c:pt idx="1328">
                  <c:v>44013</c:v>
                </c:pt>
                <c:pt idx="1329">
                  <c:v>44014</c:v>
                </c:pt>
                <c:pt idx="1330">
                  <c:v>44015</c:v>
                </c:pt>
                <c:pt idx="1331">
                  <c:v>44018</c:v>
                </c:pt>
                <c:pt idx="1332">
                  <c:v>44019</c:v>
                </c:pt>
                <c:pt idx="1333">
                  <c:v>44020</c:v>
                </c:pt>
                <c:pt idx="1334">
                  <c:v>44021</c:v>
                </c:pt>
                <c:pt idx="1335">
                  <c:v>44022</c:v>
                </c:pt>
                <c:pt idx="1336">
                  <c:v>44025</c:v>
                </c:pt>
                <c:pt idx="1337">
                  <c:v>44026</c:v>
                </c:pt>
                <c:pt idx="1338">
                  <c:v>44027</c:v>
                </c:pt>
                <c:pt idx="1339">
                  <c:v>44028</c:v>
                </c:pt>
                <c:pt idx="1340">
                  <c:v>44029</c:v>
                </c:pt>
                <c:pt idx="1341">
                  <c:v>44032</c:v>
                </c:pt>
                <c:pt idx="1342">
                  <c:v>44033</c:v>
                </c:pt>
                <c:pt idx="1343">
                  <c:v>44034</c:v>
                </c:pt>
                <c:pt idx="1344">
                  <c:v>44035</c:v>
                </c:pt>
                <c:pt idx="1345">
                  <c:v>44036</c:v>
                </c:pt>
                <c:pt idx="1346">
                  <c:v>44039</c:v>
                </c:pt>
                <c:pt idx="1347">
                  <c:v>44040</c:v>
                </c:pt>
                <c:pt idx="1348">
                  <c:v>44041</c:v>
                </c:pt>
                <c:pt idx="1349">
                  <c:v>44042</c:v>
                </c:pt>
                <c:pt idx="1350">
                  <c:v>44043</c:v>
                </c:pt>
                <c:pt idx="1351">
                  <c:v>44046</c:v>
                </c:pt>
                <c:pt idx="1352">
                  <c:v>44047</c:v>
                </c:pt>
                <c:pt idx="1353">
                  <c:v>44048</c:v>
                </c:pt>
                <c:pt idx="1354">
                  <c:v>44049</c:v>
                </c:pt>
                <c:pt idx="1355">
                  <c:v>44050</c:v>
                </c:pt>
                <c:pt idx="1356">
                  <c:v>44053</c:v>
                </c:pt>
                <c:pt idx="1357">
                  <c:v>44054</c:v>
                </c:pt>
                <c:pt idx="1358">
                  <c:v>44055</c:v>
                </c:pt>
                <c:pt idx="1359">
                  <c:v>44056</c:v>
                </c:pt>
                <c:pt idx="1360">
                  <c:v>44057</c:v>
                </c:pt>
                <c:pt idx="1361">
                  <c:v>44060</c:v>
                </c:pt>
                <c:pt idx="1362">
                  <c:v>44061</c:v>
                </c:pt>
                <c:pt idx="1363">
                  <c:v>44062</c:v>
                </c:pt>
                <c:pt idx="1364">
                  <c:v>44063</c:v>
                </c:pt>
                <c:pt idx="1365">
                  <c:v>44064</c:v>
                </c:pt>
                <c:pt idx="1366">
                  <c:v>44067</c:v>
                </c:pt>
                <c:pt idx="1367">
                  <c:v>44068</c:v>
                </c:pt>
                <c:pt idx="1368">
                  <c:v>44069</c:v>
                </c:pt>
                <c:pt idx="1369">
                  <c:v>44070</c:v>
                </c:pt>
                <c:pt idx="1370">
                  <c:v>44071</c:v>
                </c:pt>
                <c:pt idx="1371">
                  <c:v>44074</c:v>
                </c:pt>
                <c:pt idx="1372">
                  <c:v>44075</c:v>
                </c:pt>
                <c:pt idx="1373">
                  <c:v>44076</c:v>
                </c:pt>
                <c:pt idx="1374">
                  <c:v>44077</c:v>
                </c:pt>
                <c:pt idx="1375">
                  <c:v>44078</c:v>
                </c:pt>
                <c:pt idx="1376">
                  <c:v>44081</c:v>
                </c:pt>
                <c:pt idx="1377">
                  <c:v>44082</c:v>
                </c:pt>
                <c:pt idx="1378">
                  <c:v>44083</c:v>
                </c:pt>
                <c:pt idx="1379">
                  <c:v>44084</c:v>
                </c:pt>
                <c:pt idx="1380">
                  <c:v>44085</c:v>
                </c:pt>
                <c:pt idx="1381">
                  <c:v>44088</c:v>
                </c:pt>
                <c:pt idx="1382">
                  <c:v>44089</c:v>
                </c:pt>
                <c:pt idx="1383">
                  <c:v>44090</c:v>
                </c:pt>
                <c:pt idx="1384">
                  <c:v>44091</c:v>
                </c:pt>
                <c:pt idx="1385">
                  <c:v>44092</c:v>
                </c:pt>
                <c:pt idx="1386">
                  <c:v>44095</c:v>
                </c:pt>
                <c:pt idx="1387">
                  <c:v>44096</c:v>
                </c:pt>
                <c:pt idx="1388">
                  <c:v>44097</c:v>
                </c:pt>
                <c:pt idx="1389">
                  <c:v>44098</c:v>
                </c:pt>
                <c:pt idx="1390">
                  <c:v>44099</c:v>
                </c:pt>
                <c:pt idx="1391">
                  <c:v>44102</c:v>
                </c:pt>
                <c:pt idx="1392">
                  <c:v>44103</c:v>
                </c:pt>
                <c:pt idx="1393">
                  <c:v>44104</c:v>
                </c:pt>
                <c:pt idx="1394">
                  <c:v>44105</c:v>
                </c:pt>
                <c:pt idx="1395">
                  <c:v>44106</c:v>
                </c:pt>
                <c:pt idx="1396">
                  <c:v>44109</c:v>
                </c:pt>
                <c:pt idx="1397">
                  <c:v>44110</c:v>
                </c:pt>
                <c:pt idx="1398">
                  <c:v>44111</c:v>
                </c:pt>
                <c:pt idx="1399">
                  <c:v>44112</c:v>
                </c:pt>
                <c:pt idx="1400">
                  <c:v>44113</c:v>
                </c:pt>
                <c:pt idx="1401">
                  <c:v>44116</c:v>
                </c:pt>
                <c:pt idx="1402">
                  <c:v>44117</c:v>
                </c:pt>
                <c:pt idx="1403">
                  <c:v>44118</c:v>
                </c:pt>
                <c:pt idx="1404">
                  <c:v>44119</c:v>
                </c:pt>
                <c:pt idx="1405">
                  <c:v>44120</c:v>
                </c:pt>
                <c:pt idx="1406">
                  <c:v>44123</c:v>
                </c:pt>
                <c:pt idx="1407">
                  <c:v>44124</c:v>
                </c:pt>
                <c:pt idx="1408">
                  <c:v>44125</c:v>
                </c:pt>
                <c:pt idx="1409">
                  <c:v>44126</c:v>
                </c:pt>
                <c:pt idx="1410">
                  <c:v>44127</c:v>
                </c:pt>
                <c:pt idx="1411">
                  <c:v>44130</c:v>
                </c:pt>
                <c:pt idx="1412">
                  <c:v>44131</c:v>
                </c:pt>
                <c:pt idx="1413">
                  <c:v>44132</c:v>
                </c:pt>
                <c:pt idx="1414">
                  <c:v>44133</c:v>
                </c:pt>
                <c:pt idx="1415">
                  <c:v>44134</c:v>
                </c:pt>
                <c:pt idx="1416">
                  <c:v>44137</c:v>
                </c:pt>
                <c:pt idx="1417">
                  <c:v>44138</c:v>
                </c:pt>
                <c:pt idx="1418">
                  <c:v>44139</c:v>
                </c:pt>
                <c:pt idx="1419">
                  <c:v>44140</c:v>
                </c:pt>
                <c:pt idx="1420">
                  <c:v>44141</c:v>
                </c:pt>
                <c:pt idx="1421">
                  <c:v>44144</c:v>
                </c:pt>
                <c:pt idx="1422">
                  <c:v>44145</c:v>
                </c:pt>
                <c:pt idx="1423">
                  <c:v>44146</c:v>
                </c:pt>
                <c:pt idx="1424">
                  <c:v>44147</c:v>
                </c:pt>
                <c:pt idx="1425">
                  <c:v>44148</c:v>
                </c:pt>
                <c:pt idx="1426">
                  <c:v>44151</c:v>
                </c:pt>
                <c:pt idx="1427">
                  <c:v>44152</c:v>
                </c:pt>
                <c:pt idx="1428">
                  <c:v>44153</c:v>
                </c:pt>
                <c:pt idx="1429">
                  <c:v>44154</c:v>
                </c:pt>
                <c:pt idx="1430">
                  <c:v>44155</c:v>
                </c:pt>
                <c:pt idx="1431">
                  <c:v>44158</c:v>
                </c:pt>
                <c:pt idx="1432">
                  <c:v>44159</c:v>
                </c:pt>
                <c:pt idx="1433">
                  <c:v>44160</c:v>
                </c:pt>
                <c:pt idx="1434">
                  <c:v>44161</c:v>
                </c:pt>
                <c:pt idx="1435">
                  <c:v>44162</c:v>
                </c:pt>
                <c:pt idx="1436">
                  <c:v>44165</c:v>
                </c:pt>
                <c:pt idx="1437">
                  <c:v>44166</c:v>
                </c:pt>
                <c:pt idx="1438">
                  <c:v>44167</c:v>
                </c:pt>
                <c:pt idx="1439">
                  <c:v>44168</c:v>
                </c:pt>
                <c:pt idx="1440">
                  <c:v>44169</c:v>
                </c:pt>
                <c:pt idx="1441">
                  <c:v>44172</c:v>
                </c:pt>
                <c:pt idx="1442">
                  <c:v>44173</c:v>
                </c:pt>
                <c:pt idx="1443">
                  <c:v>44174</c:v>
                </c:pt>
                <c:pt idx="1444">
                  <c:v>44175</c:v>
                </c:pt>
                <c:pt idx="1445">
                  <c:v>44176</c:v>
                </c:pt>
                <c:pt idx="1446">
                  <c:v>44179</c:v>
                </c:pt>
                <c:pt idx="1447">
                  <c:v>44180</c:v>
                </c:pt>
                <c:pt idx="1448">
                  <c:v>44181</c:v>
                </c:pt>
                <c:pt idx="1449">
                  <c:v>44182</c:v>
                </c:pt>
                <c:pt idx="1450">
                  <c:v>44183</c:v>
                </c:pt>
                <c:pt idx="1451">
                  <c:v>44186</c:v>
                </c:pt>
                <c:pt idx="1452">
                  <c:v>44187</c:v>
                </c:pt>
                <c:pt idx="1453">
                  <c:v>44188</c:v>
                </c:pt>
                <c:pt idx="1454">
                  <c:v>44189</c:v>
                </c:pt>
                <c:pt idx="1455">
                  <c:v>44194</c:v>
                </c:pt>
                <c:pt idx="1456">
                  <c:v>44195</c:v>
                </c:pt>
                <c:pt idx="1457">
                  <c:v>44196</c:v>
                </c:pt>
                <c:pt idx="1458">
                  <c:v>44200</c:v>
                </c:pt>
                <c:pt idx="1459">
                  <c:v>44201</c:v>
                </c:pt>
                <c:pt idx="1460">
                  <c:v>44202</c:v>
                </c:pt>
                <c:pt idx="1461">
                  <c:v>44203</c:v>
                </c:pt>
                <c:pt idx="1462">
                  <c:v>44204</c:v>
                </c:pt>
                <c:pt idx="1463">
                  <c:v>44207</c:v>
                </c:pt>
                <c:pt idx="1464">
                  <c:v>44208</c:v>
                </c:pt>
                <c:pt idx="1465">
                  <c:v>44209</c:v>
                </c:pt>
                <c:pt idx="1466">
                  <c:v>44210</c:v>
                </c:pt>
                <c:pt idx="1467">
                  <c:v>44211</c:v>
                </c:pt>
                <c:pt idx="1468">
                  <c:v>44214</c:v>
                </c:pt>
                <c:pt idx="1469">
                  <c:v>44215</c:v>
                </c:pt>
                <c:pt idx="1470">
                  <c:v>44216</c:v>
                </c:pt>
                <c:pt idx="1471">
                  <c:v>44217</c:v>
                </c:pt>
                <c:pt idx="1472">
                  <c:v>44218</c:v>
                </c:pt>
                <c:pt idx="1473">
                  <c:v>44221</c:v>
                </c:pt>
                <c:pt idx="1474">
                  <c:v>44222</c:v>
                </c:pt>
                <c:pt idx="1475">
                  <c:v>44223</c:v>
                </c:pt>
                <c:pt idx="1476">
                  <c:v>44224</c:v>
                </c:pt>
                <c:pt idx="1477">
                  <c:v>44225</c:v>
                </c:pt>
                <c:pt idx="1478">
                  <c:v>44228</c:v>
                </c:pt>
                <c:pt idx="1479">
                  <c:v>44229</c:v>
                </c:pt>
                <c:pt idx="1480">
                  <c:v>44230</c:v>
                </c:pt>
                <c:pt idx="1481">
                  <c:v>44231</c:v>
                </c:pt>
                <c:pt idx="1482">
                  <c:v>44232</c:v>
                </c:pt>
                <c:pt idx="1483">
                  <c:v>44235</c:v>
                </c:pt>
                <c:pt idx="1484">
                  <c:v>44236</c:v>
                </c:pt>
                <c:pt idx="1485">
                  <c:v>44237</c:v>
                </c:pt>
                <c:pt idx="1486">
                  <c:v>44238</c:v>
                </c:pt>
                <c:pt idx="1487">
                  <c:v>44239</c:v>
                </c:pt>
                <c:pt idx="1488">
                  <c:v>44242</c:v>
                </c:pt>
                <c:pt idx="1489">
                  <c:v>44243</c:v>
                </c:pt>
                <c:pt idx="1490">
                  <c:v>44244</c:v>
                </c:pt>
                <c:pt idx="1491">
                  <c:v>44245</c:v>
                </c:pt>
                <c:pt idx="1492">
                  <c:v>44246</c:v>
                </c:pt>
                <c:pt idx="1493">
                  <c:v>44249</c:v>
                </c:pt>
                <c:pt idx="1494">
                  <c:v>44250</c:v>
                </c:pt>
                <c:pt idx="1495">
                  <c:v>44251</c:v>
                </c:pt>
                <c:pt idx="1496">
                  <c:v>44252</c:v>
                </c:pt>
                <c:pt idx="1497">
                  <c:v>44253</c:v>
                </c:pt>
                <c:pt idx="1498">
                  <c:v>44256</c:v>
                </c:pt>
                <c:pt idx="1499">
                  <c:v>44257</c:v>
                </c:pt>
                <c:pt idx="1500">
                  <c:v>44258</c:v>
                </c:pt>
                <c:pt idx="1501">
                  <c:v>44259</c:v>
                </c:pt>
                <c:pt idx="1502">
                  <c:v>44260</c:v>
                </c:pt>
                <c:pt idx="1503">
                  <c:v>44263</c:v>
                </c:pt>
                <c:pt idx="1504">
                  <c:v>44264</c:v>
                </c:pt>
                <c:pt idx="1505">
                  <c:v>44265</c:v>
                </c:pt>
                <c:pt idx="1506">
                  <c:v>44266</c:v>
                </c:pt>
                <c:pt idx="1507">
                  <c:v>44267</c:v>
                </c:pt>
                <c:pt idx="1508">
                  <c:v>44270</c:v>
                </c:pt>
                <c:pt idx="1509">
                  <c:v>44271</c:v>
                </c:pt>
                <c:pt idx="1510">
                  <c:v>44272</c:v>
                </c:pt>
                <c:pt idx="1511">
                  <c:v>44273</c:v>
                </c:pt>
                <c:pt idx="1512">
                  <c:v>44274</c:v>
                </c:pt>
                <c:pt idx="1513">
                  <c:v>44277</c:v>
                </c:pt>
                <c:pt idx="1514">
                  <c:v>44278</c:v>
                </c:pt>
                <c:pt idx="1515">
                  <c:v>44279</c:v>
                </c:pt>
                <c:pt idx="1516">
                  <c:v>44280</c:v>
                </c:pt>
                <c:pt idx="1517">
                  <c:v>44281</c:v>
                </c:pt>
                <c:pt idx="1518">
                  <c:v>44284</c:v>
                </c:pt>
                <c:pt idx="1519">
                  <c:v>44285</c:v>
                </c:pt>
                <c:pt idx="1520">
                  <c:v>44286</c:v>
                </c:pt>
                <c:pt idx="1521">
                  <c:v>44287</c:v>
                </c:pt>
                <c:pt idx="1522">
                  <c:v>44292</c:v>
                </c:pt>
                <c:pt idx="1523">
                  <c:v>44293</c:v>
                </c:pt>
                <c:pt idx="1524">
                  <c:v>44294</c:v>
                </c:pt>
                <c:pt idx="1525">
                  <c:v>44295</c:v>
                </c:pt>
                <c:pt idx="1526">
                  <c:v>44298</c:v>
                </c:pt>
                <c:pt idx="1527">
                  <c:v>44299</c:v>
                </c:pt>
                <c:pt idx="1528">
                  <c:v>44300</c:v>
                </c:pt>
                <c:pt idx="1529">
                  <c:v>44301</c:v>
                </c:pt>
                <c:pt idx="1530">
                  <c:v>44302</c:v>
                </c:pt>
                <c:pt idx="1531">
                  <c:v>44305</c:v>
                </c:pt>
                <c:pt idx="1532">
                  <c:v>44306</c:v>
                </c:pt>
                <c:pt idx="1533">
                  <c:v>44307</c:v>
                </c:pt>
                <c:pt idx="1534">
                  <c:v>44308</c:v>
                </c:pt>
                <c:pt idx="1535">
                  <c:v>44309</c:v>
                </c:pt>
                <c:pt idx="1536">
                  <c:v>44312</c:v>
                </c:pt>
                <c:pt idx="1537">
                  <c:v>44313</c:v>
                </c:pt>
                <c:pt idx="1538">
                  <c:v>44314</c:v>
                </c:pt>
                <c:pt idx="1539">
                  <c:v>44315</c:v>
                </c:pt>
                <c:pt idx="1540">
                  <c:v>44316</c:v>
                </c:pt>
                <c:pt idx="1541">
                  <c:v>44319</c:v>
                </c:pt>
                <c:pt idx="1542">
                  <c:v>44320</c:v>
                </c:pt>
                <c:pt idx="1543">
                  <c:v>44321</c:v>
                </c:pt>
                <c:pt idx="1544">
                  <c:v>44322</c:v>
                </c:pt>
                <c:pt idx="1545">
                  <c:v>44323</c:v>
                </c:pt>
                <c:pt idx="1546">
                  <c:v>44326</c:v>
                </c:pt>
                <c:pt idx="1547">
                  <c:v>44327</c:v>
                </c:pt>
                <c:pt idx="1548">
                  <c:v>44328</c:v>
                </c:pt>
                <c:pt idx="1549">
                  <c:v>44329</c:v>
                </c:pt>
                <c:pt idx="1550">
                  <c:v>44330</c:v>
                </c:pt>
                <c:pt idx="1551">
                  <c:v>44333</c:v>
                </c:pt>
                <c:pt idx="1552">
                  <c:v>44334</c:v>
                </c:pt>
                <c:pt idx="1553">
                  <c:v>44335</c:v>
                </c:pt>
                <c:pt idx="1554">
                  <c:v>44336</c:v>
                </c:pt>
                <c:pt idx="1555">
                  <c:v>44337</c:v>
                </c:pt>
                <c:pt idx="1556">
                  <c:v>44340</c:v>
                </c:pt>
                <c:pt idx="1557">
                  <c:v>44341</c:v>
                </c:pt>
                <c:pt idx="1558">
                  <c:v>44342</c:v>
                </c:pt>
                <c:pt idx="1559">
                  <c:v>44343</c:v>
                </c:pt>
                <c:pt idx="1560">
                  <c:v>44344</c:v>
                </c:pt>
                <c:pt idx="1561">
                  <c:v>44347</c:v>
                </c:pt>
                <c:pt idx="1562">
                  <c:v>44348</c:v>
                </c:pt>
                <c:pt idx="1563">
                  <c:v>44349</c:v>
                </c:pt>
                <c:pt idx="1564">
                  <c:v>44350</c:v>
                </c:pt>
                <c:pt idx="1565">
                  <c:v>44351</c:v>
                </c:pt>
                <c:pt idx="1566">
                  <c:v>44354</c:v>
                </c:pt>
                <c:pt idx="1567">
                  <c:v>44355</c:v>
                </c:pt>
                <c:pt idx="1568">
                  <c:v>44356</c:v>
                </c:pt>
                <c:pt idx="1569">
                  <c:v>44357</c:v>
                </c:pt>
                <c:pt idx="1570">
                  <c:v>44358</c:v>
                </c:pt>
                <c:pt idx="1571">
                  <c:v>44361</c:v>
                </c:pt>
                <c:pt idx="1572">
                  <c:v>44362</c:v>
                </c:pt>
                <c:pt idx="1573">
                  <c:v>44363</c:v>
                </c:pt>
                <c:pt idx="1574">
                  <c:v>44364</c:v>
                </c:pt>
                <c:pt idx="1575">
                  <c:v>44365</c:v>
                </c:pt>
                <c:pt idx="1576">
                  <c:v>44368</c:v>
                </c:pt>
                <c:pt idx="1577">
                  <c:v>44369</c:v>
                </c:pt>
                <c:pt idx="1578">
                  <c:v>44370</c:v>
                </c:pt>
                <c:pt idx="1579">
                  <c:v>44371</c:v>
                </c:pt>
                <c:pt idx="1580">
                  <c:v>44372</c:v>
                </c:pt>
                <c:pt idx="1581">
                  <c:v>44375</c:v>
                </c:pt>
                <c:pt idx="1582">
                  <c:v>44376</c:v>
                </c:pt>
                <c:pt idx="1583">
                  <c:v>44377</c:v>
                </c:pt>
                <c:pt idx="1584">
                  <c:v>44378</c:v>
                </c:pt>
                <c:pt idx="1585">
                  <c:v>44379</c:v>
                </c:pt>
                <c:pt idx="1586">
                  <c:v>44382</c:v>
                </c:pt>
                <c:pt idx="1587">
                  <c:v>44383</c:v>
                </c:pt>
                <c:pt idx="1588">
                  <c:v>44384</c:v>
                </c:pt>
                <c:pt idx="1589">
                  <c:v>44385</c:v>
                </c:pt>
                <c:pt idx="1590">
                  <c:v>44386</c:v>
                </c:pt>
                <c:pt idx="1591">
                  <c:v>44389</c:v>
                </c:pt>
                <c:pt idx="1592">
                  <c:v>44390</c:v>
                </c:pt>
                <c:pt idx="1593">
                  <c:v>44391</c:v>
                </c:pt>
                <c:pt idx="1594">
                  <c:v>44392</c:v>
                </c:pt>
                <c:pt idx="1595">
                  <c:v>44393</c:v>
                </c:pt>
                <c:pt idx="1596">
                  <c:v>44396</c:v>
                </c:pt>
                <c:pt idx="1597">
                  <c:v>44397</c:v>
                </c:pt>
                <c:pt idx="1598">
                  <c:v>44398</c:v>
                </c:pt>
                <c:pt idx="1599">
                  <c:v>44399</c:v>
                </c:pt>
                <c:pt idx="1600">
                  <c:v>44400</c:v>
                </c:pt>
                <c:pt idx="1601">
                  <c:v>44403</c:v>
                </c:pt>
                <c:pt idx="1602">
                  <c:v>44404</c:v>
                </c:pt>
                <c:pt idx="1603">
                  <c:v>44405</c:v>
                </c:pt>
                <c:pt idx="1604">
                  <c:v>44406</c:v>
                </c:pt>
                <c:pt idx="1605">
                  <c:v>44407</c:v>
                </c:pt>
                <c:pt idx="1606">
                  <c:v>44410</c:v>
                </c:pt>
                <c:pt idx="1607">
                  <c:v>44411</c:v>
                </c:pt>
                <c:pt idx="1608">
                  <c:v>44412</c:v>
                </c:pt>
                <c:pt idx="1609">
                  <c:v>44413</c:v>
                </c:pt>
                <c:pt idx="1610">
                  <c:v>44414</c:v>
                </c:pt>
                <c:pt idx="1611">
                  <c:v>44417</c:v>
                </c:pt>
                <c:pt idx="1612">
                  <c:v>44418</c:v>
                </c:pt>
                <c:pt idx="1613">
                  <c:v>44419</c:v>
                </c:pt>
                <c:pt idx="1614">
                  <c:v>44420</c:v>
                </c:pt>
                <c:pt idx="1615">
                  <c:v>44421</c:v>
                </c:pt>
                <c:pt idx="1616">
                  <c:v>44424</c:v>
                </c:pt>
                <c:pt idx="1617">
                  <c:v>44425</c:v>
                </c:pt>
                <c:pt idx="1618">
                  <c:v>44426</c:v>
                </c:pt>
                <c:pt idx="1619">
                  <c:v>44427</c:v>
                </c:pt>
                <c:pt idx="1620">
                  <c:v>44428</c:v>
                </c:pt>
                <c:pt idx="1621">
                  <c:v>44431</c:v>
                </c:pt>
                <c:pt idx="1622">
                  <c:v>44432</c:v>
                </c:pt>
                <c:pt idx="1623">
                  <c:v>44433</c:v>
                </c:pt>
                <c:pt idx="1624">
                  <c:v>44434</c:v>
                </c:pt>
                <c:pt idx="1625">
                  <c:v>44435</c:v>
                </c:pt>
                <c:pt idx="1626">
                  <c:v>44439</c:v>
                </c:pt>
                <c:pt idx="1627">
                  <c:v>44440</c:v>
                </c:pt>
                <c:pt idx="1628">
                  <c:v>44441</c:v>
                </c:pt>
                <c:pt idx="1629">
                  <c:v>44442</c:v>
                </c:pt>
                <c:pt idx="1630">
                  <c:v>44445</c:v>
                </c:pt>
                <c:pt idx="1631">
                  <c:v>44446</c:v>
                </c:pt>
                <c:pt idx="1632">
                  <c:v>44447</c:v>
                </c:pt>
                <c:pt idx="1633">
                  <c:v>44448</c:v>
                </c:pt>
                <c:pt idx="1634">
                  <c:v>44449</c:v>
                </c:pt>
                <c:pt idx="1635">
                  <c:v>44452</c:v>
                </c:pt>
                <c:pt idx="1636">
                  <c:v>44453</c:v>
                </c:pt>
                <c:pt idx="1637">
                  <c:v>44454</c:v>
                </c:pt>
                <c:pt idx="1638">
                  <c:v>44455</c:v>
                </c:pt>
                <c:pt idx="1639">
                  <c:v>44456</c:v>
                </c:pt>
                <c:pt idx="1640">
                  <c:v>44459</c:v>
                </c:pt>
                <c:pt idx="1641">
                  <c:v>44460</c:v>
                </c:pt>
                <c:pt idx="1642">
                  <c:v>44461</c:v>
                </c:pt>
                <c:pt idx="1643">
                  <c:v>44462</c:v>
                </c:pt>
                <c:pt idx="1644">
                  <c:v>44463</c:v>
                </c:pt>
                <c:pt idx="1645">
                  <c:v>44466</c:v>
                </c:pt>
                <c:pt idx="1646">
                  <c:v>44467</c:v>
                </c:pt>
                <c:pt idx="1647">
                  <c:v>44468</c:v>
                </c:pt>
                <c:pt idx="1648">
                  <c:v>44469</c:v>
                </c:pt>
                <c:pt idx="1649">
                  <c:v>44470</c:v>
                </c:pt>
                <c:pt idx="1650">
                  <c:v>44473</c:v>
                </c:pt>
                <c:pt idx="1651">
                  <c:v>44474</c:v>
                </c:pt>
                <c:pt idx="1652">
                  <c:v>44475</c:v>
                </c:pt>
                <c:pt idx="1653">
                  <c:v>44476</c:v>
                </c:pt>
                <c:pt idx="1654">
                  <c:v>44477</c:v>
                </c:pt>
                <c:pt idx="1655">
                  <c:v>44480</c:v>
                </c:pt>
                <c:pt idx="1656">
                  <c:v>44481</c:v>
                </c:pt>
                <c:pt idx="1657">
                  <c:v>44482</c:v>
                </c:pt>
                <c:pt idx="1658">
                  <c:v>44483</c:v>
                </c:pt>
                <c:pt idx="1659">
                  <c:v>44484</c:v>
                </c:pt>
                <c:pt idx="1660">
                  <c:v>44487</c:v>
                </c:pt>
                <c:pt idx="1661">
                  <c:v>44488</c:v>
                </c:pt>
                <c:pt idx="1662">
                  <c:v>44489</c:v>
                </c:pt>
                <c:pt idx="1663">
                  <c:v>44490</c:v>
                </c:pt>
                <c:pt idx="1664">
                  <c:v>44491</c:v>
                </c:pt>
                <c:pt idx="1665">
                  <c:v>44494</c:v>
                </c:pt>
                <c:pt idx="1666">
                  <c:v>44495</c:v>
                </c:pt>
                <c:pt idx="1667">
                  <c:v>44496</c:v>
                </c:pt>
                <c:pt idx="1668">
                  <c:v>44497</c:v>
                </c:pt>
                <c:pt idx="1669">
                  <c:v>44498</c:v>
                </c:pt>
                <c:pt idx="1670">
                  <c:v>44501</c:v>
                </c:pt>
                <c:pt idx="1671">
                  <c:v>44502</c:v>
                </c:pt>
                <c:pt idx="1672">
                  <c:v>44503</c:v>
                </c:pt>
                <c:pt idx="1673">
                  <c:v>44504</c:v>
                </c:pt>
                <c:pt idx="1674">
                  <c:v>44505</c:v>
                </c:pt>
                <c:pt idx="1675">
                  <c:v>44508</c:v>
                </c:pt>
                <c:pt idx="1676">
                  <c:v>44509</c:v>
                </c:pt>
                <c:pt idx="1677">
                  <c:v>44510</c:v>
                </c:pt>
                <c:pt idx="1678">
                  <c:v>44511</c:v>
                </c:pt>
                <c:pt idx="1679">
                  <c:v>44512</c:v>
                </c:pt>
                <c:pt idx="1680">
                  <c:v>44515</c:v>
                </c:pt>
                <c:pt idx="1681">
                  <c:v>44516</c:v>
                </c:pt>
                <c:pt idx="1682">
                  <c:v>44517</c:v>
                </c:pt>
                <c:pt idx="1683">
                  <c:v>44518</c:v>
                </c:pt>
                <c:pt idx="1684">
                  <c:v>44519</c:v>
                </c:pt>
                <c:pt idx="1685">
                  <c:v>44522</c:v>
                </c:pt>
                <c:pt idx="1686">
                  <c:v>44523</c:v>
                </c:pt>
                <c:pt idx="1687">
                  <c:v>44524</c:v>
                </c:pt>
                <c:pt idx="1688">
                  <c:v>44525</c:v>
                </c:pt>
                <c:pt idx="1689">
                  <c:v>44526</c:v>
                </c:pt>
                <c:pt idx="1690">
                  <c:v>44529</c:v>
                </c:pt>
                <c:pt idx="1691">
                  <c:v>44530</c:v>
                </c:pt>
                <c:pt idx="1692">
                  <c:v>44531</c:v>
                </c:pt>
                <c:pt idx="1693">
                  <c:v>44532</c:v>
                </c:pt>
                <c:pt idx="1694">
                  <c:v>44533</c:v>
                </c:pt>
                <c:pt idx="1695">
                  <c:v>44536</c:v>
                </c:pt>
                <c:pt idx="1696">
                  <c:v>44537</c:v>
                </c:pt>
                <c:pt idx="1697">
                  <c:v>44538</c:v>
                </c:pt>
                <c:pt idx="1698">
                  <c:v>44539</c:v>
                </c:pt>
                <c:pt idx="1699">
                  <c:v>44540</c:v>
                </c:pt>
                <c:pt idx="1700">
                  <c:v>44543</c:v>
                </c:pt>
                <c:pt idx="1701">
                  <c:v>44544</c:v>
                </c:pt>
                <c:pt idx="1702">
                  <c:v>44545</c:v>
                </c:pt>
                <c:pt idx="1703">
                  <c:v>44546</c:v>
                </c:pt>
                <c:pt idx="1704">
                  <c:v>44547</c:v>
                </c:pt>
                <c:pt idx="1705">
                  <c:v>44550</c:v>
                </c:pt>
                <c:pt idx="1706">
                  <c:v>44551</c:v>
                </c:pt>
                <c:pt idx="1707">
                  <c:v>44552</c:v>
                </c:pt>
                <c:pt idx="1708">
                  <c:v>44553</c:v>
                </c:pt>
                <c:pt idx="1709">
                  <c:v>44554</c:v>
                </c:pt>
                <c:pt idx="1710">
                  <c:v>44557</c:v>
                </c:pt>
                <c:pt idx="1711">
                  <c:v>44558</c:v>
                </c:pt>
                <c:pt idx="1712">
                  <c:v>44559</c:v>
                </c:pt>
                <c:pt idx="1713">
                  <c:v>44560</c:v>
                </c:pt>
                <c:pt idx="1714">
                  <c:v>44561</c:v>
                </c:pt>
                <c:pt idx="1715">
                  <c:v>44564</c:v>
                </c:pt>
                <c:pt idx="1716">
                  <c:v>44565</c:v>
                </c:pt>
                <c:pt idx="1717">
                  <c:v>44566</c:v>
                </c:pt>
                <c:pt idx="1718">
                  <c:v>44567</c:v>
                </c:pt>
                <c:pt idx="1719">
                  <c:v>44568</c:v>
                </c:pt>
                <c:pt idx="1720">
                  <c:v>44571</c:v>
                </c:pt>
                <c:pt idx="1721">
                  <c:v>44572</c:v>
                </c:pt>
                <c:pt idx="1722">
                  <c:v>44573</c:v>
                </c:pt>
                <c:pt idx="1723">
                  <c:v>44574</c:v>
                </c:pt>
                <c:pt idx="1724">
                  <c:v>44575</c:v>
                </c:pt>
                <c:pt idx="1725">
                  <c:v>44578</c:v>
                </c:pt>
                <c:pt idx="1726">
                  <c:v>44579</c:v>
                </c:pt>
                <c:pt idx="1727">
                  <c:v>44580</c:v>
                </c:pt>
                <c:pt idx="1728">
                  <c:v>44581</c:v>
                </c:pt>
                <c:pt idx="1729">
                  <c:v>44582</c:v>
                </c:pt>
                <c:pt idx="1730">
                  <c:v>44585</c:v>
                </c:pt>
                <c:pt idx="1731">
                  <c:v>44586</c:v>
                </c:pt>
                <c:pt idx="1732">
                  <c:v>44587</c:v>
                </c:pt>
                <c:pt idx="1733">
                  <c:v>44588</c:v>
                </c:pt>
                <c:pt idx="1734">
                  <c:v>44589</c:v>
                </c:pt>
                <c:pt idx="1735">
                  <c:v>44592</c:v>
                </c:pt>
                <c:pt idx="1736">
                  <c:v>44593</c:v>
                </c:pt>
                <c:pt idx="1737">
                  <c:v>44594</c:v>
                </c:pt>
                <c:pt idx="1738">
                  <c:v>44595</c:v>
                </c:pt>
                <c:pt idx="1739">
                  <c:v>44596</c:v>
                </c:pt>
                <c:pt idx="1740">
                  <c:v>44599</c:v>
                </c:pt>
                <c:pt idx="1741">
                  <c:v>44600</c:v>
                </c:pt>
                <c:pt idx="1742">
                  <c:v>44601</c:v>
                </c:pt>
                <c:pt idx="1743">
                  <c:v>44602</c:v>
                </c:pt>
                <c:pt idx="1744">
                  <c:v>44603</c:v>
                </c:pt>
                <c:pt idx="1745">
                  <c:v>44606</c:v>
                </c:pt>
                <c:pt idx="1746">
                  <c:v>44607</c:v>
                </c:pt>
                <c:pt idx="1747">
                  <c:v>44608</c:v>
                </c:pt>
                <c:pt idx="1748">
                  <c:v>44609</c:v>
                </c:pt>
                <c:pt idx="1749">
                  <c:v>44610</c:v>
                </c:pt>
                <c:pt idx="1750">
                  <c:v>44613</c:v>
                </c:pt>
                <c:pt idx="1751">
                  <c:v>44614</c:v>
                </c:pt>
                <c:pt idx="1752">
                  <c:v>44615</c:v>
                </c:pt>
                <c:pt idx="1753">
                  <c:v>44616</c:v>
                </c:pt>
                <c:pt idx="1754">
                  <c:v>44617</c:v>
                </c:pt>
                <c:pt idx="1755">
                  <c:v>44620</c:v>
                </c:pt>
                <c:pt idx="1756">
                  <c:v>44621</c:v>
                </c:pt>
                <c:pt idx="1757">
                  <c:v>44622</c:v>
                </c:pt>
                <c:pt idx="1758">
                  <c:v>44623</c:v>
                </c:pt>
                <c:pt idx="1759">
                  <c:v>44624</c:v>
                </c:pt>
                <c:pt idx="1760">
                  <c:v>44627</c:v>
                </c:pt>
                <c:pt idx="1761">
                  <c:v>44628</c:v>
                </c:pt>
                <c:pt idx="1762">
                  <c:v>44629</c:v>
                </c:pt>
                <c:pt idx="1763">
                  <c:v>44630</c:v>
                </c:pt>
                <c:pt idx="1764">
                  <c:v>44631</c:v>
                </c:pt>
                <c:pt idx="1765">
                  <c:v>44634</c:v>
                </c:pt>
                <c:pt idx="1766">
                  <c:v>44635</c:v>
                </c:pt>
                <c:pt idx="1767">
                  <c:v>44636</c:v>
                </c:pt>
                <c:pt idx="1768">
                  <c:v>44637</c:v>
                </c:pt>
                <c:pt idx="1769">
                  <c:v>44638</c:v>
                </c:pt>
                <c:pt idx="1770">
                  <c:v>44641</c:v>
                </c:pt>
                <c:pt idx="1771">
                  <c:v>44642</c:v>
                </c:pt>
                <c:pt idx="1772">
                  <c:v>44643</c:v>
                </c:pt>
                <c:pt idx="1773">
                  <c:v>44644</c:v>
                </c:pt>
                <c:pt idx="1774">
                  <c:v>44645</c:v>
                </c:pt>
                <c:pt idx="1775">
                  <c:v>44648</c:v>
                </c:pt>
                <c:pt idx="1776">
                  <c:v>44649</c:v>
                </c:pt>
                <c:pt idx="1777">
                  <c:v>44650</c:v>
                </c:pt>
                <c:pt idx="1778">
                  <c:v>44651</c:v>
                </c:pt>
                <c:pt idx="1779">
                  <c:v>44652</c:v>
                </c:pt>
                <c:pt idx="1780">
                  <c:v>44655</c:v>
                </c:pt>
                <c:pt idx="1781">
                  <c:v>44656</c:v>
                </c:pt>
                <c:pt idx="1782">
                  <c:v>44657</c:v>
                </c:pt>
                <c:pt idx="1783">
                  <c:v>44658</c:v>
                </c:pt>
                <c:pt idx="1784">
                  <c:v>44659</c:v>
                </c:pt>
                <c:pt idx="1785">
                  <c:v>44662</c:v>
                </c:pt>
                <c:pt idx="1786">
                  <c:v>44663</c:v>
                </c:pt>
                <c:pt idx="1787">
                  <c:v>44664</c:v>
                </c:pt>
                <c:pt idx="1788">
                  <c:v>44665</c:v>
                </c:pt>
                <c:pt idx="1789">
                  <c:v>44670</c:v>
                </c:pt>
                <c:pt idx="1790">
                  <c:v>44671</c:v>
                </c:pt>
                <c:pt idx="1791">
                  <c:v>44672</c:v>
                </c:pt>
                <c:pt idx="1792">
                  <c:v>44673</c:v>
                </c:pt>
                <c:pt idx="1793">
                  <c:v>44676</c:v>
                </c:pt>
                <c:pt idx="1794">
                  <c:v>44677</c:v>
                </c:pt>
                <c:pt idx="1795">
                  <c:v>44678</c:v>
                </c:pt>
                <c:pt idx="1796">
                  <c:v>44679</c:v>
                </c:pt>
                <c:pt idx="1797">
                  <c:v>44680</c:v>
                </c:pt>
                <c:pt idx="1798">
                  <c:v>44683</c:v>
                </c:pt>
                <c:pt idx="1799">
                  <c:v>44684</c:v>
                </c:pt>
                <c:pt idx="1800">
                  <c:v>44685</c:v>
                </c:pt>
                <c:pt idx="1801">
                  <c:v>44686</c:v>
                </c:pt>
                <c:pt idx="1802">
                  <c:v>44687</c:v>
                </c:pt>
                <c:pt idx="1803">
                  <c:v>44690</c:v>
                </c:pt>
                <c:pt idx="1804">
                  <c:v>44691</c:v>
                </c:pt>
                <c:pt idx="1805">
                  <c:v>44692</c:v>
                </c:pt>
                <c:pt idx="1806">
                  <c:v>44693</c:v>
                </c:pt>
                <c:pt idx="1807">
                  <c:v>44694</c:v>
                </c:pt>
                <c:pt idx="1808">
                  <c:v>44697</c:v>
                </c:pt>
                <c:pt idx="1809">
                  <c:v>44698</c:v>
                </c:pt>
                <c:pt idx="1810">
                  <c:v>44699</c:v>
                </c:pt>
                <c:pt idx="1811">
                  <c:v>44700</c:v>
                </c:pt>
                <c:pt idx="1812">
                  <c:v>44701</c:v>
                </c:pt>
                <c:pt idx="1813">
                  <c:v>44704</c:v>
                </c:pt>
                <c:pt idx="1814">
                  <c:v>44705</c:v>
                </c:pt>
                <c:pt idx="1815">
                  <c:v>44706</c:v>
                </c:pt>
                <c:pt idx="1816">
                  <c:v>44707</c:v>
                </c:pt>
                <c:pt idx="1817">
                  <c:v>44708</c:v>
                </c:pt>
                <c:pt idx="1818">
                  <c:v>44711</c:v>
                </c:pt>
                <c:pt idx="1819">
                  <c:v>44712</c:v>
                </c:pt>
                <c:pt idx="1820">
                  <c:v>44713</c:v>
                </c:pt>
                <c:pt idx="1821">
                  <c:v>44718</c:v>
                </c:pt>
                <c:pt idx="1822">
                  <c:v>44719</c:v>
                </c:pt>
                <c:pt idx="1823">
                  <c:v>44720</c:v>
                </c:pt>
                <c:pt idx="1824">
                  <c:v>44721</c:v>
                </c:pt>
                <c:pt idx="1825">
                  <c:v>44722</c:v>
                </c:pt>
                <c:pt idx="1826">
                  <c:v>44725</c:v>
                </c:pt>
                <c:pt idx="1827">
                  <c:v>44726</c:v>
                </c:pt>
                <c:pt idx="1828">
                  <c:v>44727</c:v>
                </c:pt>
                <c:pt idx="1829">
                  <c:v>44728</c:v>
                </c:pt>
                <c:pt idx="1830">
                  <c:v>44729</c:v>
                </c:pt>
                <c:pt idx="1831">
                  <c:v>44732</c:v>
                </c:pt>
                <c:pt idx="1832">
                  <c:v>44733</c:v>
                </c:pt>
                <c:pt idx="1833">
                  <c:v>44734</c:v>
                </c:pt>
                <c:pt idx="1834">
                  <c:v>44735</c:v>
                </c:pt>
                <c:pt idx="1835">
                  <c:v>44736</c:v>
                </c:pt>
                <c:pt idx="1836">
                  <c:v>44739</c:v>
                </c:pt>
                <c:pt idx="1837">
                  <c:v>44740</c:v>
                </c:pt>
                <c:pt idx="1838">
                  <c:v>44741</c:v>
                </c:pt>
                <c:pt idx="1839">
                  <c:v>44742</c:v>
                </c:pt>
                <c:pt idx="1840">
                  <c:v>44743</c:v>
                </c:pt>
                <c:pt idx="1841">
                  <c:v>44746</c:v>
                </c:pt>
                <c:pt idx="1842">
                  <c:v>44747</c:v>
                </c:pt>
                <c:pt idx="1843">
                  <c:v>44748</c:v>
                </c:pt>
                <c:pt idx="1844">
                  <c:v>44749</c:v>
                </c:pt>
                <c:pt idx="1845">
                  <c:v>44750</c:v>
                </c:pt>
                <c:pt idx="1846">
                  <c:v>44753</c:v>
                </c:pt>
                <c:pt idx="1847">
                  <c:v>44754</c:v>
                </c:pt>
                <c:pt idx="1848">
                  <c:v>44755</c:v>
                </c:pt>
                <c:pt idx="1849">
                  <c:v>44756</c:v>
                </c:pt>
                <c:pt idx="1850">
                  <c:v>44757</c:v>
                </c:pt>
                <c:pt idx="1851">
                  <c:v>44760</c:v>
                </c:pt>
                <c:pt idx="1852">
                  <c:v>44761</c:v>
                </c:pt>
                <c:pt idx="1853">
                  <c:v>44762</c:v>
                </c:pt>
                <c:pt idx="1854">
                  <c:v>44763</c:v>
                </c:pt>
                <c:pt idx="1855">
                  <c:v>44764</c:v>
                </c:pt>
                <c:pt idx="1856">
                  <c:v>44767</c:v>
                </c:pt>
                <c:pt idx="1857">
                  <c:v>44768</c:v>
                </c:pt>
                <c:pt idx="1858">
                  <c:v>44769</c:v>
                </c:pt>
                <c:pt idx="1859">
                  <c:v>44770</c:v>
                </c:pt>
                <c:pt idx="1860">
                  <c:v>44771</c:v>
                </c:pt>
                <c:pt idx="1861">
                  <c:v>44774</c:v>
                </c:pt>
                <c:pt idx="1862">
                  <c:v>44775</c:v>
                </c:pt>
                <c:pt idx="1863">
                  <c:v>44776</c:v>
                </c:pt>
                <c:pt idx="1864">
                  <c:v>44777</c:v>
                </c:pt>
                <c:pt idx="1865">
                  <c:v>44778</c:v>
                </c:pt>
                <c:pt idx="1866">
                  <c:v>44781</c:v>
                </c:pt>
                <c:pt idx="1867">
                  <c:v>44782</c:v>
                </c:pt>
                <c:pt idx="1868">
                  <c:v>44783</c:v>
                </c:pt>
                <c:pt idx="1869">
                  <c:v>44784</c:v>
                </c:pt>
                <c:pt idx="1870">
                  <c:v>44785</c:v>
                </c:pt>
                <c:pt idx="1871">
                  <c:v>44788</c:v>
                </c:pt>
                <c:pt idx="1872">
                  <c:v>44789</c:v>
                </c:pt>
                <c:pt idx="1873">
                  <c:v>44790</c:v>
                </c:pt>
                <c:pt idx="1874">
                  <c:v>44791</c:v>
                </c:pt>
                <c:pt idx="1875">
                  <c:v>44792</c:v>
                </c:pt>
                <c:pt idx="1876">
                  <c:v>44795</c:v>
                </c:pt>
                <c:pt idx="1877">
                  <c:v>44796</c:v>
                </c:pt>
                <c:pt idx="1878">
                  <c:v>44797</c:v>
                </c:pt>
                <c:pt idx="1879">
                  <c:v>44798</c:v>
                </c:pt>
                <c:pt idx="1880">
                  <c:v>44799</c:v>
                </c:pt>
                <c:pt idx="1881">
                  <c:v>44803</c:v>
                </c:pt>
                <c:pt idx="1882">
                  <c:v>44804</c:v>
                </c:pt>
                <c:pt idx="1883">
                  <c:v>44805</c:v>
                </c:pt>
                <c:pt idx="1884">
                  <c:v>44806</c:v>
                </c:pt>
                <c:pt idx="1885">
                  <c:v>44809</c:v>
                </c:pt>
                <c:pt idx="1886">
                  <c:v>44810</c:v>
                </c:pt>
                <c:pt idx="1887">
                  <c:v>44811</c:v>
                </c:pt>
                <c:pt idx="1888">
                  <c:v>44812</c:v>
                </c:pt>
                <c:pt idx="1889">
                  <c:v>44813</c:v>
                </c:pt>
                <c:pt idx="1890">
                  <c:v>44816</c:v>
                </c:pt>
                <c:pt idx="1891">
                  <c:v>44817</c:v>
                </c:pt>
                <c:pt idx="1892">
                  <c:v>44818</c:v>
                </c:pt>
                <c:pt idx="1893">
                  <c:v>44819</c:v>
                </c:pt>
                <c:pt idx="1894">
                  <c:v>44820</c:v>
                </c:pt>
                <c:pt idx="1895">
                  <c:v>44824</c:v>
                </c:pt>
                <c:pt idx="1896">
                  <c:v>44825</c:v>
                </c:pt>
                <c:pt idx="1897">
                  <c:v>44826</c:v>
                </c:pt>
                <c:pt idx="1898">
                  <c:v>44827</c:v>
                </c:pt>
                <c:pt idx="1899">
                  <c:v>44830</c:v>
                </c:pt>
                <c:pt idx="1900">
                  <c:v>44831</c:v>
                </c:pt>
                <c:pt idx="1901">
                  <c:v>44832</c:v>
                </c:pt>
                <c:pt idx="1902">
                  <c:v>44833</c:v>
                </c:pt>
                <c:pt idx="1903">
                  <c:v>44834</c:v>
                </c:pt>
                <c:pt idx="1904">
                  <c:v>44837</c:v>
                </c:pt>
                <c:pt idx="1905">
                  <c:v>44838</c:v>
                </c:pt>
                <c:pt idx="1906">
                  <c:v>44839</c:v>
                </c:pt>
                <c:pt idx="1907">
                  <c:v>44840</c:v>
                </c:pt>
                <c:pt idx="1908">
                  <c:v>44841</c:v>
                </c:pt>
                <c:pt idx="1909">
                  <c:v>44844</c:v>
                </c:pt>
                <c:pt idx="1910">
                  <c:v>44845</c:v>
                </c:pt>
                <c:pt idx="1911">
                  <c:v>44846</c:v>
                </c:pt>
                <c:pt idx="1912">
                  <c:v>44847</c:v>
                </c:pt>
                <c:pt idx="1913">
                  <c:v>44848</c:v>
                </c:pt>
                <c:pt idx="1914">
                  <c:v>44851</c:v>
                </c:pt>
                <c:pt idx="1915">
                  <c:v>44852</c:v>
                </c:pt>
                <c:pt idx="1916">
                  <c:v>44853</c:v>
                </c:pt>
                <c:pt idx="1917">
                  <c:v>44854</c:v>
                </c:pt>
                <c:pt idx="1918">
                  <c:v>44855</c:v>
                </c:pt>
                <c:pt idx="1919">
                  <c:v>44858</c:v>
                </c:pt>
                <c:pt idx="1920">
                  <c:v>44859</c:v>
                </c:pt>
                <c:pt idx="1921">
                  <c:v>44860</c:v>
                </c:pt>
                <c:pt idx="1922">
                  <c:v>44861</c:v>
                </c:pt>
                <c:pt idx="1923">
                  <c:v>44862</c:v>
                </c:pt>
                <c:pt idx="1924">
                  <c:v>44865</c:v>
                </c:pt>
                <c:pt idx="1925">
                  <c:v>44866</c:v>
                </c:pt>
                <c:pt idx="1926">
                  <c:v>44867</c:v>
                </c:pt>
                <c:pt idx="1927">
                  <c:v>44868</c:v>
                </c:pt>
                <c:pt idx="1928">
                  <c:v>44869</c:v>
                </c:pt>
                <c:pt idx="1929">
                  <c:v>44872</c:v>
                </c:pt>
                <c:pt idx="1930">
                  <c:v>44873</c:v>
                </c:pt>
                <c:pt idx="1931">
                  <c:v>44874</c:v>
                </c:pt>
                <c:pt idx="1932">
                  <c:v>44875</c:v>
                </c:pt>
                <c:pt idx="1933">
                  <c:v>44876</c:v>
                </c:pt>
                <c:pt idx="1934">
                  <c:v>44879</c:v>
                </c:pt>
                <c:pt idx="1935">
                  <c:v>44880</c:v>
                </c:pt>
                <c:pt idx="1936">
                  <c:v>44881</c:v>
                </c:pt>
                <c:pt idx="1937">
                  <c:v>44882</c:v>
                </c:pt>
                <c:pt idx="1938">
                  <c:v>44883</c:v>
                </c:pt>
                <c:pt idx="1939">
                  <c:v>44886</c:v>
                </c:pt>
                <c:pt idx="1940">
                  <c:v>44887</c:v>
                </c:pt>
                <c:pt idx="1941">
                  <c:v>44888</c:v>
                </c:pt>
                <c:pt idx="1942">
                  <c:v>44889</c:v>
                </c:pt>
                <c:pt idx="1943">
                  <c:v>44890</c:v>
                </c:pt>
                <c:pt idx="1944">
                  <c:v>44893</c:v>
                </c:pt>
                <c:pt idx="1945">
                  <c:v>44894</c:v>
                </c:pt>
                <c:pt idx="1946">
                  <c:v>44895</c:v>
                </c:pt>
                <c:pt idx="1947">
                  <c:v>44896</c:v>
                </c:pt>
                <c:pt idx="1948">
                  <c:v>44897</c:v>
                </c:pt>
                <c:pt idx="1949">
                  <c:v>44900</c:v>
                </c:pt>
                <c:pt idx="1950">
                  <c:v>44901</c:v>
                </c:pt>
                <c:pt idx="1951">
                  <c:v>44902</c:v>
                </c:pt>
                <c:pt idx="1952">
                  <c:v>44903</c:v>
                </c:pt>
                <c:pt idx="1953">
                  <c:v>44904</c:v>
                </c:pt>
                <c:pt idx="1954">
                  <c:v>44907</c:v>
                </c:pt>
                <c:pt idx="1955">
                  <c:v>44908</c:v>
                </c:pt>
                <c:pt idx="1956">
                  <c:v>44909</c:v>
                </c:pt>
                <c:pt idx="1957">
                  <c:v>44910</c:v>
                </c:pt>
                <c:pt idx="1958">
                  <c:v>44911</c:v>
                </c:pt>
                <c:pt idx="1959">
                  <c:v>44914</c:v>
                </c:pt>
                <c:pt idx="1960">
                  <c:v>44915</c:v>
                </c:pt>
                <c:pt idx="1961">
                  <c:v>44916</c:v>
                </c:pt>
                <c:pt idx="1962">
                  <c:v>44917</c:v>
                </c:pt>
                <c:pt idx="1963">
                  <c:v>44918</c:v>
                </c:pt>
                <c:pt idx="1964">
                  <c:v>44923</c:v>
                </c:pt>
                <c:pt idx="1965">
                  <c:v>44924</c:v>
                </c:pt>
                <c:pt idx="1966">
                  <c:v>44925</c:v>
                </c:pt>
                <c:pt idx="1967">
                  <c:v>44929</c:v>
                </c:pt>
                <c:pt idx="1968">
                  <c:v>44930</c:v>
                </c:pt>
                <c:pt idx="1969">
                  <c:v>44931</c:v>
                </c:pt>
                <c:pt idx="1970">
                  <c:v>44932</c:v>
                </c:pt>
                <c:pt idx="1971">
                  <c:v>44935</c:v>
                </c:pt>
                <c:pt idx="1972">
                  <c:v>44936</c:v>
                </c:pt>
                <c:pt idx="1973">
                  <c:v>44937</c:v>
                </c:pt>
                <c:pt idx="1974">
                  <c:v>44938</c:v>
                </c:pt>
                <c:pt idx="1975">
                  <c:v>44939</c:v>
                </c:pt>
                <c:pt idx="1976">
                  <c:v>44942</c:v>
                </c:pt>
                <c:pt idx="1977">
                  <c:v>44943</c:v>
                </c:pt>
                <c:pt idx="1978">
                  <c:v>44944</c:v>
                </c:pt>
                <c:pt idx="1979">
                  <c:v>44945</c:v>
                </c:pt>
                <c:pt idx="1980">
                  <c:v>44946</c:v>
                </c:pt>
                <c:pt idx="1981">
                  <c:v>44949</c:v>
                </c:pt>
                <c:pt idx="1982">
                  <c:v>44950</c:v>
                </c:pt>
                <c:pt idx="1983">
                  <c:v>44951</c:v>
                </c:pt>
                <c:pt idx="1984">
                  <c:v>44952</c:v>
                </c:pt>
                <c:pt idx="1985">
                  <c:v>44953</c:v>
                </c:pt>
                <c:pt idx="1986">
                  <c:v>44956</c:v>
                </c:pt>
                <c:pt idx="1987">
                  <c:v>44957</c:v>
                </c:pt>
                <c:pt idx="1988">
                  <c:v>44958</c:v>
                </c:pt>
                <c:pt idx="1989">
                  <c:v>44959</c:v>
                </c:pt>
                <c:pt idx="1990">
                  <c:v>44960</c:v>
                </c:pt>
                <c:pt idx="1991">
                  <c:v>44963</c:v>
                </c:pt>
                <c:pt idx="1992">
                  <c:v>44964</c:v>
                </c:pt>
                <c:pt idx="1993">
                  <c:v>44965</c:v>
                </c:pt>
                <c:pt idx="1994">
                  <c:v>44966</c:v>
                </c:pt>
                <c:pt idx="1995">
                  <c:v>44967</c:v>
                </c:pt>
                <c:pt idx="1996">
                  <c:v>44970</c:v>
                </c:pt>
                <c:pt idx="1997">
                  <c:v>44971</c:v>
                </c:pt>
                <c:pt idx="1998">
                  <c:v>44972</c:v>
                </c:pt>
                <c:pt idx="1999">
                  <c:v>44973</c:v>
                </c:pt>
                <c:pt idx="2000">
                  <c:v>44974</c:v>
                </c:pt>
                <c:pt idx="2001">
                  <c:v>44977</c:v>
                </c:pt>
                <c:pt idx="2002">
                  <c:v>44978</c:v>
                </c:pt>
                <c:pt idx="2003">
                  <c:v>44979</c:v>
                </c:pt>
                <c:pt idx="2004">
                  <c:v>44980</c:v>
                </c:pt>
                <c:pt idx="2005">
                  <c:v>44981</c:v>
                </c:pt>
                <c:pt idx="2006">
                  <c:v>44984</c:v>
                </c:pt>
                <c:pt idx="2007">
                  <c:v>44985</c:v>
                </c:pt>
                <c:pt idx="2008">
                  <c:v>44986</c:v>
                </c:pt>
                <c:pt idx="2009">
                  <c:v>44987</c:v>
                </c:pt>
                <c:pt idx="2010">
                  <c:v>44988</c:v>
                </c:pt>
                <c:pt idx="2011">
                  <c:v>44991</c:v>
                </c:pt>
                <c:pt idx="2012">
                  <c:v>44992</c:v>
                </c:pt>
                <c:pt idx="2013">
                  <c:v>44993</c:v>
                </c:pt>
                <c:pt idx="2014">
                  <c:v>44994</c:v>
                </c:pt>
                <c:pt idx="2015">
                  <c:v>44995</c:v>
                </c:pt>
                <c:pt idx="2016">
                  <c:v>44998</c:v>
                </c:pt>
                <c:pt idx="2017">
                  <c:v>44999</c:v>
                </c:pt>
                <c:pt idx="2018">
                  <c:v>45000</c:v>
                </c:pt>
                <c:pt idx="2019">
                  <c:v>45001</c:v>
                </c:pt>
                <c:pt idx="2020">
                  <c:v>45002</c:v>
                </c:pt>
                <c:pt idx="2021">
                  <c:v>45005</c:v>
                </c:pt>
                <c:pt idx="2022">
                  <c:v>45006</c:v>
                </c:pt>
                <c:pt idx="2023">
                  <c:v>45007</c:v>
                </c:pt>
                <c:pt idx="2024">
                  <c:v>45008</c:v>
                </c:pt>
                <c:pt idx="2025">
                  <c:v>45009</c:v>
                </c:pt>
                <c:pt idx="2026">
                  <c:v>45012</c:v>
                </c:pt>
                <c:pt idx="2027">
                  <c:v>45013</c:v>
                </c:pt>
                <c:pt idx="2028">
                  <c:v>45014</c:v>
                </c:pt>
                <c:pt idx="2029">
                  <c:v>45015</c:v>
                </c:pt>
                <c:pt idx="2030">
                  <c:v>45016</c:v>
                </c:pt>
                <c:pt idx="2031">
                  <c:v>45019</c:v>
                </c:pt>
                <c:pt idx="2032">
                  <c:v>45020</c:v>
                </c:pt>
                <c:pt idx="2033">
                  <c:v>45021</c:v>
                </c:pt>
                <c:pt idx="2034">
                  <c:v>45022</c:v>
                </c:pt>
                <c:pt idx="2035">
                  <c:v>45027</c:v>
                </c:pt>
                <c:pt idx="2036">
                  <c:v>45028</c:v>
                </c:pt>
                <c:pt idx="2037">
                  <c:v>45029</c:v>
                </c:pt>
                <c:pt idx="2038">
                  <c:v>45030</c:v>
                </c:pt>
                <c:pt idx="2039">
                  <c:v>45033</c:v>
                </c:pt>
                <c:pt idx="2040">
                  <c:v>45034</c:v>
                </c:pt>
                <c:pt idx="2041">
                  <c:v>45035</c:v>
                </c:pt>
                <c:pt idx="2042">
                  <c:v>45036</c:v>
                </c:pt>
                <c:pt idx="2043">
                  <c:v>45037</c:v>
                </c:pt>
                <c:pt idx="2044">
                  <c:v>45040</c:v>
                </c:pt>
                <c:pt idx="2045">
                  <c:v>45041</c:v>
                </c:pt>
                <c:pt idx="2046">
                  <c:v>45042</c:v>
                </c:pt>
                <c:pt idx="2047">
                  <c:v>45043</c:v>
                </c:pt>
                <c:pt idx="2048">
                  <c:v>45044</c:v>
                </c:pt>
                <c:pt idx="2049">
                  <c:v>45047</c:v>
                </c:pt>
                <c:pt idx="2050">
                  <c:v>45048</c:v>
                </c:pt>
                <c:pt idx="2051">
                  <c:v>45049</c:v>
                </c:pt>
                <c:pt idx="2052">
                  <c:v>45050</c:v>
                </c:pt>
                <c:pt idx="2053">
                  <c:v>45051</c:v>
                </c:pt>
                <c:pt idx="2054">
                  <c:v>45054</c:v>
                </c:pt>
                <c:pt idx="2055">
                  <c:v>45055</c:v>
                </c:pt>
                <c:pt idx="2056">
                  <c:v>45056</c:v>
                </c:pt>
                <c:pt idx="2057">
                  <c:v>45057</c:v>
                </c:pt>
                <c:pt idx="2058">
                  <c:v>45058</c:v>
                </c:pt>
                <c:pt idx="2059">
                  <c:v>45061</c:v>
                </c:pt>
                <c:pt idx="2060">
                  <c:v>45062</c:v>
                </c:pt>
                <c:pt idx="2061">
                  <c:v>45063</c:v>
                </c:pt>
                <c:pt idx="2062">
                  <c:v>45064</c:v>
                </c:pt>
                <c:pt idx="2063">
                  <c:v>45065</c:v>
                </c:pt>
                <c:pt idx="2064">
                  <c:v>45068</c:v>
                </c:pt>
                <c:pt idx="2065">
                  <c:v>45069</c:v>
                </c:pt>
                <c:pt idx="2066">
                  <c:v>45070</c:v>
                </c:pt>
                <c:pt idx="2067">
                  <c:v>45071</c:v>
                </c:pt>
                <c:pt idx="2068">
                  <c:v>45072</c:v>
                </c:pt>
                <c:pt idx="2069">
                  <c:v>45075</c:v>
                </c:pt>
                <c:pt idx="2070">
                  <c:v>45076</c:v>
                </c:pt>
                <c:pt idx="2071">
                  <c:v>45077</c:v>
                </c:pt>
                <c:pt idx="2072">
                  <c:v>45078</c:v>
                </c:pt>
                <c:pt idx="2073">
                  <c:v>45079</c:v>
                </c:pt>
                <c:pt idx="2074">
                  <c:v>45082</c:v>
                </c:pt>
                <c:pt idx="2075">
                  <c:v>45083</c:v>
                </c:pt>
                <c:pt idx="2076">
                  <c:v>45084</c:v>
                </c:pt>
                <c:pt idx="2077">
                  <c:v>45085</c:v>
                </c:pt>
                <c:pt idx="2078">
                  <c:v>45086</c:v>
                </c:pt>
                <c:pt idx="2079">
                  <c:v>45089</c:v>
                </c:pt>
                <c:pt idx="2080">
                  <c:v>45090</c:v>
                </c:pt>
                <c:pt idx="2081">
                  <c:v>45091</c:v>
                </c:pt>
                <c:pt idx="2082">
                  <c:v>45092</c:v>
                </c:pt>
                <c:pt idx="2083">
                  <c:v>45093</c:v>
                </c:pt>
                <c:pt idx="2084">
                  <c:v>45096</c:v>
                </c:pt>
                <c:pt idx="2085">
                  <c:v>45097</c:v>
                </c:pt>
                <c:pt idx="2086">
                  <c:v>45098</c:v>
                </c:pt>
                <c:pt idx="2087">
                  <c:v>45099</c:v>
                </c:pt>
                <c:pt idx="2088">
                  <c:v>45100</c:v>
                </c:pt>
                <c:pt idx="2089">
                  <c:v>45103</c:v>
                </c:pt>
                <c:pt idx="2090">
                  <c:v>45104</c:v>
                </c:pt>
                <c:pt idx="2091">
                  <c:v>45105</c:v>
                </c:pt>
                <c:pt idx="2092">
                  <c:v>45106</c:v>
                </c:pt>
                <c:pt idx="2093">
                  <c:v>45107</c:v>
                </c:pt>
                <c:pt idx="2094">
                  <c:v>45110</c:v>
                </c:pt>
                <c:pt idx="2095">
                  <c:v>45111</c:v>
                </c:pt>
                <c:pt idx="2096">
                  <c:v>45112</c:v>
                </c:pt>
                <c:pt idx="2097">
                  <c:v>45113</c:v>
                </c:pt>
                <c:pt idx="2098">
                  <c:v>45114</c:v>
                </c:pt>
                <c:pt idx="2099">
                  <c:v>45117</c:v>
                </c:pt>
                <c:pt idx="2100">
                  <c:v>45118</c:v>
                </c:pt>
                <c:pt idx="2101">
                  <c:v>45119</c:v>
                </c:pt>
                <c:pt idx="2102">
                  <c:v>45120</c:v>
                </c:pt>
                <c:pt idx="2103">
                  <c:v>45121</c:v>
                </c:pt>
                <c:pt idx="2104">
                  <c:v>45124</c:v>
                </c:pt>
                <c:pt idx="2105">
                  <c:v>45125</c:v>
                </c:pt>
                <c:pt idx="2106">
                  <c:v>45126</c:v>
                </c:pt>
                <c:pt idx="2107">
                  <c:v>45127</c:v>
                </c:pt>
                <c:pt idx="2108">
                  <c:v>45128</c:v>
                </c:pt>
                <c:pt idx="2109">
                  <c:v>45131</c:v>
                </c:pt>
                <c:pt idx="2110">
                  <c:v>45132</c:v>
                </c:pt>
                <c:pt idx="2111">
                  <c:v>45133</c:v>
                </c:pt>
                <c:pt idx="2112">
                  <c:v>45134</c:v>
                </c:pt>
                <c:pt idx="2113">
                  <c:v>45135</c:v>
                </c:pt>
                <c:pt idx="2114">
                  <c:v>45138</c:v>
                </c:pt>
                <c:pt idx="2115">
                  <c:v>45139</c:v>
                </c:pt>
                <c:pt idx="2116">
                  <c:v>45140</c:v>
                </c:pt>
                <c:pt idx="2117">
                  <c:v>45141</c:v>
                </c:pt>
                <c:pt idx="2118">
                  <c:v>45142</c:v>
                </c:pt>
                <c:pt idx="2119">
                  <c:v>45145</c:v>
                </c:pt>
                <c:pt idx="2120">
                  <c:v>45146</c:v>
                </c:pt>
                <c:pt idx="2121">
                  <c:v>45147</c:v>
                </c:pt>
                <c:pt idx="2122">
                  <c:v>45148</c:v>
                </c:pt>
                <c:pt idx="2123">
                  <c:v>45149</c:v>
                </c:pt>
                <c:pt idx="2124">
                  <c:v>45152</c:v>
                </c:pt>
                <c:pt idx="2125">
                  <c:v>45153</c:v>
                </c:pt>
                <c:pt idx="2126">
                  <c:v>45154</c:v>
                </c:pt>
                <c:pt idx="2127">
                  <c:v>45155</c:v>
                </c:pt>
                <c:pt idx="2128">
                  <c:v>45156</c:v>
                </c:pt>
                <c:pt idx="2129">
                  <c:v>45159</c:v>
                </c:pt>
                <c:pt idx="2130">
                  <c:v>45160</c:v>
                </c:pt>
                <c:pt idx="2131">
                  <c:v>45161</c:v>
                </c:pt>
                <c:pt idx="2132">
                  <c:v>45162</c:v>
                </c:pt>
                <c:pt idx="2133">
                  <c:v>45163</c:v>
                </c:pt>
                <c:pt idx="2134">
                  <c:v>45166</c:v>
                </c:pt>
                <c:pt idx="2135">
                  <c:v>45167</c:v>
                </c:pt>
                <c:pt idx="2136">
                  <c:v>45168</c:v>
                </c:pt>
                <c:pt idx="2137">
                  <c:v>45169</c:v>
                </c:pt>
                <c:pt idx="2138">
                  <c:v>45170</c:v>
                </c:pt>
                <c:pt idx="2139">
                  <c:v>45173</c:v>
                </c:pt>
                <c:pt idx="2140">
                  <c:v>45174</c:v>
                </c:pt>
                <c:pt idx="2141">
                  <c:v>45175</c:v>
                </c:pt>
                <c:pt idx="2142">
                  <c:v>45176</c:v>
                </c:pt>
                <c:pt idx="2143">
                  <c:v>45177</c:v>
                </c:pt>
                <c:pt idx="2144">
                  <c:v>45180</c:v>
                </c:pt>
                <c:pt idx="2145">
                  <c:v>45181</c:v>
                </c:pt>
                <c:pt idx="2146">
                  <c:v>45182</c:v>
                </c:pt>
                <c:pt idx="2147">
                  <c:v>45183</c:v>
                </c:pt>
                <c:pt idx="2148">
                  <c:v>45184</c:v>
                </c:pt>
                <c:pt idx="2149">
                  <c:v>45187</c:v>
                </c:pt>
                <c:pt idx="2150">
                  <c:v>45188</c:v>
                </c:pt>
                <c:pt idx="2151">
                  <c:v>45189</c:v>
                </c:pt>
                <c:pt idx="2152">
                  <c:v>45190</c:v>
                </c:pt>
                <c:pt idx="2153">
                  <c:v>45191</c:v>
                </c:pt>
                <c:pt idx="2154">
                  <c:v>45194</c:v>
                </c:pt>
                <c:pt idx="2155">
                  <c:v>45195</c:v>
                </c:pt>
                <c:pt idx="2156">
                  <c:v>45196</c:v>
                </c:pt>
                <c:pt idx="2157">
                  <c:v>45197</c:v>
                </c:pt>
                <c:pt idx="2158">
                  <c:v>45198</c:v>
                </c:pt>
                <c:pt idx="2159">
                  <c:v>45201</c:v>
                </c:pt>
                <c:pt idx="2160">
                  <c:v>45202</c:v>
                </c:pt>
                <c:pt idx="2161">
                  <c:v>45203</c:v>
                </c:pt>
                <c:pt idx="2162">
                  <c:v>45204</c:v>
                </c:pt>
                <c:pt idx="2163">
                  <c:v>45205</c:v>
                </c:pt>
                <c:pt idx="2164">
                  <c:v>45208</c:v>
                </c:pt>
                <c:pt idx="2165">
                  <c:v>45209</c:v>
                </c:pt>
                <c:pt idx="2166">
                  <c:v>45210</c:v>
                </c:pt>
                <c:pt idx="2167">
                  <c:v>45211</c:v>
                </c:pt>
                <c:pt idx="2168">
                  <c:v>45212</c:v>
                </c:pt>
                <c:pt idx="2169">
                  <c:v>45215</c:v>
                </c:pt>
                <c:pt idx="2170">
                  <c:v>45216</c:v>
                </c:pt>
                <c:pt idx="2171">
                  <c:v>45217</c:v>
                </c:pt>
                <c:pt idx="2172">
                  <c:v>45218</c:v>
                </c:pt>
                <c:pt idx="2173">
                  <c:v>45219</c:v>
                </c:pt>
                <c:pt idx="2174">
                  <c:v>45222</c:v>
                </c:pt>
                <c:pt idx="2175">
                  <c:v>45223</c:v>
                </c:pt>
                <c:pt idx="2176">
                  <c:v>45224</c:v>
                </c:pt>
                <c:pt idx="2177">
                  <c:v>45225</c:v>
                </c:pt>
                <c:pt idx="2178">
                  <c:v>45226</c:v>
                </c:pt>
                <c:pt idx="2179">
                  <c:v>45229</c:v>
                </c:pt>
                <c:pt idx="2180">
                  <c:v>45230</c:v>
                </c:pt>
                <c:pt idx="2181">
                  <c:v>45231</c:v>
                </c:pt>
                <c:pt idx="2182">
                  <c:v>45232</c:v>
                </c:pt>
                <c:pt idx="2183">
                  <c:v>45233</c:v>
                </c:pt>
                <c:pt idx="2184">
                  <c:v>45236</c:v>
                </c:pt>
                <c:pt idx="2185">
                  <c:v>45237</c:v>
                </c:pt>
                <c:pt idx="2186">
                  <c:v>45238</c:v>
                </c:pt>
                <c:pt idx="2187">
                  <c:v>45239</c:v>
                </c:pt>
                <c:pt idx="2188">
                  <c:v>45240</c:v>
                </c:pt>
                <c:pt idx="2189">
                  <c:v>45243</c:v>
                </c:pt>
                <c:pt idx="2190">
                  <c:v>45244</c:v>
                </c:pt>
                <c:pt idx="2191">
                  <c:v>45245</c:v>
                </c:pt>
                <c:pt idx="2192">
                  <c:v>45246</c:v>
                </c:pt>
                <c:pt idx="2193">
                  <c:v>45247</c:v>
                </c:pt>
                <c:pt idx="2194">
                  <c:v>45250</c:v>
                </c:pt>
                <c:pt idx="2195">
                  <c:v>45251</c:v>
                </c:pt>
                <c:pt idx="2196">
                  <c:v>45252</c:v>
                </c:pt>
                <c:pt idx="2197">
                  <c:v>45253</c:v>
                </c:pt>
                <c:pt idx="2198">
                  <c:v>45254</c:v>
                </c:pt>
                <c:pt idx="2199">
                  <c:v>45257</c:v>
                </c:pt>
                <c:pt idx="2200">
                  <c:v>45258</c:v>
                </c:pt>
                <c:pt idx="2201">
                  <c:v>45259</c:v>
                </c:pt>
                <c:pt idx="2202">
                  <c:v>45260</c:v>
                </c:pt>
                <c:pt idx="2203">
                  <c:v>45261</c:v>
                </c:pt>
                <c:pt idx="2204">
                  <c:v>45264</c:v>
                </c:pt>
                <c:pt idx="2205">
                  <c:v>45265</c:v>
                </c:pt>
                <c:pt idx="2206">
                  <c:v>45266</c:v>
                </c:pt>
                <c:pt idx="2207">
                  <c:v>45267</c:v>
                </c:pt>
                <c:pt idx="2208">
                  <c:v>45268</c:v>
                </c:pt>
                <c:pt idx="2209">
                  <c:v>45271</c:v>
                </c:pt>
                <c:pt idx="2210">
                  <c:v>45272</c:v>
                </c:pt>
                <c:pt idx="2211">
                  <c:v>45273</c:v>
                </c:pt>
                <c:pt idx="2212">
                  <c:v>45274</c:v>
                </c:pt>
                <c:pt idx="2213">
                  <c:v>45275</c:v>
                </c:pt>
                <c:pt idx="2214">
                  <c:v>45278</c:v>
                </c:pt>
                <c:pt idx="2215">
                  <c:v>45279</c:v>
                </c:pt>
                <c:pt idx="2216">
                  <c:v>45280</c:v>
                </c:pt>
                <c:pt idx="2217">
                  <c:v>45281</c:v>
                </c:pt>
                <c:pt idx="2218">
                  <c:v>45282</c:v>
                </c:pt>
                <c:pt idx="2219">
                  <c:v>45287</c:v>
                </c:pt>
                <c:pt idx="2220">
                  <c:v>45288</c:v>
                </c:pt>
                <c:pt idx="2221">
                  <c:v>45289</c:v>
                </c:pt>
                <c:pt idx="2222">
                  <c:v>45293</c:v>
                </c:pt>
                <c:pt idx="2223">
                  <c:v>45294</c:v>
                </c:pt>
                <c:pt idx="2224">
                  <c:v>45295</c:v>
                </c:pt>
                <c:pt idx="2225">
                  <c:v>45296</c:v>
                </c:pt>
                <c:pt idx="2226">
                  <c:v>45299</c:v>
                </c:pt>
                <c:pt idx="2227">
                  <c:v>45300</c:v>
                </c:pt>
                <c:pt idx="2228">
                  <c:v>45301</c:v>
                </c:pt>
                <c:pt idx="2229">
                  <c:v>45302</c:v>
                </c:pt>
                <c:pt idx="2230">
                  <c:v>45303</c:v>
                </c:pt>
                <c:pt idx="2231">
                  <c:v>45306</c:v>
                </c:pt>
                <c:pt idx="2232">
                  <c:v>45307</c:v>
                </c:pt>
                <c:pt idx="2233">
                  <c:v>45308</c:v>
                </c:pt>
                <c:pt idx="2234">
                  <c:v>45309</c:v>
                </c:pt>
                <c:pt idx="2235">
                  <c:v>45310</c:v>
                </c:pt>
                <c:pt idx="2236">
                  <c:v>45313</c:v>
                </c:pt>
                <c:pt idx="2237">
                  <c:v>45314</c:v>
                </c:pt>
                <c:pt idx="2238">
                  <c:v>45315</c:v>
                </c:pt>
                <c:pt idx="2239">
                  <c:v>45316</c:v>
                </c:pt>
                <c:pt idx="2240">
                  <c:v>45317</c:v>
                </c:pt>
                <c:pt idx="2241">
                  <c:v>45320</c:v>
                </c:pt>
                <c:pt idx="2242">
                  <c:v>45321</c:v>
                </c:pt>
                <c:pt idx="2243">
                  <c:v>45322</c:v>
                </c:pt>
                <c:pt idx="2244">
                  <c:v>45323</c:v>
                </c:pt>
                <c:pt idx="2245">
                  <c:v>45324</c:v>
                </c:pt>
                <c:pt idx="2246">
                  <c:v>45327</c:v>
                </c:pt>
                <c:pt idx="2247">
                  <c:v>45328</c:v>
                </c:pt>
                <c:pt idx="2248">
                  <c:v>45329</c:v>
                </c:pt>
                <c:pt idx="2249">
                  <c:v>45330</c:v>
                </c:pt>
                <c:pt idx="2250">
                  <c:v>45331</c:v>
                </c:pt>
                <c:pt idx="2251">
                  <c:v>45334</c:v>
                </c:pt>
                <c:pt idx="2252">
                  <c:v>45335</c:v>
                </c:pt>
                <c:pt idx="2253">
                  <c:v>45336</c:v>
                </c:pt>
                <c:pt idx="2254">
                  <c:v>45337</c:v>
                </c:pt>
                <c:pt idx="2255">
                  <c:v>45338</c:v>
                </c:pt>
                <c:pt idx="2256">
                  <c:v>45341</c:v>
                </c:pt>
                <c:pt idx="2257">
                  <c:v>45342</c:v>
                </c:pt>
                <c:pt idx="2258">
                  <c:v>45343</c:v>
                </c:pt>
                <c:pt idx="2259">
                  <c:v>45344</c:v>
                </c:pt>
                <c:pt idx="2260">
                  <c:v>45345</c:v>
                </c:pt>
                <c:pt idx="2261">
                  <c:v>45348</c:v>
                </c:pt>
                <c:pt idx="2262">
                  <c:v>45349</c:v>
                </c:pt>
                <c:pt idx="2263">
                  <c:v>45350</c:v>
                </c:pt>
                <c:pt idx="2264">
                  <c:v>45351</c:v>
                </c:pt>
                <c:pt idx="2265">
                  <c:v>45352</c:v>
                </c:pt>
                <c:pt idx="2266">
                  <c:v>45355</c:v>
                </c:pt>
                <c:pt idx="2267">
                  <c:v>45356</c:v>
                </c:pt>
                <c:pt idx="2268">
                  <c:v>45357</c:v>
                </c:pt>
                <c:pt idx="2269">
                  <c:v>45358</c:v>
                </c:pt>
                <c:pt idx="2270">
                  <c:v>45359</c:v>
                </c:pt>
                <c:pt idx="2271">
                  <c:v>45362</c:v>
                </c:pt>
                <c:pt idx="2272">
                  <c:v>45363</c:v>
                </c:pt>
                <c:pt idx="2273">
                  <c:v>45364</c:v>
                </c:pt>
                <c:pt idx="2274">
                  <c:v>45365</c:v>
                </c:pt>
                <c:pt idx="2275">
                  <c:v>45366</c:v>
                </c:pt>
                <c:pt idx="2276">
                  <c:v>45369</c:v>
                </c:pt>
                <c:pt idx="2277">
                  <c:v>45370</c:v>
                </c:pt>
                <c:pt idx="2278">
                  <c:v>45371</c:v>
                </c:pt>
                <c:pt idx="2279">
                  <c:v>45372</c:v>
                </c:pt>
                <c:pt idx="2280">
                  <c:v>45373</c:v>
                </c:pt>
                <c:pt idx="2281">
                  <c:v>45376</c:v>
                </c:pt>
                <c:pt idx="2282">
                  <c:v>45377</c:v>
                </c:pt>
                <c:pt idx="2283">
                  <c:v>45378</c:v>
                </c:pt>
                <c:pt idx="2284">
                  <c:v>45379</c:v>
                </c:pt>
                <c:pt idx="2285">
                  <c:v>45380</c:v>
                </c:pt>
                <c:pt idx="2286">
                  <c:v>45383</c:v>
                </c:pt>
                <c:pt idx="2287">
                  <c:v>45384</c:v>
                </c:pt>
                <c:pt idx="2288">
                  <c:v>45385</c:v>
                </c:pt>
                <c:pt idx="2289">
                  <c:v>45386</c:v>
                </c:pt>
                <c:pt idx="2290">
                  <c:v>45387</c:v>
                </c:pt>
                <c:pt idx="2291">
                  <c:v>45390</c:v>
                </c:pt>
                <c:pt idx="2292">
                  <c:v>45391</c:v>
                </c:pt>
                <c:pt idx="2293">
                  <c:v>45392</c:v>
                </c:pt>
                <c:pt idx="2294">
                  <c:v>45393</c:v>
                </c:pt>
                <c:pt idx="2295">
                  <c:v>45394</c:v>
                </c:pt>
                <c:pt idx="2296">
                  <c:v>45397</c:v>
                </c:pt>
                <c:pt idx="2297">
                  <c:v>45398</c:v>
                </c:pt>
                <c:pt idx="2298">
                  <c:v>45399</c:v>
                </c:pt>
                <c:pt idx="2299">
                  <c:v>45400</c:v>
                </c:pt>
                <c:pt idx="2300">
                  <c:v>45401</c:v>
                </c:pt>
                <c:pt idx="2301">
                  <c:v>45404</c:v>
                </c:pt>
                <c:pt idx="2302">
                  <c:v>45405</c:v>
                </c:pt>
                <c:pt idx="2303">
                  <c:v>45406</c:v>
                </c:pt>
                <c:pt idx="2304">
                  <c:v>45407</c:v>
                </c:pt>
                <c:pt idx="2305">
                  <c:v>45408</c:v>
                </c:pt>
                <c:pt idx="2306">
                  <c:v>45411</c:v>
                </c:pt>
                <c:pt idx="2307">
                  <c:v>45412</c:v>
                </c:pt>
                <c:pt idx="2308">
                  <c:v>45413</c:v>
                </c:pt>
                <c:pt idx="2309">
                  <c:v>45414</c:v>
                </c:pt>
                <c:pt idx="2310">
                  <c:v>45415</c:v>
                </c:pt>
                <c:pt idx="2311">
                  <c:v>45418</c:v>
                </c:pt>
                <c:pt idx="2312">
                  <c:v>45419</c:v>
                </c:pt>
                <c:pt idx="2313">
                  <c:v>45420</c:v>
                </c:pt>
                <c:pt idx="2314">
                  <c:v>45421</c:v>
                </c:pt>
                <c:pt idx="2315">
                  <c:v>45422</c:v>
                </c:pt>
                <c:pt idx="2316">
                  <c:v>45425</c:v>
                </c:pt>
                <c:pt idx="2317">
                  <c:v>45426</c:v>
                </c:pt>
                <c:pt idx="2318">
                  <c:v>45427</c:v>
                </c:pt>
                <c:pt idx="2319">
                  <c:v>45428</c:v>
                </c:pt>
                <c:pt idx="2320">
                  <c:v>45429</c:v>
                </c:pt>
                <c:pt idx="2321">
                  <c:v>45432</c:v>
                </c:pt>
                <c:pt idx="2322">
                  <c:v>45433</c:v>
                </c:pt>
                <c:pt idx="2323">
                  <c:v>45434</c:v>
                </c:pt>
                <c:pt idx="2324">
                  <c:v>45435</c:v>
                </c:pt>
                <c:pt idx="2325">
                  <c:v>45436</c:v>
                </c:pt>
                <c:pt idx="2326">
                  <c:v>45439</c:v>
                </c:pt>
                <c:pt idx="2327">
                  <c:v>45440</c:v>
                </c:pt>
                <c:pt idx="2328">
                  <c:v>45441</c:v>
                </c:pt>
                <c:pt idx="2329">
                  <c:v>45442</c:v>
                </c:pt>
                <c:pt idx="2330">
                  <c:v>45443</c:v>
                </c:pt>
                <c:pt idx="2331">
                  <c:v>45446</c:v>
                </c:pt>
                <c:pt idx="2332">
                  <c:v>45447</c:v>
                </c:pt>
                <c:pt idx="2333">
                  <c:v>45448</c:v>
                </c:pt>
                <c:pt idx="2334">
                  <c:v>45449</c:v>
                </c:pt>
                <c:pt idx="2335">
                  <c:v>45450</c:v>
                </c:pt>
                <c:pt idx="2336">
                  <c:v>45453</c:v>
                </c:pt>
                <c:pt idx="2337">
                  <c:v>45454</c:v>
                </c:pt>
                <c:pt idx="2338">
                  <c:v>45455</c:v>
                </c:pt>
                <c:pt idx="2339">
                  <c:v>45456</c:v>
                </c:pt>
                <c:pt idx="2340">
                  <c:v>45457</c:v>
                </c:pt>
                <c:pt idx="2341">
                  <c:v>45460</c:v>
                </c:pt>
                <c:pt idx="2342">
                  <c:v>45461</c:v>
                </c:pt>
                <c:pt idx="2343">
                  <c:v>45462</c:v>
                </c:pt>
                <c:pt idx="2344">
                  <c:v>45463</c:v>
                </c:pt>
                <c:pt idx="2345">
                  <c:v>45464</c:v>
                </c:pt>
                <c:pt idx="2346">
                  <c:v>45467</c:v>
                </c:pt>
                <c:pt idx="2347">
                  <c:v>45468</c:v>
                </c:pt>
                <c:pt idx="2348">
                  <c:v>45469</c:v>
                </c:pt>
                <c:pt idx="2349">
                  <c:v>45470</c:v>
                </c:pt>
                <c:pt idx="2350">
                  <c:v>45471</c:v>
                </c:pt>
                <c:pt idx="2351">
                  <c:v>45474</c:v>
                </c:pt>
                <c:pt idx="2352">
                  <c:v>45475</c:v>
                </c:pt>
                <c:pt idx="2353">
                  <c:v>45476</c:v>
                </c:pt>
                <c:pt idx="2354">
                  <c:v>45477</c:v>
                </c:pt>
                <c:pt idx="2355">
                  <c:v>45478</c:v>
                </c:pt>
                <c:pt idx="2356">
                  <c:v>45481</c:v>
                </c:pt>
                <c:pt idx="2357">
                  <c:v>45482</c:v>
                </c:pt>
                <c:pt idx="2358">
                  <c:v>45483</c:v>
                </c:pt>
                <c:pt idx="2359">
                  <c:v>45484</c:v>
                </c:pt>
                <c:pt idx="2360">
                  <c:v>45485</c:v>
                </c:pt>
                <c:pt idx="2361">
                  <c:v>45488</c:v>
                </c:pt>
                <c:pt idx="2362">
                  <c:v>45489</c:v>
                </c:pt>
                <c:pt idx="2363">
                  <c:v>45490</c:v>
                </c:pt>
                <c:pt idx="2364">
                  <c:v>45491</c:v>
                </c:pt>
                <c:pt idx="2365">
                  <c:v>45492</c:v>
                </c:pt>
                <c:pt idx="2366">
                  <c:v>45495</c:v>
                </c:pt>
                <c:pt idx="2367">
                  <c:v>45496</c:v>
                </c:pt>
                <c:pt idx="2368">
                  <c:v>45497</c:v>
                </c:pt>
                <c:pt idx="2369">
                  <c:v>45498</c:v>
                </c:pt>
                <c:pt idx="2370">
                  <c:v>45499</c:v>
                </c:pt>
                <c:pt idx="2371">
                  <c:v>45502</c:v>
                </c:pt>
                <c:pt idx="2372">
                  <c:v>45503</c:v>
                </c:pt>
                <c:pt idx="2373">
                  <c:v>45504</c:v>
                </c:pt>
                <c:pt idx="2374">
                  <c:v>45505</c:v>
                </c:pt>
                <c:pt idx="2375">
                  <c:v>45506</c:v>
                </c:pt>
                <c:pt idx="2376">
                  <c:v>45509</c:v>
                </c:pt>
                <c:pt idx="2377">
                  <c:v>45510</c:v>
                </c:pt>
                <c:pt idx="2378">
                  <c:v>45511</c:v>
                </c:pt>
                <c:pt idx="2379">
                  <c:v>45512</c:v>
                </c:pt>
                <c:pt idx="2380">
                  <c:v>45513</c:v>
                </c:pt>
                <c:pt idx="2381">
                  <c:v>45516</c:v>
                </c:pt>
                <c:pt idx="2382">
                  <c:v>45517</c:v>
                </c:pt>
                <c:pt idx="2383">
                  <c:v>45518</c:v>
                </c:pt>
                <c:pt idx="2384">
                  <c:v>45519</c:v>
                </c:pt>
                <c:pt idx="2385">
                  <c:v>45520</c:v>
                </c:pt>
                <c:pt idx="2386">
                  <c:v>45523</c:v>
                </c:pt>
                <c:pt idx="2387">
                  <c:v>45524</c:v>
                </c:pt>
                <c:pt idx="2388">
                  <c:v>45525</c:v>
                </c:pt>
                <c:pt idx="2389">
                  <c:v>45526</c:v>
                </c:pt>
                <c:pt idx="2390">
                  <c:v>45527</c:v>
                </c:pt>
                <c:pt idx="2391">
                  <c:v>45530</c:v>
                </c:pt>
                <c:pt idx="2392">
                  <c:v>45531</c:v>
                </c:pt>
                <c:pt idx="2393">
                  <c:v>45532</c:v>
                </c:pt>
                <c:pt idx="2394">
                  <c:v>45533</c:v>
                </c:pt>
                <c:pt idx="2395">
                  <c:v>45534</c:v>
                </c:pt>
                <c:pt idx="2396">
                  <c:v>45537</c:v>
                </c:pt>
                <c:pt idx="2397">
                  <c:v>45538</c:v>
                </c:pt>
                <c:pt idx="2398">
                  <c:v>45539</c:v>
                </c:pt>
                <c:pt idx="2399">
                  <c:v>45540</c:v>
                </c:pt>
                <c:pt idx="2400">
                  <c:v>45541</c:v>
                </c:pt>
                <c:pt idx="2401">
                  <c:v>45544</c:v>
                </c:pt>
                <c:pt idx="2402">
                  <c:v>45545</c:v>
                </c:pt>
                <c:pt idx="2403">
                  <c:v>45546</c:v>
                </c:pt>
                <c:pt idx="2404">
                  <c:v>45547</c:v>
                </c:pt>
                <c:pt idx="2405">
                  <c:v>45548</c:v>
                </c:pt>
                <c:pt idx="2406">
                  <c:v>45551</c:v>
                </c:pt>
                <c:pt idx="2407">
                  <c:v>45552</c:v>
                </c:pt>
                <c:pt idx="2408">
                  <c:v>45553</c:v>
                </c:pt>
                <c:pt idx="2409">
                  <c:v>45554</c:v>
                </c:pt>
                <c:pt idx="2410">
                  <c:v>45555</c:v>
                </c:pt>
                <c:pt idx="2411">
                  <c:v>45558</c:v>
                </c:pt>
                <c:pt idx="2412">
                  <c:v>45559</c:v>
                </c:pt>
                <c:pt idx="2413">
                  <c:v>45560</c:v>
                </c:pt>
                <c:pt idx="2414">
                  <c:v>45561</c:v>
                </c:pt>
                <c:pt idx="2415">
                  <c:v>45562</c:v>
                </c:pt>
                <c:pt idx="2416">
                  <c:v>45565</c:v>
                </c:pt>
                <c:pt idx="2417">
                  <c:v>45566</c:v>
                </c:pt>
                <c:pt idx="2418">
                  <c:v>45567</c:v>
                </c:pt>
                <c:pt idx="2419">
                  <c:v>45568</c:v>
                </c:pt>
                <c:pt idx="2420">
                  <c:v>45569</c:v>
                </c:pt>
                <c:pt idx="2421">
                  <c:v>45572</c:v>
                </c:pt>
                <c:pt idx="2422">
                  <c:v>45573</c:v>
                </c:pt>
                <c:pt idx="2423">
                  <c:v>45574</c:v>
                </c:pt>
                <c:pt idx="2424">
                  <c:v>45575</c:v>
                </c:pt>
                <c:pt idx="2425">
                  <c:v>45576</c:v>
                </c:pt>
                <c:pt idx="2426">
                  <c:v>45579</c:v>
                </c:pt>
                <c:pt idx="2427">
                  <c:v>45580</c:v>
                </c:pt>
                <c:pt idx="2428">
                  <c:v>45581</c:v>
                </c:pt>
                <c:pt idx="2429">
                  <c:v>45582</c:v>
                </c:pt>
                <c:pt idx="2430">
                  <c:v>45583</c:v>
                </c:pt>
                <c:pt idx="2431">
                  <c:v>45586</c:v>
                </c:pt>
                <c:pt idx="2432">
                  <c:v>45587</c:v>
                </c:pt>
                <c:pt idx="2433">
                  <c:v>45588</c:v>
                </c:pt>
                <c:pt idx="2434">
                  <c:v>45589</c:v>
                </c:pt>
                <c:pt idx="2435">
                  <c:v>45590</c:v>
                </c:pt>
                <c:pt idx="2436">
                  <c:v>45593</c:v>
                </c:pt>
                <c:pt idx="2437">
                  <c:v>45594</c:v>
                </c:pt>
                <c:pt idx="2438">
                  <c:v>45595</c:v>
                </c:pt>
                <c:pt idx="2439">
                  <c:v>45596</c:v>
                </c:pt>
                <c:pt idx="2440">
                  <c:v>45597</c:v>
                </c:pt>
                <c:pt idx="2441">
                  <c:v>45600</c:v>
                </c:pt>
                <c:pt idx="2442">
                  <c:v>45601</c:v>
                </c:pt>
                <c:pt idx="2443">
                  <c:v>45602</c:v>
                </c:pt>
                <c:pt idx="2444">
                  <c:v>45603</c:v>
                </c:pt>
                <c:pt idx="2445">
                  <c:v>45604</c:v>
                </c:pt>
                <c:pt idx="2446">
                  <c:v>45607</c:v>
                </c:pt>
                <c:pt idx="2447">
                  <c:v>45608</c:v>
                </c:pt>
                <c:pt idx="2448">
                  <c:v>45609</c:v>
                </c:pt>
                <c:pt idx="2449">
                  <c:v>45610</c:v>
                </c:pt>
                <c:pt idx="2450">
                  <c:v>45611</c:v>
                </c:pt>
                <c:pt idx="2451">
                  <c:v>45614</c:v>
                </c:pt>
                <c:pt idx="2452">
                  <c:v>45615</c:v>
                </c:pt>
                <c:pt idx="2453">
                  <c:v>45616</c:v>
                </c:pt>
                <c:pt idx="2454">
                  <c:v>45617</c:v>
                </c:pt>
                <c:pt idx="2455">
                  <c:v>45618</c:v>
                </c:pt>
                <c:pt idx="2456">
                  <c:v>45621</c:v>
                </c:pt>
                <c:pt idx="2457">
                  <c:v>45622</c:v>
                </c:pt>
                <c:pt idx="2458">
                  <c:v>45623</c:v>
                </c:pt>
                <c:pt idx="2459">
                  <c:v>45624</c:v>
                </c:pt>
                <c:pt idx="2460">
                  <c:v>45625</c:v>
                </c:pt>
                <c:pt idx="2461">
                  <c:v>45628</c:v>
                </c:pt>
                <c:pt idx="2462">
                  <c:v>45629</c:v>
                </c:pt>
                <c:pt idx="2463">
                  <c:v>45630</c:v>
                </c:pt>
                <c:pt idx="2464">
                  <c:v>45631</c:v>
                </c:pt>
                <c:pt idx="2465">
                  <c:v>45632</c:v>
                </c:pt>
                <c:pt idx="2466">
                  <c:v>45635</c:v>
                </c:pt>
                <c:pt idx="2467">
                  <c:v>45636</c:v>
                </c:pt>
                <c:pt idx="2468">
                  <c:v>45637</c:v>
                </c:pt>
                <c:pt idx="2469">
                  <c:v>45638</c:v>
                </c:pt>
                <c:pt idx="2470">
                  <c:v>45639</c:v>
                </c:pt>
                <c:pt idx="2471">
                  <c:v>45642</c:v>
                </c:pt>
                <c:pt idx="2472">
                  <c:v>45643</c:v>
                </c:pt>
                <c:pt idx="2473">
                  <c:v>45644</c:v>
                </c:pt>
                <c:pt idx="2474">
                  <c:v>45645</c:v>
                </c:pt>
                <c:pt idx="2475">
                  <c:v>45646</c:v>
                </c:pt>
                <c:pt idx="2476">
                  <c:v>45649</c:v>
                </c:pt>
                <c:pt idx="2477">
                  <c:v>45650</c:v>
                </c:pt>
                <c:pt idx="2478">
                  <c:v>45651</c:v>
                </c:pt>
                <c:pt idx="2479">
                  <c:v>45652</c:v>
                </c:pt>
                <c:pt idx="2480">
                  <c:v>45653</c:v>
                </c:pt>
                <c:pt idx="2481">
                  <c:v>45656</c:v>
                </c:pt>
                <c:pt idx="2482">
                  <c:v>45657</c:v>
                </c:pt>
                <c:pt idx="2483">
                  <c:v>45659</c:v>
                </c:pt>
                <c:pt idx="2484">
                  <c:v>45660</c:v>
                </c:pt>
                <c:pt idx="2485">
                  <c:v>45663</c:v>
                </c:pt>
                <c:pt idx="2486">
                  <c:v>45664</c:v>
                </c:pt>
                <c:pt idx="2487">
                  <c:v>45665</c:v>
                </c:pt>
                <c:pt idx="2488">
                  <c:v>45666</c:v>
                </c:pt>
                <c:pt idx="2489">
                  <c:v>45667</c:v>
                </c:pt>
                <c:pt idx="2490">
                  <c:v>45670</c:v>
                </c:pt>
                <c:pt idx="2491">
                  <c:v>45671</c:v>
                </c:pt>
                <c:pt idx="2492">
                  <c:v>45672</c:v>
                </c:pt>
                <c:pt idx="2493">
                  <c:v>45673</c:v>
                </c:pt>
                <c:pt idx="2494">
                  <c:v>45674</c:v>
                </c:pt>
                <c:pt idx="2495">
                  <c:v>45677</c:v>
                </c:pt>
                <c:pt idx="2496">
                  <c:v>45678</c:v>
                </c:pt>
                <c:pt idx="2497">
                  <c:v>45679</c:v>
                </c:pt>
                <c:pt idx="2498">
                  <c:v>45680</c:v>
                </c:pt>
                <c:pt idx="2499">
                  <c:v>45681</c:v>
                </c:pt>
                <c:pt idx="2500">
                  <c:v>45684</c:v>
                </c:pt>
                <c:pt idx="2501">
                  <c:v>45685</c:v>
                </c:pt>
                <c:pt idx="2502">
                  <c:v>45686</c:v>
                </c:pt>
                <c:pt idx="2503">
                  <c:v>45687</c:v>
                </c:pt>
                <c:pt idx="2504">
                  <c:v>45688</c:v>
                </c:pt>
                <c:pt idx="2505">
                  <c:v>45691</c:v>
                </c:pt>
                <c:pt idx="2506">
                  <c:v>45692</c:v>
                </c:pt>
                <c:pt idx="2507">
                  <c:v>45693</c:v>
                </c:pt>
                <c:pt idx="2508">
                  <c:v>45694</c:v>
                </c:pt>
                <c:pt idx="2509">
                  <c:v>45695</c:v>
                </c:pt>
                <c:pt idx="2510">
                  <c:v>45698</c:v>
                </c:pt>
                <c:pt idx="2511">
                  <c:v>45699</c:v>
                </c:pt>
                <c:pt idx="2512">
                  <c:v>45700</c:v>
                </c:pt>
                <c:pt idx="2513">
                  <c:v>45701</c:v>
                </c:pt>
                <c:pt idx="2514">
                  <c:v>45702</c:v>
                </c:pt>
                <c:pt idx="2515">
                  <c:v>45705</c:v>
                </c:pt>
              </c:numCache>
            </c:numRef>
          </c:cat>
          <c:val>
            <c:numRef>
              <c:f>'Rendement hist'!$C$2:$C$2517</c:f>
              <c:numCache>
                <c:formatCode>0.00%</c:formatCode>
                <c:ptCount val="2516"/>
                <c:pt idx="0">
                  <c:v>3.052334221006614E-2</c:v>
                </c:pt>
                <c:pt idx="1">
                  <c:v>2.8381132722765656E-2</c:v>
                </c:pt>
                <c:pt idx="2">
                  <c:v>2.9778320132737512E-2</c:v>
                </c:pt>
                <c:pt idx="3">
                  <c:v>3.1307077878200307E-2</c:v>
                </c:pt>
                <c:pt idx="4">
                  <c:v>3.1109940584046258E-2</c:v>
                </c:pt>
                <c:pt idx="5">
                  <c:v>2.9635817369874751E-2</c:v>
                </c:pt>
                <c:pt idx="6">
                  <c:v>3.1076418739429901E-2</c:v>
                </c:pt>
                <c:pt idx="7">
                  <c:v>2.7315938392592054E-2</c:v>
                </c:pt>
                <c:pt idx="8">
                  <c:v>2.6042918044623775E-2</c:v>
                </c:pt>
                <c:pt idx="9">
                  <c:v>2.4689812537288525E-2</c:v>
                </c:pt>
                <c:pt idx="10">
                  <c:v>2.2426256549582746E-2</c:v>
                </c:pt>
                <c:pt idx="11">
                  <c:v>2.2212754809304069E-2</c:v>
                </c:pt>
                <c:pt idx="12">
                  <c:v>2.4667907011865831E-2</c:v>
                </c:pt>
                <c:pt idx="13">
                  <c:v>1.9659486171951013E-2</c:v>
                </c:pt>
                <c:pt idx="14">
                  <c:v>1.5773874123361731E-2</c:v>
                </c:pt>
                <c:pt idx="15">
                  <c:v>1.6128810906191893E-2</c:v>
                </c:pt>
                <c:pt idx="16">
                  <c:v>8.7696094456408691E-3</c:v>
                </c:pt>
                <c:pt idx="17">
                  <c:v>6.1551531258150494E-3</c:v>
                </c:pt>
                <c:pt idx="18">
                  <c:v>6.9229145599354336E-3</c:v>
                </c:pt>
                <c:pt idx="19">
                  <c:v>-6.6489566025912383E-3</c:v>
                </c:pt>
                <c:pt idx="20">
                  <c:v>-1.2031788662265286E-2</c:v>
                </c:pt>
                <c:pt idx="21">
                  <c:v>-9.2513754121251734E-3</c:v>
                </c:pt>
                <c:pt idx="22">
                  <c:v>-6.1046902688671745E-3</c:v>
                </c:pt>
                <c:pt idx="23">
                  <c:v>-8.6362813501165148E-3</c:v>
                </c:pt>
                <c:pt idx="24">
                  <c:v>-1.2871294122241861E-2</c:v>
                </c:pt>
                <c:pt idx="25">
                  <c:v>-1.4077498782014808E-2</c:v>
                </c:pt>
                <c:pt idx="26">
                  <c:v>-1.3120790510149472E-2</c:v>
                </c:pt>
                <c:pt idx="27">
                  <c:v>-1.016419890145992E-2</c:v>
                </c:pt>
                <c:pt idx="28">
                  <c:v>-1.3563035549574276E-2</c:v>
                </c:pt>
                <c:pt idx="29">
                  <c:v>-1.0987132015740753E-2</c:v>
                </c:pt>
                <c:pt idx="30">
                  <c:v>-1.1256204550474158E-2</c:v>
                </c:pt>
                <c:pt idx="31">
                  <c:v>-1.0772736000638439E-2</c:v>
                </c:pt>
                <c:pt idx="32">
                  <c:v>-9.3475623496502847E-3</c:v>
                </c:pt>
                <c:pt idx="33">
                  <c:v>-8.7473094634558102E-3</c:v>
                </c:pt>
                <c:pt idx="34">
                  <c:v>-8.6229740517469455E-3</c:v>
                </c:pt>
                <c:pt idx="35">
                  <c:v>-1.0092291816670595E-2</c:v>
                </c:pt>
                <c:pt idx="36">
                  <c:v>-9.183555058228654E-3</c:v>
                </c:pt>
                <c:pt idx="37">
                  <c:v>-1.2366175483770614E-2</c:v>
                </c:pt>
                <c:pt idx="38">
                  <c:v>-2.3227029405808564E-2</c:v>
                </c:pt>
                <c:pt idx="39">
                  <c:v>-2.9342456595036981E-2</c:v>
                </c:pt>
                <c:pt idx="40">
                  <c:v>-2.7842550420751344E-2</c:v>
                </c:pt>
                <c:pt idx="41">
                  <c:v>-2.8903697085515323E-2</c:v>
                </c:pt>
                <c:pt idx="42">
                  <c:v>-3.0629198335004437E-2</c:v>
                </c:pt>
                <c:pt idx="43">
                  <c:v>-3.6068412504068781E-2</c:v>
                </c:pt>
                <c:pt idx="44">
                  <c:v>-3.7386697113641731E-2</c:v>
                </c:pt>
                <c:pt idx="45">
                  <c:v>-3.5747175480967286E-2</c:v>
                </c:pt>
                <c:pt idx="46">
                  <c:v>-4.1036527604651152E-2</c:v>
                </c:pt>
                <c:pt idx="47">
                  <c:v>-4.6845258975727555E-2</c:v>
                </c:pt>
                <c:pt idx="48">
                  <c:v>-4.4913102350573553E-2</c:v>
                </c:pt>
                <c:pt idx="49">
                  <c:v>-4.3855737350793622E-2</c:v>
                </c:pt>
                <c:pt idx="50">
                  <c:v>-4.3381355741517691E-2</c:v>
                </c:pt>
                <c:pt idx="51">
                  <c:v>-3.9689929221369491E-2</c:v>
                </c:pt>
                <c:pt idx="52">
                  <c:v>-4.1780205028769446E-2</c:v>
                </c:pt>
                <c:pt idx="53">
                  <c:v>-4.1673011896282142E-2</c:v>
                </c:pt>
                <c:pt idx="54">
                  <c:v>-4.2456673358103103E-2</c:v>
                </c:pt>
                <c:pt idx="55">
                  <c:v>-4.0570585495151468E-2</c:v>
                </c:pt>
                <c:pt idx="56">
                  <c:v>-4.1390850136845958E-2</c:v>
                </c:pt>
                <c:pt idx="57">
                  <c:v>-4.2223602708744368E-2</c:v>
                </c:pt>
                <c:pt idx="58">
                  <c:v>-4.0952914177428523E-2</c:v>
                </c:pt>
                <c:pt idx="59">
                  <c:v>-4.1928850149578922E-2</c:v>
                </c:pt>
                <c:pt idx="60">
                  <c:v>-4.4864547095106899E-2</c:v>
                </c:pt>
                <c:pt idx="61">
                  <c:v>-4.3825359674777964E-2</c:v>
                </c:pt>
                <c:pt idx="62">
                  <c:v>-4.5043051708265058E-2</c:v>
                </c:pt>
                <c:pt idx="63">
                  <c:v>-3.8523129887608754E-2</c:v>
                </c:pt>
                <c:pt idx="64">
                  <c:v>-3.9212132914219766E-2</c:v>
                </c:pt>
                <c:pt idx="65">
                  <c:v>-4.0591842057710825E-2</c:v>
                </c:pt>
                <c:pt idx="66">
                  <c:v>-4.4214368780174929E-2</c:v>
                </c:pt>
                <c:pt idx="67">
                  <c:v>-4.3591515819857651E-2</c:v>
                </c:pt>
                <c:pt idx="68">
                  <c:v>-4.2353531592891791E-2</c:v>
                </c:pt>
                <c:pt idx="69">
                  <c:v>-3.9230464733514436E-2</c:v>
                </c:pt>
                <c:pt idx="70">
                  <c:v>-4.0638536257599833E-2</c:v>
                </c:pt>
                <c:pt idx="71">
                  <c:v>-3.648286935716516E-2</c:v>
                </c:pt>
                <c:pt idx="72">
                  <c:v>-3.3464924110536365E-2</c:v>
                </c:pt>
                <c:pt idx="73">
                  <c:v>-3.5246947225801906E-2</c:v>
                </c:pt>
                <c:pt idx="74">
                  <c:v>-3.2478351379134351E-2</c:v>
                </c:pt>
                <c:pt idx="75">
                  <c:v>-3.12815243023713E-2</c:v>
                </c:pt>
                <c:pt idx="76">
                  <c:v>-2.8428930947899889E-2</c:v>
                </c:pt>
                <c:pt idx="77">
                  <c:v>-2.8079730180303075E-2</c:v>
                </c:pt>
                <c:pt idx="78">
                  <c:v>-2.8671709114845179E-2</c:v>
                </c:pt>
                <c:pt idx="79">
                  <c:v>-2.971152043782288E-2</c:v>
                </c:pt>
                <c:pt idx="80">
                  <c:v>-1.9646154816647554E-2</c:v>
                </c:pt>
                <c:pt idx="81">
                  <c:v>-1.5625568540797663E-2</c:v>
                </c:pt>
                <c:pt idx="82">
                  <c:v>-1.55718970732458E-2</c:v>
                </c:pt>
                <c:pt idx="83">
                  <c:v>-4.9117153755211529E-3</c:v>
                </c:pt>
                <c:pt idx="84">
                  <c:v>-4.9414928257809354E-3</c:v>
                </c:pt>
                <c:pt idx="85">
                  <c:v>-5.8196471152459628E-3</c:v>
                </c:pt>
                <c:pt idx="86">
                  <c:v>-7.0416033600512185E-3</c:v>
                </c:pt>
                <c:pt idx="87">
                  <c:v>-5.3994649118545013E-3</c:v>
                </c:pt>
                <c:pt idx="88">
                  <c:v>3.7347844259529861E-3</c:v>
                </c:pt>
                <c:pt idx="89">
                  <c:v>5.5111274516210784E-3</c:v>
                </c:pt>
                <c:pt idx="90">
                  <c:v>4.3038303499740582E-3</c:v>
                </c:pt>
                <c:pt idx="91">
                  <c:v>-6.2590183422839285E-4</c:v>
                </c:pt>
                <c:pt idx="92">
                  <c:v>2.8683234994220097E-3</c:v>
                </c:pt>
                <c:pt idx="93">
                  <c:v>-1.4791831719729309E-3</c:v>
                </c:pt>
                <c:pt idx="94">
                  <c:v>-9.7161449662264143E-4</c:v>
                </c:pt>
                <c:pt idx="95">
                  <c:v>1.007497834173865E-3</c:v>
                </c:pt>
                <c:pt idx="96">
                  <c:v>-6.6142257054158105E-4</c:v>
                </c:pt>
                <c:pt idx="97">
                  <c:v>-2.4544883840592613E-3</c:v>
                </c:pt>
                <c:pt idx="98">
                  <c:v>-1.0427014043874028E-2</c:v>
                </c:pt>
                <c:pt idx="99">
                  <c:v>-8.6373949130917893E-3</c:v>
                </c:pt>
                <c:pt idx="100">
                  <c:v>-1.0949743196774553E-2</c:v>
                </c:pt>
                <c:pt idx="101">
                  <c:v>-9.0664345462824203E-3</c:v>
                </c:pt>
                <c:pt idx="102">
                  <c:v>-3.2479363654444038E-3</c:v>
                </c:pt>
                <c:pt idx="103">
                  <c:v>2.1118107491040483E-3</c:v>
                </c:pt>
                <c:pt idx="104">
                  <c:v>2.1138603194759131E-3</c:v>
                </c:pt>
                <c:pt idx="105">
                  <c:v>7.4690026804924425E-3</c:v>
                </c:pt>
                <c:pt idx="106">
                  <c:v>1.2618646654415144E-2</c:v>
                </c:pt>
                <c:pt idx="107">
                  <c:v>1.5403714890072084E-2</c:v>
                </c:pt>
                <c:pt idx="108">
                  <c:v>1.8008887636840276E-2</c:v>
                </c:pt>
                <c:pt idx="109">
                  <c:v>1.213806936442352E-2</c:v>
                </c:pt>
                <c:pt idx="110">
                  <c:v>1.3091719833434157E-2</c:v>
                </c:pt>
                <c:pt idx="111">
                  <c:v>1.6305696025459948E-2</c:v>
                </c:pt>
                <c:pt idx="112">
                  <c:v>1.5496208374546683E-2</c:v>
                </c:pt>
                <c:pt idx="113">
                  <c:v>1.1474629118780832E-2</c:v>
                </c:pt>
                <c:pt idx="114">
                  <c:v>9.6159356388769712E-3</c:v>
                </c:pt>
                <c:pt idx="115">
                  <c:v>8.1592852392666781E-3</c:v>
                </c:pt>
                <c:pt idx="116">
                  <c:v>1.5546449910112337E-2</c:v>
                </c:pt>
                <c:pt idx="117">
                  <c:v>1.3065457145762016E-2</c:v>
                </c:pt>
                <c:pt idx="118">
                  <c:v>1.6452858106379198E-2</c:v>
                </c:pt>
                <c:pt idx="119">
                  <c:v>1.6550065840395645E-2</c:v>
                </c:pt>
                <c:pt idx="120">
                  <c:v>1.8886799539039156E-2</c:v>
                </c:pt>
                <c:pt idx="121">
                  <c:v>1.6251120814963604E-2</c:v>
                </c:pt>
                <c:pt idx="122">
                  <c:v>1.6183293472793903E-2</c:v>
                </c:pt>
                <c:pt idx="123">
                  <c:v>1.7380523881524779E-2</c:v>
                </c:pt>
                <c:pt idx="124">
                  <c:v>2.0558316808735322E-2</c:v>
                </c:pt>
                <c:pt idx="125">
                  <c:v>1.9472145731111334E-2</c:v>
                </c:pt>
                <c:pt idx="126">
                  <c:v>2.2729832643025638E-2</c:v>
                </c:pt>
                <c:pt idx="127">
                  <c:v>1.4874015677613706E-2</c:v>
                </c:pt>
                <c:pt idx="128">
                  <c:v>1.338928559111574E-2</c:v>
                </c:pt>
                <c:pt idx="129">
                  <c:v>1.4412161747560992E-2</c:v>
                </c:pt>
                <c:pt idx="130">
                  <c:v>1.9711445460350197E-2</c:v>
                </c:pt>
                <c:pt idx="131">
                  <c:v>1.749669968336609E-2</c:v>
                </c:pt>
                <c:pt idx="132">
                  <c:v>1.7997764682235351E-2</c:v>
                </c:pt>
                <c:pt idx="133">
                  <c:v>1.3536370385299312E-2</c:v>
                </c:pt>
                <c:pt idx="134">
                  <c:v>1.5253300150148918E-2</c:v>
                </c:pt>
                <c:pt idx="135">
                  <c:v>1.1122694456529025E-2</c:v>
                </c:pt>
                <c:pt idx="136">
                  <c:v>1.0303193279584955E-2</c:v>
                </c:pt>
                <c:pt idx="137">
                  <c:v>1.1523470669974056E-2</c:v>
                </c:pt>
                <c:pt idx="138">
                  <c:v>6.9849857264621118E-3</c:v>
                </c:pt>
                <c:pt idx="139">
                  <c:v>9.4038720234912443E-3</c:v>
                </c:pt>
                <c:pt idx="140">
                  <c:v>1.1313012302853531E-2</c:v>
                </c:pt>
                <c:pt idx="141">
                  <c:v>1.1680381931420625E-2</c:v>
                </c:pt>
                <c:pt idx="142">
                  <c:v>1.2624219283384308E-2</c:v>
                </c:pt>
                <c:pt idx="143">
                  <c:v>1.6333539455180235E-2</c:v>
                </c:pt>
                <c:pt idx="144">
                  <c:v>1.4336596487199538E-2</c:v>
                </c:pt>
                <c:pt idx="145">
                  <c:v>8.4471592594055345E-3</c:v>
                </c:pt>
                <c:pt idx="146">
                  <c:v>8.4448101188203673E-3</c:v>
                </c:pt>
                <c:pt idx="147">
                  <c:v>5.8085432554981775E-3</c:v>
                </c:pt>
                <c:pt idx="148">
                  <c:v>1.0960233316119838E-2</c:v>
                </c:pt>
                <c:pt idx="149">
                  <c:v>8.9606263751926818E-3</c:v>
                </c:pt>
                <c:pt idx="150">
                  <c:v>5.5025059772806362E-3</c:v>
                </c:pt>
                <c:pt idx="151">
                  <c:v>2.166963118675147E-3</c:v>
                </c:pt>
                <c:pt idx="152">
                  <c:v>-2.3949047363843734E-3</c:v>
                </c:pt>
                <c:pt idx="153">
                  <c:v>5.6650025284943339E-4</c:v>
                </c:pt>
                <c:pt idx="154">
                  <c:v>3.6303599876048587E-3</c:v>
                </c:pt>
                <c:pt idx="155">
                  <c:v>5.10576589640932E-3</c:v>
                </c:pt>
                <c:pt idx="156">
                  <c:v>5.5964520415909824E-3</c:v>
                </c:pt>
                <c:pt idx="157">
                  <c:v>7.9788295839502421E-3</c:v>
                </c:pt>
                <c:pt idx="158">
                  <c:v>8.6572080987219469E-3</c:v>
                </c:pt>
                <c:pt idx="159">
                  <c:v>9.0205796137923233E-3</c:v>
                </c:pt>
                <c:pt idx="160">
                  <c:v>1.1127736945791611E-2</c:v>
                </c:pt>
                <c:pt idx="161">
                  <c:v>1.3290128714228189E-2</c:v>
                </c:pt>
                <c:pt idx="162">
                  <c:v>1.8463252792455753E-2</c:v>
                </c:pt>
                <c:pt idx="163">
                  <c:v>1.7877097333164116E-2</c:v>
                </c:pt>
                <c:pt idx="164">
                  <c:v>2.0471435948206995E-2</c:v>
                </c:pt>
                <c:pt idx="165">
                  <c:v>1.9949501674611847E-2</c:v>
                </c:pt>
                <c:pt idx="166">
                  <c:v>2.3319259114599422E-2</c:v>
                </c:pt>
                <c:pt idx="167">
                  <c:v>2.3626026049469395E-2</c:v>
                </c:pt>
                <c:pt idx="168">
                  <c:v>2.3602903289419164E-2</c:v>
                </c:pt>
                <c:pt idx="169">
                  <c:v>2.1046930583729972E-2</c:v>
                </c:pt>
                <c:pt idx="170">
                  <c:v>7.3862043526373711E-3</c:v>
                </c:pt>
                <c:pt idx="171">
                  <c:v>7.5392291872495854E-3</c:v>
                </c:pt>
                <c:pt idx="172">
                  <c:v>1.1832627172267962E-2</c:v>
                </c:pt>
                <c:pt idx="173">
                  <c:v>1.3478800850928563E-2</c:v>
                </c:pt>
                <c:pt idx="174">
                  <c:v>1.1677879872850294E-2</c:v>
                </c:pt>
                <c:pt idx="175">
                  <c:v>1.202357921646291E-2</c:v>
                </c:pt>
                <c:pt idx="176">
                  <c:v>1.3291870467195155E-2</c:v>
                </c:pt>
                <c:pt idx="177">
                  <c:v>1.4164811670275057E-2</c:v>
                </c:pt>
                <c:pt idx="178">
                  <c:v>1.1480897716062088E-2</c:v>
                </c:pt>
                <c:pt idx="179">
                  <c:v>1.1324110454243863E-2</c:v>
                </c:pt>
                <c:pt idx="180">
                  <c:v>8.3782803913203807E-3</c:v>
                </c:pt>
                <c:pt idx="181">
                  <c:v>1.2183500536353975E-2</c:v>
                </c:pt>
                <c:pt idx="182">
                  <c:v>8.232368800036749E-3</c:v>
                </c:pt>
                <c:pt idx="183">
                  <c:v>5.9407888762197381E-3</c:v>
                </c:pt>
                <c:pt idx="184">
                  <c:v>3.5183711005175589E-3</c:v>
                </c:pt>
                <c:pt idx="185">
                  <c:v>6.5749842022482241E-3</c:v>
                </c:pt>
                <c:pt idx="186">
                  <c:v>5.420475077557052E-3</c:v>
                </c:pt>
                <c:pt idx="187">
                  <c:v>5.8660712933211734E-3</c:v>
                </c:pt>
                <c:pt idx="188">
                  <c:v>5.4269610279935598E-3</c:v>
                </c:pt>
                <c:pt idx="189">
                  <c:v>5.8281470924106404E-3</c:v>
                </c:pt>
                <c:pt idx="190">
                  <c:v>4.8148635146576524E-3</c:v>
                </c:pt>
                <c:pt idx="191">
                  <c:v>8.5505699260968182E-3</c:v>
                </c:pt>
                <c:pt idx="192">
                  <c:v>6.8589093976934024E-3</c:v>
                </c:pt>
                <c:pt idx="193">
                  <c:v>8.3269273583439496E-3</c:v>
                </c:pt>
                <c:pt idx="194">
                  <c:v>5.9953749365209141E-3</c:v>
                </c:pt>
                <c:pt idx="195">
                  <c:v>6.5341715710405257E-3</c:v>
                </c:pt>
                <c:pt idx="196">
                  <c:v>6.185796060726112E-3</c:v>
                </c:pt>
                <c:pt idx="197">
                  <c:v>5.7024267091549952E-3</c:v>
                </c:pt>
                <c:pt idx="198">
                  <c:v>5.2488812795901119E-3</c:v>
                </c:pt>
                <c:pt idx="199">
                  <c:v>5.287135001252663E-3</c:v>
                </c:pt>
                <c:pt idx="200">
                  <c:v>4.2231299121977539E-3</c:v>
                </c:pt>
                <c:pt idx="201">
                  <c:v>5.2951988578080478E-3</c:v>
                </c:pt>
                <c:pt idx="202">
                  <c:v>1.0590170115340136E-2</c:v>
                </c:pt>
                <c:pt idx="203">
                  <c:v>7.3023659313917744E-3</c:v>
                </c:pt>
                <c:pt idx="204">
                  <c:v>3.2429774724942462E-3</c:v>
                </c:pt>
                <c:pt idx="205">
                  <c:v>5.0272922648935126E-3</c:v>
                </c:pt>
                <c:pt idx="206">
                  <c:v>4.5509879202172421E-3</c:v>
                </c:pt>
                <c:pt idx="207">
                  <c:v>3.0911118498568868E-3</c:v>
                </c:pt>
                <c:pt idx="208">
                  <c:v>6.4659908369093522E-3</c:v>
                </c:pt>
                <c:pt idx="209">
                  <c:v>9.5072792645094495E-3</c:v>
                </c:pt>
                <c:pt idx="210">
                  <c:v>9.8729913339574704E-3</c:v>
                </c:pt>
                <c:pt idx="211">
                  <c:v>1.4767891072810624E-2</c:v>
                </c:pt>
                <c:pt idx="212">
                  <c:v>1.2820737718680641E-2</c:v>
                </c:pt>
                <c:pt idx="213">
                  <c:v>1.3225445682264914E-2</c:v>
                </c:pt>
                <c:pt idx="214">
                  <c:v>1.4778267411326151E-2</c:v>
                </c:pt>
                <c:pt idx="215">
                  <c:v>1.7872194522622342E-2</c:v>
                </c:pt>
                <c:pt idx="216">
                  <c:v>1.8533083081294865E-2</c:v>
                </c:pt>
                <c:pt idx="217">
                  <c:v>1.6463209437386883E-2</c:v>
                </c:pt>
                <c:pt idx="218">
                  <c:v>1.2515124080213269E-2</c:v>
                </c:pt>
                <c:pt idx="219">
                  <c:v>1.4058502305515752E-2</c:v>
                </c:pt>
                <c:pt idx="220">
                  <c:v>1.0217179215624483E-2</c:v>
                </c:pt>
                <c:pt idx="221">
                  <c:v>9.8472691432638371E-3</c:v>
                </c:pt>
                <c:pt idx="222">
                  <c:v>1.2652262377353729E-2</c:v>
                </c:pt>
                <c:pt idx="223">
                  <c:v>1.1269760453635591E-2</c:v>
                </c:pt>
                <c:pt idx="224">
                  <c:v>1.1852982808232326E-2</c:v>
                </c:pt>
                <c:pt idx="225">
                  <c:v>1.0567663414609685E-2</c:v>
                </c:pt>
                <c:pt idx="226">
                  <c:v>1.3874714779978037E-2</c:v>
                </c:pt>
                <c:pt idx="227">
                  <c:v>1.312490164628044E-2</c:v>
                </c:pt>
                <c:pt idx="228">
                  <c:v>1.1498697248079059E-2</c:v>
                </c:pt>
                <c:pt idx="229">
                  <c:v>1.4464841081955671E-2</c:v>
                </c:pt>
                <c:pt idx="230">
                  <c:v>1.1788652888607087E-2</c:v>
                </c:pt>
                <c:pt idx="231">
                  <c:v>1.0071443877574193E-2</c:v>
                </c:pt>
                <c:pt idx="232">
                  <c:v>1.1214038698729167E-2</c:v>
                </c:pt>
                <c:pt idx="233">
                  <c:v>8.2189829562415717E-3</c:v>
                </c:pt>
                <c:pt idx="234">
                  <c:v>1.9992919453341695E-2</c:v>
                </c:pt>
                <c:pt idx="235">
                  <c:v>2.3096864833075603E-2</c:v>
                </c:pt>
                <c:pt idx="236">
                  <c:v>1.599882265341579E-2</c:v>
                </c:pt>
                <c:pt idx="237">
                  <c:v>1.1711006097218313E-2</c:v>
                </c:pt>
                <c:pt idx="238">
                  <c:v>1.7929351905913826E-2</c:v>
                </c:pt>
                <c:pt idx="239">
                  <c:v>1.7756736829389164E-2</c:v>
                </c:pt>
                <c:pt idx="240">
                  <c:v>1.4349660837169154E-2</c:v>
                </c:pt>
                <c:pt idx="241">
                  <c:v>1.7903369108648315E-2</c:v>
                </c:pt>
                <c:pt idx="242">
                  <c:v>2.5382188077784029E-2</c:v>
                </c:pt>
                <c:pt idx="243">
                  <c:v>2.657544266221934E-2</c:v>
                </c:pt>
                <c:pt idx="244">
                  <c:v>2.379142850461502E-2</c:v>
                </c:pt>
                <c:pt idx="245">
                  <c:v>2.1701239178124831E-2</c:v>
                </c:pt>
                <c:pt idx="246">
                  <c:v>2.2124264500852586E-2</c:v>
                </c:pt>
                <c:pt idx="247">
                  <c:v>2.5684589413533798E-2</c:v>
                </c:pt>
                <c:pt idx="248">
                  <c:v>3.1002719470664353E-2</c:v>
                </c:pt>
                <c:pt idx="249">
                  <c:v>3.0547330773064374E-2</c:v>
                </c:pt>
                <c:pt idx="250">
                  <c:v>3.0155261692766944E-2</c:v>
                </c:pt>
                <c:pt idx="251">
                  <c:v>3.0377466702419476E-2</c:v>
                </c:pt>
                <c:pt idx="252">
                  <c:v>3.0885587339406495E-2</c:v>
                </c:pt>
                <c:pt idx="253">
                  <c:v>2.9455060722663573E-2</c:v>
                </c:pt>
                <c:pt idx="254">
                  <c:v>2.6936220577448822E-2</c:v>
                </c:pt>
                <c:pt idx="255">
                  <c:v>2.4776439956346819E-2</c:v>
                </c:pt>
                <c:pt idx="256">
                  <c:v>2.8334517728581643E-2</c:v>
                </c:pt>
                <c:pt idx="257">
                  <c:v>2.5529773418157653E-2</c:v>
                </c:pt>
                <c:pt idx="258">
                  <c:v>2.4795208921318812E-2</c:v>
                </c:pt>
                <c:pt idx="259">
                  <c:v>2.7110383174937525E-2</c:v>
                </c:pt>
                <c:pt idx="260">
                  <c:v>2.4124028579034951E-2</c:v>
                </c:pt>
                <c:pt idx="261">
                  <c:v>2.6659408546644947E-2</c:v>
                </c:pt>
                <c:pt idx="262">
                  <c:v>2.4097735140201859E-2</c:v>
                </c:pt>
                <c:pt idx="263">
                  <c:v>2.3419846921042486E-2</c:v>
                </c:pt>
                <c:pt idx="264">
                  <c:v>2.4695870185714064E-2</c:v>
                </c:pt>
                <c:pt idx="265">
                  <c:v>2.0364950644242485E-2</c:v>
                </c:pt>
                <c:pt idx="266">
                  <c:v>1.7828713397813001E-2</c:v>
                </c:pt>
                <c:pt idx="267">
                  <c:v>1.6769160107987124E-2</c:v>
                </c:pt>
                <c:pt idx="268">
                  <c:v>1.4580074742351457E-2</c:v>
                </c:pt>
                <c:pt idx="269">
                  <c:v>1.2729605212709272E-2</c:v>
                </c:pt>
                <c:pt idx="270">
                  <c:v>1.3932079661599817E-2</c:v>
                </c:pt>
                <c:pt idx="271">
                  <c:v>1.1084691078004916E-2</c:v>
                </c:pt>
                <c:pt idx="272">
                  <c:v>1.101569757502241E-2</c:v>
                </c:pt>
                <c:pt idx="273">
                  <c:v>1.2089781512507836E-2</c:v>
                </c:pt>
                <c:pt idx="274">
                  <c:v>1.2410910251641205E-2</c:v>
                </c:pt>
                <c:pt idx="275">
                  <c:v>1.136503491092089E-2</c:v>
                </c:pt>
                <c:pt idx="276">
                  <c:v>1.400734533032133E-2</c:v>
                </c:pt>
                <c:pt idx="277">
                  <c:v>1.4970419253409473E-2</c:v>
                </c:pt>
                <c:pt idx="278">
                  <c:v>1.4436881626971543E-2</c:v>
                </c:pt>
                <c:pt idx="279">
                  <c:v>1.3834856871111301E-2</c:v>
                </c:pt>
                <c:pt idx="280">
                  <c:v>1.4885531468115776E-2</c:v>
                </c:pt>
                <c:pt idx="281">
                  <c:v>1.3192999410831741E-2</c:v>
                </c:pt>
                <c:pt idx="282">
                  <c:v>1.6615553963362562E-2</c:v>
                </c:pt>
                <c:pt idx="283">
                  <c:v>1.2742289281886254E-2</c:v>
                </c:pt>
                <c:pt idx="284">
                  <c:v>1.4192426988040685E-2</c:v>
                </c:pt>
                <c:pt idx="285">
                  <c:v>1.3625073901224916E-2</c:v>
                </c:pt>
                <c:pt idx="286">
                  <c:v>1.0069330287282963E-2</c:v>
                </c:pt>
                <c:pt idx="287">
                  <c:v>1.0733249504244258E-2</c:v>
                </c:pt>
                <c:pt idx="288">
                  <c:v>1.1148500822181218E-2</c:v>
                </c:pt>
                <c:pt idx="289">
                  <c:v>1.1605833542706279E-2</c:v>
                </c:pt>
                <c:pt idx="290">
                  <c:v>1.0136221102626575E-2</c:v>
                </c:pt>
                <c:pt idx="291">
                  <c:v>9.7220952873533495E-3</c:v>
                </c:pt>
                <c:pt idx="292">
                  <c:v>9.8319549804053441E-3</c:v>
                </c:pt>
                <c:pt idx="293">
                  <c:v>7.7598840061983143E-3</c:v>
                </c:pt>
                <c:pt idx="294">
                  <c:v>1.1809639929544646E-2</c:v>
                </c:pt>
                <c:pt idx="295">
                  <c:v>1.3789710303238278E-2</c:v>
                </c:pt>
                <c:pt idx="296">
                  <c:v>1.4248149535099675E-2</c:v>
                </c:pt>
                <c:pt idx="297">
                  <c:v>1.7508135964660054E-2</c:v>
                </c:pt>
                <c:pt idx="298">
                  <c:v>1.799196035811601E-2</c:v>
                </c:pt>
                <c:pt idx="299">
                  <c:v>1.6683473375593616E-2</c:v>
                </c:pt>
                <c:pt idx="300">
                  <c:v>1.6854815512092891E-2</c:v>
                </c:pt>
                <c:pt idx="301">
                  <c:v>2.0227088642604363E-2</c:v>
                </c:pt>
                <c:pt idx="302">
                  <c:v>1.597391993005548E-2</c:v>
                </c:pt>
                <c:pt idx="303">
                  <c:v>1.4751331942009616E-2</c:v>
                </c:pt>
                <c:pt idx="304">
                  <c:v>1.6499788522103875E-2</c:v>
                </c:pt>
                <c:pt idx="305">
                  <c:v>1.5760415458648147E-2</c:v>
                </c:pt>
                <c:pt idx="306">
                  <c:v>1.244391986130311E-2</c:v>
                </c:pt>
                <c:pt idx="307">
                  <c:v>1.1310619054089921E-2</c:v>
                </c:pt>
                <c:pt idx="308">
                  <c:v>1.0080752065299903E-2</c:v>
                </c:pt>
                <c:pt idx="309">
                  <c:v>1.2147332067986127E-2</c:v>
                </c:pt>
                <c:pt idx="310">
                  <c:v>1.6392352980995062E-2</c:v>
                </c:pt>
                <c:pt idx="311">
                  <c:v>1.8682955353486408E-2</c:v>
                </c:pt>
                <c:pt idx="312">
                  <c:v>1.6863698240873193E-2</c:v>
                </c:pt>
                <c:pt idx="313">
                  <c:v>1.8747841070260174E-2</c:v>
                </c:pt>
                <c:pt idx="314">
                  <c:v>2.0779736901882062E-2</c:v>
                </c:pt>
                <c:pt idx="315">
                  <c:v>2.0292265131910625E-2</c:v>
                </c:pt>
                <c:pt idx="316">
                  <c:v>2.1487125780939476E-2</c:v>
                </c:pt>
                <c:pt idx="317">
                  <c:v>2.0830673464581784E-2</c:v>
                </c:pt>
                <c:pt idx="318">
                  <c:v>2.13558081191354E-2</c:v>
                </c:pt>
                <c:pt idx="319">
                  <c:v>2.3877780452878694E-2</c:v>
                </c:pt>
                <c:pt idx="320">
                  <c:v>2.2900221276015431E-2</c:v>
                </c:pt>
                <c:pt idx="321">
                  <c:v>2.1504288711639674E-2</c:v>
                </c:pt>
                <c:pt idx="322">
                  <c:v>2.6116395292600458E-2</c:v>
                </c:pt>
                <c:pt idx="323">
                  <c:v>2.2065960210336355E-2</c:v>
                </c:pt>
                <c:pt idx="324">
                  <c:v>2.1105932817058859E-2</c:v>
                </c:pt>
                <c:pt idx="325">
                  <c:v>2.0846521205285518E-2</c:v>
                </c:pt>
                <c:pt idx="326">
                  <c:v>2.2325476619750928E-2</c:v>
                </c:pt>
                <c:pt idx="327">
                  <c:v>2.3587973171459664E-2</c:v>
                </c:pt>
                <c:pt idx="328">
                  <c:v>2.2037082979164735E-2</c:v>
                </c:pt>
                <c:pt idx="329">
                  <c:v>2.6359485602469368E-2</c:v>
                </c:pt>
                <c:pt idx="330">
                  <c:v>2.8067985564965925E-2</c:v>
                </c:pt>
                <c:pt idx="331">
                  <c:v>2.9173543009146208E-2</c:v>
                </c:pt>
                <c:pt idx="332">
                  <c:v>3.3731189437880449E-2</c:v>
                </c:pt>
                <c:pt idx="333">
                  <c:v>3.3625754929037965E-2</c:v>
                </c:pt>
                <c:pt idx="334">
                  <c:v>3.4023498184557965E-2</c:v>
                </c:pt>
                <c:pt idx="335">
                  <c:v>3.4851669252879081E-2</c:v>
                </c:pt>
                <c:pt idx="336">
                  <c:v>2.7211070070104704E-2</c:v>
                </c:pt>
                <c:pt idx="337">
                  <c:v>2.7711484851919321E-2</c:v>
                </c:pt>
                <c:pt idx="338">
                  <c:v>3.0362997047532758E-2</c:v>
                </c:pt>
                <c:pt idx="339">
                  <c:v>2.8287642242010858E-2</c:v>
                </c:pt>
                <c:pt idx="340">
                  <c:v>2.8074239428949932E-2</c:v>
                </c:pt>
                <c:pt idx="341">
                  <c:v>2.8691314375120625E-2</c:v>
                </c:pt>
                <c:pt idx="342">
                  <c:v>3.0690598415659798E-2</c:v>
                </c:pt>
                <c:pt idx="343">
                  <c:v>3.207236641196487E-2</c:v>
                </c:pt>
                <c:pt idx="344">
                  <c:v>3.0668230387476347E-2</c:v>
                </c:pt>
                <c:pt idx="345">
                  <c:v>2.9977798142140744E-2</c:v>
                </c:pt>
                <c:pt idx="346">
                  <c:v>2.633320245785753E-2</c:v>
                </c:pt>
                <c:pt idx="347">
                  <c:v>2.9334574508589562E-2</c:v>
                </c:pt>
                <c:pt idx="348">
                  <c:v>3.1541588841761836E-2</c:v>
                </c:pt>
                <c:pt idx="349">
                  <c:v>2.9520755113528585E-2</c:v>
                </c:pt>
                <c:pt idx="350">
                  <c:v>3.1581987695551872E-2</c:v>
                </c:pt>
                <c:pt idx="351">
                  <c:v>3.0655237541769687E-2</c:v>
                </c:pt>
                <c:pt idx="352">
                  <c:v>2.7620382225592488E-2</c:v>
                </c:pt>
                <c:pt idx="353">
                  <c:v>2.6844537225144682E-2</c:v>
                </c:pt>
                <c:pt idx="354">
                  <c:v>2.7815909255111571E-2</c:v>
                </c:pt>
                <c:pt idx="355">
                  <c:v>2.7577280149496897E-2</c:v>
                </c:pt>
                <c:pt idx="356">
                  <c:v>2.5549841117339378E-2</c:v>
                </c:pt>
                <c:pt idx="357">
                  <c:v>2.330795946505293E-2</c:v>
                </c:pt>
                <c:pt idx="358">
                  <c:v>1.9557463114175722E-2</c:v>
                </c:pt>
                <c:pt idx="359">
                  <c:v>2.197349839126006E-2</c:v>
                </c:pt>
                <c:pt idx="360">
                  <c:v>2.3763953667804039E-2</c:v>
                </c:pt>
                <c:pt idx="361">
                  <c:v>2.4245428250597945E-2</c:v>
                </c:pt>
                <c:pt idx="362">
                  <c:v>1.8427615468815217E-2</c:v>
                </c:pt>
                <c:pt idx="363">
                  <c:v>1.2459196222977864E-2</c:v>
                </c:pt>
                <c:pt idx="364">
                  <c:v>1.3713931520735523E-2</c:v>
                </c:pt>
                <c:pt idx="365">
                  <c:v>1.3061256433406054E-2</c:v>
                </c:pt>
                <c:pt idx="366">
                  <c:v>1.3112856785682636E-2</c:v>
                </c:pt>
                <c:pt idx="367">
                  <c:v>1.2168865290620889E-2</c:v>
                </c:pt>
                <c:pt idx="368">
                  <c:v>1.3820577465658346E-2</c:v>
                </c:pt>
                <c:pt idx="369">
                  <c:v>1.3390211441165256E-2</c:v>
                </c:pt>
                <c:pt idx="370">
                  <c:v>1.5963055683520633E-2</c:v>
                </c:pt>
                <c:pt idx="371">
                  <c:v>1.5013037446645727E-2</c:v>
                </c:pt>
                <c:pt idx="372">
                  <c:v>2.1376852121431922E-2</c:v>
                </c:pt>
                <c:pt idx="373">
                  <c:v>1.8128005472240583E-2</c:v>
                </c:pt>
                <c:pt idx="374">
                  <c:v>1.5490465199412107E-2</c:v>
                </c:pt>
                <c:pt idx="375">
                  <c:v>1.3367313304830875E-2</c:v>
                </c:pt>
                <c:pt idx="376">
                  <c:v>1.3046860112395198E-2</c:v>
                </c:pt>
                <c:pt idx="377">
                  <c:v>9.6388166311172085E-3</c:v>
                </c:pt>
                <c:pt idx="378">
                  <c:v>7.6376050737965162E-3</c:v>
                </c:pt>
                <c:pt idx="379">
                  <c:v>5.8056064889093761E-3</c:v>
                </c:pt>
                <c:pt idx="380">
                  <c:v>3.4292582903203694E-3</c:v>
                </c:pt>
                <c:pt idx="381">
                  <c:v>-2.0618425717882083E-3</c:v>
                </c:pt>
                <c:pt idx="382">
                  <c:v>-1.3847069546857327E-3</c:v>
                </c:pt>
                <c:pt idx="383">
                  <c:v>-4.335300800402897E-3</c:v>
                </c:pt>
                <c:pt idx="384">
                  <c:v>-5.3277223649691452E-3</c:v>
                </c:pt>
                <c:pt idx="385">
                  <c:v>-1.918769823974209E-3</c:v>
                </c:pt>
                <c:pt idx="386">
                  <c:v>-6.0304537916479051E-3</c:v>
                </c:pt>
                <c:pt idx="387">
                  <c:v>-2.4875720771824206E-3</c:v>
                </c:pt>
                <c:pt idx="388">
                  <c:v>-9.3147224806322537E-4</c:v>
                </c:pt>
                <c:pt idx="389">
                  <c:v>-2.1229563460634093E-3</c:v>
                </c:pt>
                <c:pt idx="390">
                  <c:v>-1.5770405174124758E-3</c:v>
                </c:pt>
                <c:pt idx="391">
                  <c:v>-9.9933603032054119E-4</c:v>
                </c:pt>
                <c:pt idx="392">
                  <c:v>7.4691752271704992E-4</c:v>
                </c:pt>
                <c:pt idx="393">
                  <c:v>-1.7259803389357842E-4</c:v>
                </c:pt>
                <c:pt idx="394">
                  <c:v>-2.6990799782103947E-3</c:v>
                </c:pt>
                <c:pt idx="395">
                  <c:v>-2.1187240149462827E-3</c:v>
                </c:pt>
                <c:pt idx="396">
                  <c:v>-9.2616829350681273E-3</c:v>
                </c:pt>
                <c:pt idx="397">
                  <c:v>-1.3994827817645494E-2</c:v>
                </c:pt>
                <c:pt idx="398">
                  <c:v>-1.6279901446492051E-2</c:v>
                </c:pt>
                <c:pt idx="399">
                  <c:v>-1.5198331603988535E-2</c:v>
                </c:pt>
                <c:pt idx="400">
                  <c:v>-1.4172345045510348E-2</c:v>
                </c:pt>
                <c:pt idx="401">
                  <c:v>-1.1032602745377429E-2</c:v>
                </c:pt>
                <c:pt idx="402">
                  <c:v>-1.6110718840657623E-2</c:v>
                </c:pt>
                <c:pt idx="403">
                  <c:v>-1.4343867314972614E-2</c:v>
                </c:pt>
                <c:pt idx="404">
                  <c:v>-1.4684282584126684E-2</c:v>
                </c:pt>
                <c:pt idx="405">
                  <c:v>-1.7297211879388819E-2</c:v>
                </c:pt>
                <c:pt idx="406">
                  <c:v>-1.9815138106165309E-2</c:v>
                </c:pt>
                <c:pt idx="407">
                  <c:v>-2.7225951330209219E-2</c:v>
                </c:pt>
                <c:pt idx="408">
                  <c:v>-3.0834781346123052E-2</c:v>
                </c:pt>
                <c:pt idx="409">
                  <c:v>-3.2667343836979668E-2</c:v>
                </c:pt>
                <c:pt idx="410">
                  <c:v>-2.6244454274470752E-2</c:v>
                </c:pt>
                <c:pt idx="411">
                  <c:v>-2.8982405475170836E-2</c:v>
                </c:pt>
                <c:pt idx="412">
                  <c:v>-3.1140163506586882E-2</c:v>
                </c:pt>
                <c:pt idx="413">
                  <c:v>-2.9636830044880047E-2</c:v>
                </c:pt>
                <c:pt idx="414">
                  <c:v>-3.0951956898359501E-2</c:v>
                </c:pt>
                <c:pt idx="415">
                  <c:v>-2.9009404720444665E-2</c:v>
                </c:pt>
                <c:pt idx="416">
                  <c:v>-3.1699047286463E-2</c:v>
                </c:pt>
                <c:pt idx="417">
                  <c:v>-3.0737923582617066E-2</c:v>
                </c:pt>
                <c:pt idx="418">
                  <c:v>-3.1092776795770383E-2</c:v>
                </c:pt>
                <c:pt idx="419">
                  <c:v>-2.8894320516780536E-2</c:v>
                </c:pt>
                <c:pt idx="420">
                  <c:v>-2.7009694641539461E-2</c:v>
                </c:pt>
                <c:pt idx="421">
                  <c:v>-2.6755750820555368E-2</c:v>
                </c:pt>
                <c:pt idx="422">
                  <c:v>-2.9111573476580221E-2</c:v>
                </c:pt>
                <c:pt idx="423">
                  <c:v>-2.7296231782114933E-2</c:v>
                </c:pt>
                <c:pt idx="424">
                  <c:v>-3.3568081971572905E-2</c:v>
                </c:pt>
                <c:pt idx="425">
                  <c:v>-3.4988646600718987E-2</c:v>
                </c:pt>
                <c:pt idx="426">
                  <c:v>-2.892520775623264E-2</c:v>
                </c:pt>
                <c:pt idx="427">
                  <c:v>-2.7296537816730471E-2</c:v>
                </c:pt>
                <c:pt idx="428">
                  <c:v>-2.560699477080064E-2</c:v>
                </c:pt>
                <c:pt idx="429">
                  <c:v>-2.7672838264837796E-2</c:v>
                </c:pt>
                <c:pt idx="430">
                  <c:v>-2.4097071325563824E-2</c:v>
                </c:pt>
                <c:pt idx="431">
                  <c:v>-1.9626627051048673E-2</c:v>
                </c:pt>
                <c:pt idx="432">
                  <c:v>-2.3771611641704493E-2</c:v>
                </c:pt>
                <c:pt idx="433">
                  <c:v>-2.2274797746126285E-2</c:v>
                </c:pt>
                <c:pt idx="434">
                  <c:v>-2.0731406136715425E-2</c:v>
                </c:pt>
                <c:pt idx="435">
                  <c:v>-1.9588924773758287E-2</c:v>
                </c:pt>
                <c:pt idx="436">
                  <c:v>-2.3974886878275314E-2</c:v>
                </c:pt>
                <c:pt idx="437">
                  <c:v>-2.4561328539373539E-2</c:v>
                </c:pt>
                <c:pt idx="438">
                  <c:v>-2.4314224069983514E-2</c:v>
                </c:pt>
                <c:pt idx="439">
                  <c:v>-2.4086169893195564E-2</c:v>
                </c:pt>
                <c:pt idx="440">
                  <c:v>-2.3598177924109676E-2</c:v>
                </c:pt>
                <c:pt idx="441">
                  <c:v>-2.4076197369741426E-2</c:v>
                </c:pt>
                <c:pt idx="442">
                  <c:v>-2.7952418389478595E-2</c:v>
                </c:pt>
                <c:pt idx="443">
                  <c:v>-2.7203227626303672E-2</c:v>
                </c:pt>
                <c:pt idx="444">
                  <c:v>-2.6870808487593711E-2</c:v>
                </c:pt>
                <c:pt idx="445">
                  <c:v>-2.3888888004748865E-2</c:v>
                </c:pt>
                <c:pt idx="446">
                  <c:v>-2.3019600181912625E-2</c:v>
                </c:pt>
                <c:pt idx="447">
                  <c:v>-2.1574943387329348E-2</c:v>
                </c:pt>
                <c:pt idx="448">
                  <c:v>-1.8736935892798234E-2</c:v>
                </c:pt>
                <c:pt idx="449">
                  <c:v>-1.9519827620211427E-2</c:v>
                </c:pt>
                <c:pt idx="450">
                  <c:v>-1.9582172479583604E-2</c:v>
                </c:pt>
                <c:pt idx="451">
                  <c:v>-2.0878296740956537E-2</c:v>
                </c:pt>
                <c:pt idx="452">
                  <c:v>-1.8937123629253705E-2</c:v>
                </c:pt>
                <c:pt idx="453">
                  <c:v>-2.0652919591576224E-2</c:v>
                </c:pt>
                <c:pt idx="454">
                  <c:v>-2.3860287351239129E-2</c:v>
                </c:pt>
                <c:pt idx="455">
                  <c:v>-2.7179901535427708E-2</c:v>
                </c:pt>
                <c:pt idx="456">
                  <c:v>-2.5819604337715796E-2</c:v>
                </c:pt>
                <c:pt idx="457">
                  <c:v>-2.6319777540801281E-2</c:v>
                </c:pt>
                <c:pt idx="458">
                  <c:v>-2.9236758103030502E-2</c:v>
                </c:pt>
                <c:pt idx="459">
                  <c:v>-3.2181509653417928E-2</c:v>
                </c:pt>
                <c:pt idx="460">
                  <c:v>-2.7369691688766906E-2</c:v>
                </c:pt>
                <c:pt idx="461">
                  <c:v>-2.3580272198996721E-2</c:v>
                </c:pt>
                <c:pt idx="462">
                  <c:v>-2.2354721425624668E-2</c:v>
                </c:pt>
                <c:pt idx="463">
                  <c:v>-2.530615817714077E-2</c:v>
                </c:pt>
                <c:pt idx="464">
                  <c:v>-2.0056831579108314E-2</c:v>
                </c:pt>
                <c:pt idx="465">
                  <c:v>-2.3945882201934943E-2</c:v>
                </c:pt>
                <c:pt idx="466">
                  <c:v>-2.3519267017936829E-2</c:v>
                </c:pt>
                <c:pt idx="467">
                  <c:v>-2.3427285547699461E-2</c:v>
                </c:pt>
                <c:pt idx="468">
                  <c:v>-2.0169261528331983E-2</c:v>
                </c:pt>
                <c:pt idx="469">
                  <c:v>-1.7356444706734586E-2</c:v>
                </c:pt>
                <c:pt idx="470">
                  <c:v>-1.9256989585173079E-2</c:v>
                </c:pt>
                <c:pt idx="471">
                  <c:v>-1.1009431789055002E-2</c:v>
                </c:pt>
                <c:pt idx="472">
                  <c:v>-8.1405105202542183E-3</c:v>
                </c:pt>
                <c:pt idx="473">
                  <c:v>-5.8355619669046011E-3</c:v>
                </c:pt>
                <c:pt idx="474">
                  <c:v>-7.0406267589365745E-3</c:v>
                </c:pt>
                <c:pt idx="475">
                  <c:v>-4.7043936192664448E-3</c:v>
                </c:pt>
                <c:pt idx="476">
                  <c:v>-4.3188886787900449E-3</c:v>
                </c:pt>
                <c:pt idx="477">
                  <c:v>-5.5093914065235117E-3</c:v>
                </c:pt>
                <c:pt idx="478">
                  <c:v>-4.2687690337177564E-3</c:v>
                </c:pt>
                <c:pt idx="479">
                  <c:v>-4.3837354468523326E-3</c:v>
                </c:pt>
                <c:pt idx="480">
                  <c:v>1.8640169258774542E-3</c:v>
                </c:pt>
                <c:pt idx="481">
                  <c:v>2.1769738228989421E-3</c:v>
                </c:pt>
                <c:pt idx="482">
                  <c:v>2.3073217215938691E-3</c:v>
                </c:pt>
                <c:pt idx="483">
                  <c:v>-3.0855924471725471E-3</c:v>
                </c:pt>
                <c:pt idx="484">
                  <c:v>-4.0981323592256258E-3</c:v>
                </c:pt>
                <c:pt idx="485">
                  <c:v>-4.5814086396696041E-3</c:v>
                </c:pt>
                <c:pt idx="486">
                  <c:v>-1.1613875210687574E-3</c:v>
                </c:pt>
                <c:pt idx="487">
                  <c:v>-4.1927005397131012E-3</c:v>
                </c:pt>
                <c:pt idx="488">
                  <c:v>-5.1186701011607383E-3</c:v>
                </c:pt>
                <c:pt idx="489">
                  <c:v>-6.8135969748200909E-3</c:v>
                </c:pt>
                <c:pt idx="490">
                  <c:v>-1.2491106016285891E-2</c:v>
                </c:pt>
                <c:pt idx="491">
                  <c:v>-8.1748916495640866E-3</c:v>
                </c:pt>
                <c:pt idx="492">
                  <c:v>-8.0029513155497334E-3</c:v>
                </c:pt>
                <c:pt idx="493">
                  <c:v>-2.6255845212148632E-3</c:v>
                </c:pt>
                <c:pt idx="494">
                  <c:v>-9.0734893084880586E-3</c:v>
                </c:pt>
                <c:pt idx="495">
                  <c:v>-1.2381940300691507E-2</c:v>
                </c:pt>
                <c:pt idx="496">
                  <c:v>-9.231123050650103E-3</c:v>
                </c:pt>
                <c:pt idx="497">
                  <c:v>-1.0431642812732456E-2</c:v>
                </c:pt>
                <c:pt idx="498">
                  <c:v>-1.1755509089810601E-2</c:v>
                </c:pt>
                <c:pt idx="499">
                  <c:v>-1.2079830442016215E-2</c:v>
                </c:pt>
                <c:pt idx="500">
                  <c:v>-1.1834096618725254E-2</c:v>
                </c:pt>
                <c:pt idx="501">
                  <c:v>-9.9587388328752358E-3</c:v>
                </c:pt>
                <c:pt idx="502">
                  <c:v>-1.0021181833753112E-2</c:v>
                </c:pt>
                <c:pt idx="503">
                  <c:v>-9.4320963085835485E-3</c:v>
                </c:pt>
                <c:pt idx="504">
                  <c:v>-1.0933181580072948E-2</c:v>
                </c:pt>
                <c:pt idx="505">
                  <c:v>-9.2515634178640394E-3</c:v>
                </c:pt>
                <c:pt idx="506">
                  <c:v>-3.6736794018717989E-3</c:v>
                </c:pt>
                <c:pt idx="507">
                  <c:v>-1.1370859610144723E-3</c:v>
                </c:pt>
                <c:pt idx="508">
                  <c:v>-9.8730417145154181E-4</c:v>
                </c:pt>
                <c:pt idx="509">
                  <c:v>1.2321751376160872E-3</c:v>
                </c:pt>
                <c:pt idx="510">
                  <c:v>2.0937201428012919E-3</c:v>
                </c:pt>
                <c:pt idx="511">
                  <c:v>1.1584415013499161E-3</c:v>
                </c:pt>
                <c:pt idx="512">
                  <c:v>-3.2109030888483048E-4</c:v>
                </c:pt>
                <c:pt idx="513">
                  <c:v>-6.9529781991017892E-4</c:v>
                </c:pt>
                <c:pt idx="514">
                  <c:v>1.929747422932282E-3</c:v>
                </c:pt>
                <c:pt idx="515">
                  <c:v>2.4342149443132843E-3</c:v>
                </c:pt>
                <c:pt idx="516">
                  <c:v>3.3168318240250905E-4</c:v>
                </c:pt>
                <c:pt idx="517">
                  <c:v>1.449854383304805E-3</c:v>
                </c:pt>
                <c:pt idx="518">
                  <c:v>2.7469623640445917E-3</c:v>
                </c:pt>
                <c:pt idx="519">
                  <c:v>6.3371299076837584E-3</c:v>
                </c:pt>
                <c:pt idx="520">
                  <c:v>1.2698275344815713E-3</c:v>
                </c:pt>
                <c:pt idx="521">
                  <c:v>2.2206707847391982E-3</c:v>
                </c:pt>
                <c:pt idx="522">
                  <c:v>8.8668799212598959E-3</c:v>
                </c:pt>
                <c:pt idx="523">
                  <c:v>1.11875105907282E-2</c:v>
                </c:pt>
                <c:pt idx="524">
                  <c:v>1.0415964625335894E-2</c:v>
                </c:pt>
                <c:pt idx="525">
                  <c:v>1.0971989900356638E-2</c:v>
                </c:pt>
                <c:pt idx="526">
                  <c:v>1.070854649827413E-2</c:v>
                </c:pt>
                <c:pt idx="527">
                  <c:v>1.2055101738994711E-2</c:v>
                </c:pt>
                <c:pt idx="528">
                  <c:v>8.4471000972328181E-3</c:v>
                </c:pt>
                <c:pt idx="529">
                  <c:v>8.801745390466964E-3</c:v>
                </c:pt>
                <c:pt idx="530">
                  <c:v>9.0768022234009038E-3</c:v>
                </c:pt>
                <c:pt idx="531">
                  <c:v>9.7561597400002142E-3</c:v>
                </c:pt>
                <c:pt idx="532">
                  <c:v>4.6325015918333712E-3</c:v>
                </c:pt>
                <c:pt idx="533">
                  <c:v>4.9081195278681822E-3</c:v>
                </c:pt>
                <c:pt idx="534">
                  <c:v>6.217679919728436E-3</c:v>
                </c:pt>
                <c:pt idx="535">
                  <c:v>6.4927715477753889E-3</c:v>
                </c:pt>
                <c:pt idx="536">
                  <c:v>9.609413383320442E-3</c:v>
                </c:pt>
                <c:pt idx="537">
                  <c:v>1.1587627375163612E-2</c:v>
                </c:pt>
                <c:pt idx="538">
                  <c:v>8.278723439112623E-3</c:v>
                </c:pt>
                <c:pt idx="539">
                  <c:v>6.5117539451002848E-3</c:v>
                </c:pt>
                <c:pt idx="540">
                  <c:v>6.5846073751858469E-3</c:v>
                </c:pt>
                <c:pt idx="541">
                  <c:v>8.013666731168323E-3</c:v>
                </c:pt>
                <c:pt idx="542">
                  <c:v>8.1059378880359301E-3</c:v>
                </c:pt>
                <c:pt idx="543">
                  <c:v>7.9708043507562554E-3</c:v>
                </c:pt>
                <c:pt idx="544">
                  <c:v>5.5323739161559082E-3</c:v>
                </c:pt>
                <c:pt idx="545">
                  <c:v>4.836794793447563E-3</c:v>
                </c:pt>
                <c:pt idx="546">
                  <c:v>3.052674597575189E-3</c:v>
                </c:pt>
                <c:pt idx="547">
                  <c:v>7.1054457948123151E-3</c:v>
                </c:pt>
                <c:pt idx="548">
                  <c:v>7.2011412081816051E-3</c:v>
                </c:pt>
                <c:pt idx="549">
                  <c:v>1.0753602765667836E-2</c:v>
                </c:pt>
                <c:pt idx="550">
                  <c:v>1.0321088253975041E-2</c:v>
                </c:pt>
                <c:pt idx="551">
                  <c:v>1.1743765839425269E-2</c:v>
                </c:pt>
                <c:pt idx="552">
                  <c:v>1.5920913748413756E-2</c:v>
                </c:pt>
                <c:pt idx="553">
                  <c:v>1.9905061274333447E-2</c:v>
                </c:pt>
                <c:pt idx="554">
                  <c:v>2.368385650039162E-2</c:v>
                </c:pt>
                <c:pt idx="555">
                  <c:v>2.487770789657584E-2</c:v>
                </c:pt>
                <c:pt idx="556">
                  <c:v>2.0914422727255966E-2</c:v>
                </c:pt>
                <c:pt idx="557">
                  <c:v>1.7962240040470867E-2</c:v>
                </c:pt>
                <c:pt idx="558">
                  <c:v>2.0962645996397633E-2</c:v>
                </c:pt>
                <c:pt idx="559">
                  <c:v>2.2467068411603952E-2</c:v>
                </c:pt>
                <c:pt idx="560">
                  <c:v>2.3151246358630972E-2</c:v>
                </c:pt>
                <c:pt idx="561">
                  <c:v>2.3247087170713554E-2</c:v>
                </c:pt>
                <c:pt idx="562">
                  <c:v>1.9633288749210109E-2</c:v>
                </c:pt>
                <c:pt idx="563">
                  <c:v>2.0296865931753061E-2</c:v>
                </c:pt>
                <c:pt idx="564">
                  <c:v>1.3563850610309736E-2</c:v>
                </c:pt>
                <c:pt idx="565">
                  <c:v>1.2883897831829083E-2</c:v>
                </c:pt>
                <c:pt idx="566">
                  <c:v>5.7419336630371021E-3</c:v>
                </c:pt>
                <c:pt idx="567">
                  <c:v>3.0735194676649868E-3</c:v>
                </c:pt>
                <c:pt idx="568">
                  <c:v>2.8425250900514509E-3</c:v>
                </c:pt>
                <c:pt idx="569">
                  <c:v>4.0866829545560535E-3</c:v>
                </c:pt>
                <c:pt idx="570">
                  <c:v>2.6041868504065313E-3</c:v>
                </c:pt>
                <c:pt idx="571">
                  <c:v>-4.7534303073830664E-3</c:v>
                </c:pt>
                <c:pt idx="572">
                  <c:v>-5.4780921107818736E-3</c:v>
                </c:pt>
                <c:pt idx="573">
                  <c:v>-3.5364646263976729E-3</c:v>
                </c:pt>
                <c:pt idx="574">
                  <c:v>-6.5480523080136965E-3</c:v>
                </c:pt>
                <c:pt idx="575">
                  <c:v>-3.0261079567976967E-3</c:v>
                </c:pt>
                <c:pt idx="576">
                  <c:v>-4.3434297848776726E-3</c:v>
                </c:pt>
                <c:pt idx="577">
                  <c:v>-3.8021963275256532E-3</c:v>
                </c:pt>
                <c:pt idx="578">
                  <c:v>-2.9426823024599758E-3</c:v>
                </c:pt>
                <c:pt idx="579">
                  <c:v>-2.319901130149904E-3</c:v>
                </c:pt>
                <c:pt idx="580">
                  <c:v>-2.2551854026520157E-4</c:v>
                </c:pt>
                <c:pt idx="581">
                  <c:v>1.1716244831696532E-3</c:v>
                </c:pt>
                <c:pt idx="582">
                  <c:v>3.8529568096035138E-3</c:v>
                </c:pt>
                <c:pt idx="583">
                  <c:v>3.8740880700134372E-3</c:v>
                </c:pt>
                <c:pt idx="584">
                  <c:v>2.5702696642952993E-3</c:v>
                </c:pt>
                <c:pt idx="585">
                  <c:v>3.0065074418803572E-3</c:v>
                </c:pt>
                <c:pt idx="586">
                  <c:v>1.6337258909577823E-3</c:v>
                </c:pt>
                <c:pt idx="587">
                  <c:v>1.229168302100403E-3</c:v>
                </c:pt>
                <c:pt idx="588">
                  <c:v>1.8477048682934427E-3</c:v>
                </c:pt>
                <c:pt idx="589">
                  <c:v>5.6422774150239885E-3</c:v>
                </c:pt>
                <c:pt idx="590">
                  <c:v>5.2430686973310436E-3</c:v>
                </c:pt>
                <c:pt idx="591">
                  <c:v>7.7823910123335782E-3</c:v>
                </c:pt>
                <c:pt idx="592">
                  <c:v>7.174372262785722E-3</c:v>
                </c:pt>
                <c:pt idx="593">
                  <c:v>8.4780872079548431E-3</c:v>
                </c:pt>
                <c:pt idx="594">
                  <c:v>8.7309034425695486E-3</c:v>
                </c:pt>
                <c:pt idx="595">
                  <c:v>9.2990716809551177E-3</c:v>
                </c:pt>
                <c:pt idx="596">
                  <c:v>1.1115515880007587E-2</c:v>
                </c:pt>
                <c:pt idx="597">
                  <c:v>1.0231590912236799E-2</c:v>
                </c:pt>
                <c:pt idx="598">
                  <c:v>1.1148106126545709E-2</c:v>
                </c:pt>
                <c:pt idx="599">
                  <c:v>8.9676013316541958E-3</c:v>
                </c:pt>
                <c:pt idx="600">
                  <c:v>6.4233569520439904E-3</c:v>
                </c:pt>
                <c:pt idx="601">
                  <c:v>5.8448135402140444E-3</c:v>
                </c:pt>
                <c:pt idx="602">
                  <c:v>7.3556741421731964E-3</c:v>
                </c:pt>
                <c:pt idx="603">
                  <c:v>8.7625438462712868E-3</c:v>
                </c:pt>
                <c:pt idx="604">
                  <c:v>7.5706626352687323E-3</c:v>
                </c:pt>
                <c:pt idx="605">
                  <c:v>8.5856459875017777E-3</c:v>
                </c:pt>
                <c:pt idx="606">
                  <c:v>6.3080545631697404E-3</c:v>
                </c:pt>
                <c:pt idx="607">
                  <c:v>4.2353084193571533E-3</c:v>
                </c:pt>
                <c:pt idx="608">
                  <c:v>6.0061239705133662E-3</c:v>
                </c:pt>
                <c:pt idx="609">
                  <c:v>4.9329598487921622E-3</c:v>
                </c:pt>
                <c:pt idx="610">
                  <c:v>6.4666338557937131E-3</c:v>
                </c:pt>
                <c:pt idx="611">
                  <c:v>4.518399320680544E-3</c:v>
                </c:pt>
                <c:pt idx="612">
                  <c:v>6.0523589242196252E-3</c:v>
                </c:pt>
                <c:pt idx="613">
                  <c:v>6.0419709431931423E-3</c:v>
                </c:pt>
                <c:pt idx="614">
                  <c:v>5.8789787748747546E-3</c:v>
                </c:pt>
                <c:pt idx="615">
                  <c:v>6.7569014843844588E-3</c:v>
                </c:pt>
                <c:pt idx="616">
                  <c:v>4.8611871330832557E-3</c:v>
                </c:pt>
                <c:pt idx="617">
                  <c:v>2.3382326025416234E-3</c:v>
                </c:pt>
                <c:pt idx="618">
                  <c:v>-8.2156019036971895E-4</c:v>
                </c:pt>
                <c:pt idx="619">
                  <c:v>-3.2587965583309453E-3</c:v>
                </c:pt>
                <c:pt idx="620">
                  <c:v>-1.1416280341891571E-3</c:v>
                </c:pt>
                <c:pt idx="621">
                  <c:v>-2.1253895102004705E-3</c:v>
                </c:pt>
                <c:pt idx="622">
                  <c:v>-3.0220432576303358E-3</c:v>
                </c:pt>
                <c:pt idx="623">
                  <c:v>-3.7197256556413816E-3</c:v>
                </c:pt>
                <c:pt idx="624">
                  <c:v>-3.8862109704506098E-3</c:v>
                </c:pt>
                <c:pt idx="625">
                  <c:v>-5.3163255950858801E-3</c:v>
                </c:pt>
                <c:pt idx="626">
                  <c:v>-4.7239791839104317E-3</c:v>
                </c:pt>
                <c:pt idx="627">
                  <c:v>-2.7226242106782594E-3</c:v>
                </c:pt>
                <c:pt idx="628">
                  <c:v>1.9198507798305897E-3</c:v>
                </c:pt>
                <c:pt idx="629">
                  <c:v>-9.5462806517621068E-5</c:v>
                </c:pt>
                <c:pt idx="630">
                  <c:v>4.8872261483883239E-3</c:v>
                </c:pt>
                <c:pt idx="631">
                  <c:v>6.7831977955725709E-3</c:v>
                </c:pt>
                <c:pt idx="632">
                  <c:v>7.2146393901881822E-3</c:v>
                </c:pt>
                <c:pt idx="633">
                  <c:v>5.9217375096551894E-3</c:v>
                </c:pt>
                <c:pt idx="634">
                  <c:v>5.5296947987668599E-3</c:v>
                </c:pt>
                <c:pt idx="635">
                  <c:v>1.1560083552674127E-2</c:v>
                </c:pt>
                <c:pt idx="636">
                  <c:v>1.2058162516188409E-2</c:v>
                </c:pt>
                <c:pt idx="637">
                  <c:v>1.1341161839931946E-2</c:v>
                </c:pt>
                <c:pt idx="638">
                  <c:v>1.2482475729882925E-2</c:v>
                </c:pt>
                <c:pt idx="639">
                  <c:v>9.1768373249292434E-3</c:v>
                </c:pt>
                <c:pt idx="640">
                  <c:v>1.1538269929200817E-2</c:v>
                </c:pt>
                <c:pt idx="641">
                  <c:v>1.355115103347071E-2</c:v>
                </c:pt>
                <c:pt idx="642">
                  <c:v>1.3667903127340786E-2</c:v>
                </c:pt>
                <c:pt idx="643">
                  <c:v>1.3112241700517835E-2</c:v>
                </c:pt>
                <c:pt idx="644">
                  <c:v>1.0123798995301581E-2</c:v>
                </c:pt>
                <c:pt idx="645">
                  <c:v>9.7271981347435421E-3</c:v>
                </c:pt>
                <c:pt idx="646">
                  <c:v>5.1643171550765921E-3</c:v>
                </c:pt>
                <c:pt idx="647">
                  <c:v>6.1501457306569751E-3</c:v>
                </c:pt>
                <c:pt idx="648">
                  <c:v>7.6442807158787485E-3</c:v>
                </c:pt>
                <c:pt idx="649">
                  <c:v>6.9946978954540384E-3</c:v>
                </c:pt>
                <c:pt idx="650">
                  <c:v>7.9937825684648356E-3</c:v>
                </c:pt>
                <c:pt idx="651">
                  <c:v>1.1172024642559064E-2</c:v>
                </c:pt>
                <c:pt idx="652">
                  <c:v>1.3010353315046075E-2</c:v>
                </c:pt>
                <c:pt idx="653">
                  <c:v>1.0381408128664393E-2</c:v>
                </c:pt>
                <c:pt idx="654">
                  <c:v>1.022236277841837E-2</c:v>
                </c:pt>
                <c:pt idx="655">
                  <c:v>8.9808665334583093E-3</c:v>
                </c:pt>
                <c:pt idx="656">
                  <c:v>1.0153283656427314E-2</c:v>
                </c:pt>
                <c:pt idx="657">
                  <c:v>1.0635758202722334E-2</c:v>
                </c:pt>
                <c:pt idx="658">
                  <c:v>1.3069919013396936E-2</c:v>
                </c:pt>
                <c:pt idx="659">
                  <c:v>1.0589595189151702E-2</c:v>
                </c:pt>
                <c:pt idx="660">
                  <c:v>6.5329053357976452E-3</c:v>
                </c:pt>
                <c:pt idx="661">
                  <c:v>4.0835061492372482E-3</c:v>
                </c:pt>
                <c:pt idx="662">
                  <c:v>4.6765861848185875E-3</c:v>
                </c:pt>
                <c:pt idx="663">
                  <c:v>7.2157134486701136E-3</c:v>
                </c:pt>
                <c:pt idx="664">
                  <c:v>8.0736863748311904E-3</c:v>
                </c:pt>
                <c:pt idx="665">
                  <c:v>7.5191400329304159E-3</c:v>
                </c:pt>
                <c:pt idx="666">
                  <c:v>6.8479092343542991E-3</c:v>
                </c:pt>
                <c:pt idx="667">
                  <c:v>7.5664574683087515E-3</c:v>
                </c:pt>
                <c:pt idx="668">
                  <c:v>1.0054152957589269E-2</c:v>
                </c:pt>
                <c:pt idx="669">
                  <c:v>9.361396688932544E-3</c:v>
                </c:pt>
                <c:pt idx="670">
                  <c:v>9.6754880911174013E-3</c:v>
                </c:pt>
                <c:pt idx="671">
                  <c:v>8.7758551606620383E-3</c:v>
                </c:pt>
                <c:pt idx="672">
                  <c:v>7.6312001236642502E-3</c:v>
                </c:pt>
                <c:pt idx="673">
                  <c:v>8.7731279742875312E-3</c:v>
                </c:pt>
                <c:pt idx="674">
                  <c:v>6.4206543669915739E-3</c:v>
                </c:pt>
                <c:pt idx="675">
                  <c:v>9.0304314772504668E-3</c:v>
                </c:pt>
                <c:pt idx="676">
                  <c:v>1.1749854849282926E-2</c:v>
                </c:pt>
                <c:pt idx="677">
                  <c:v>8.5480671941782216E-3</c:v>
                </c:pt>
                <c:pt idx="678">
                  <c:v>1.0106847495824578E-2</c:v>
                </c:pt>
                <c:pt idx="679">
                  <c:v>8.5039488928086993E-3</c:v>
                </c:pt>
                <c:pt idx="680">
                  <c:v>1.0391302967042826E-2</c:v>
                </c:pt>
                <c:pt idx="681">
                  <c:v>1.0656371339650139E-2</c:v>
                </c:pt>
                <c:pt idx="682">
                  <c:v>1.4003021050525088E-2</c:v>
                </c:pt>
                <c:pt idx="683">
                  <c:v>1.2622559010342371E-2</c:v>
                </c:pt>
                <c:pt idx="684">
                  <c:v>1.2372752804224119E-2</c:v>
                </c:pt>
                <c:pt idx="685">
                  <c:v>1.3316727342402856E-2</c:v>
                </c:pt>
                <c:pt idx="686">
                  <c:v>1.4264369001332433E-2</c:v>
                </c:pt>
                <c:pt idx="687">
                  <c:v>1.3593893050816153E-2</c:v>
                </c:pt>
                <c:pt idx="688">
                  <c:v>9.2524839398007153E-3</c:v>
                </c:pt>
                <c:pt idx="689">
                  <c:v>7.949800436359844E-3</c:v>
                </c:pt>
                <c:pt idx="690">
                  <c:v>8.0458371353731017E-3</c:v>
                </c:pt>
                <c:pt idx="691">
                  <c:v>5.8776096994477278E-3</c:v>
                </c:pt>
                <c:pt idx="692">
                  <c:v>7.7930518076885225E-3</c:v>
                </c:pt>
                <c:pt idx="693">
                  <c:v>7.4233463636323993E-3</c:v>
                </c:pt>
                <c:pt idx="694">
                  <c:v>6.4798881044616508E-3</c:v>
                </c:pt>
                <c:pt idx="695">
                  <c:v>3.3713762153411153E-3</c:v>
                </c:pt>
                <c:pt idx="696">
                  <c:v>4.7753074720706667E-3</c:v>
                </c:pt>
                <c:pt idx="697">
                  <c:v>6.3064145557292228E-3</c:v>
                </c:pt>
                <c:pt idx="698">
                  <c:v>6.8916069032602945E-3</c:v>
                </c:pt>
                <c:pt idx="699">
                  <c:v>7.3603633916554667E-3</c:v>
                </c:pt>
                <c:pt idx="700">
                  <c:v>5.5765503307536601E-3</c:v>
                </c:pt>
                <c:pt idx="701">
                  <c:v>3.1654454225260586E-3</c:v>
                </c:pt>
                <c:pt idx="702">
                  <c:v>1.148696151080042E-3</c:v>
                </c:pt>
                <c:pt idx="703">
                  <c:v>2.3768969815993746E-3</c:v>
                </c:pt>
                <c:pt idx="704">
                  <c:v>1.0600892154288832E-3</c:v>
                </c:pt>
                <c:pt idx="705">
                  <c:v>5.469296224815956E-4</c:v>
                </c:pt>
                <c:pt idx="706">
                  <c:v>-1.0300259396071043E-3</c:v>
                </c:pt>
                <c:pt idx="707">
                  <c:v>-2.6735830632368396E-3</c:v>
                </c:pt>
                <c:pt idx="708">
                  <c:v>-2.8205294306749007E-4</c:v>
                </c:pt>
                <c:pt idx="709">
                  <c:v>4.9199314347414536E-4</c:v>
                </c:pt>
                <c:pt idx="710">
                  <c:v>3.6853456186254352E-3</c:v>
                </c:pt>
                <c:pt idx="711">
                  <c:v>9.2948817339078005E-4</c:v>
                </c:pt>
                <c:pt idx="712">
                  <c:v>1.5983665267105263E-3</c:v>
                </c:pt>
                <c:pt idx="713">
                  <c:v>9.1971816832825404E-4</c:v>
                </c:pt>
                <c:pt idx="714">
                  <c:v>-4.1336904833322308E-3</c:v>
                </c:pt>
                <c:pt idx="715">
                  <c:v>-5.8531290074791409E-3</c:v>
                </c:pt>
                <c:pt idx="716">
                  <c:v>-7.881964495893734E-3</c:v>
                </c:pt>
                <c:pt idx="717">
                  <c:v>-8.5102345029051119E-3</c:v>
                </c:pt>
                <c:pt idx="718">
                  <c:v>-1.1048870032862368E-2</c:v>
                </c:pt>
                <c:pt idx="719">
                  <c:v>-1.0681514490879618E-2</c:v>
                </c:pt>
                <c:pt idx="720">
                  <c:v>-8.6032771454264134E-3</c:v>
                </c:pt>
                <c:pt idx="721">
                  <c:v>-1.0398326739119668E-2</c:v>
                </c:pt>
                <c:pt idx="722">
                  <c:v>-1.3959980829617802E-2</c:v>
                </c:pt>
                <c:pt idx="723">
                  <c:v>-1.3480852055962722E-2</c:v>
                </c:pt>
                <c:pt idx="724">
                  <c:v>-9.5694451012248161E-3</c:v>
                </c:pt>
                <c:pt idx="725">
                  <c:v>-9.3671523158607162E-3</c:v>
                </c:pt>
                <c:pt idx="726">
                  <c:v>-9.6828551901877447E-3</c:v>
                </c:pt>
                <c:pt idx="727">
                  <c:v>-1.0928247543369407E-2</c:v>
                </c:pt>
                <c:pt idx="728">
                  <c:v>-8.958710670150194E-3</c:v>
                </c:pt>
                <c:pt idx="729">
                  <c:v>-1.0600035505770933E-2</c:v>
                </c:pt>
                <c:pt idx="730">
                  <c:v>-1.1275748809606245E-2</c:v>
                </c:pt>
                <c:pt idx="731">
                  <c:v>-1.1733806446811323E-2</c:v>
                </c:pt>
                <c:pt idx="732">
                  <c:v>-1.3137187137295059E-2</c:v>
                </c:pt>
                <c:pt idx="733">
                  <c:v>-1.1224571328123711E-2</c:v>
                </c:pt>
                <c:pt idx="734">
                  <c:v>-1.0177722566758307E-2</c:v>
                </c:pt>
                <c:pt idx="735">
                  <c:v>-9.6358997866421436E-3</c:v>
                </c:pt>
                <c:pt idx="736">
                  <c:v>-9.7910551751607677E-3</c:v>
                </c:pt>
                <c:pt idx="737">
                  <c:v>-9.0435204945058523E-3</c:v>
                </c:pt>
                <c:pt idx="738">
                  <c:v>-7.251397108646529E-3</c:v>
                </c:pt>
                <c:pt idx="739">
                  <c:v>-8.6486408707636686E-3</c:v>
                </c:pt>
                <c:pt idx="740">
                  <c:v>-1.3598214303492728E-2</c:v>
                </c:pt>
                <c:pt idx="741">
                  <c:v>-1.1028350412695787E-2</c:v>
                </c:pt>
                <c:pt idx="742">
                  <c:v>-9.9375927304136136E-3</c:v>
                </c:pt>
                <c:pt idx="743">
                  <c:v>-1.2063630306074713E-2</c:v>
                </c:pt>
                <c:pt idx="744">
                  <c:v>-1.1314111108016611E-2</c:v>
                </c:pt>
                <c:pt idx="745">
                  <c:v>-1.0588184261308475E-2</c:v>
                </c:pt>
                <c:pt idx="746">
                  <c:v>-1.0023809182768906E-2</c:v>
                </c:pt>
                <c:pt idx="747">
                  <c:v>-7.7630604584502105E-3</c:v>
                </c:pt>
                <c:pt idx="748">
                  <c:v>-6.5511851733059956E-3</c:v>
                </c:pt>
                <c:pt idx="749">
                  <c:v>-6.2220030804840398E-3</c:v>
                </c:pt>
                <c:pt idx="750">
                  <c:v>-6.4384304407110182E-3</c:v>
                </c:pt>
                <c:pt idx="751">
                  <c:v>-7.5193484506890229E-3</c:v>
                </c:pt>
                <c:pt idx="752">
                  <c:v>-3.1969974632084508E-4</c:v>
                </c:pt>
                <c:pt idx="753">
                  <c:v>1.793598233995608E-3</c:v>
                </c:pt>
                <c:pt idx="754">
                  <c:v>1.5104152880016652E-3</c:v>
                </c:pt>
                <c:pt idx="755">
                  <c:v>3.149612614491204E-3</c:v>
                </c:pt>
                <c:pt idx="756">
                  <c:v>2.2786616097389967E-3</c:v>
                </c:pt>
                <c:pt idx="757">
                  <c:v>5.9519387571120852E-3</c:v>
                </c:pt>
                <c:pt idx="758">
                  <c:v>7.3248201466331597E-3</c:v>
                </c:pt>
                <c:pt idx="759">
                  <c:v>9.6243741718760045E-3</c:v>
                </c:pt>
                <c:pt idx="760">
                  <c:v>7.3980936440045664E-3</c:v>
                </c:pt>
                <c:pt idx="761">
                  <c:v>7.7194387456243074E-3</c:v>
                </c:pt>
                <c:pt idx="762">
                  <c:v>5.3836855480773327E-3</c:v>
                </c:pt>
                <c:pt idx="763">
                  <c:v>5.2242077575048729E-3</c:v>
                </c:pt>
                <c:pt idx="764">
                  <c:v>7.1231346781392979E-3</c:v>
                </c:pt>
                <c:pt idx="765">
                  <c:v>6.9620592135437587E-3</c:v>
                </c:pt>
                <c:pt idx="766">
                  <c:v>1.0541511641469103E-2</c:v>
                </c:pt>
                <c:pt idx="767">
                  <c:v>8.5070289215603001E-3</c:v>
                </c:pt>
                <c:pt idx="768">
                  <c:v>9.311324893861439E-3</c:v>
                </c:pt>
                <c:pt idx="769">
                  <c:v>7.0667509288293573E-3</c:v>
                </c:pt>
                <c:pt idx="770">
                  <c:v>8.180689114495765E-3</c:v>
                </c:pt>
                <c:pt idx="771">
                  <c:v>8.5203233171706749E-3</c:v>
                </c:pt>
                <c:pt idx="772">
                  <c:v>4.6646446498659344E-3</c:v>
                </c:pt>
                <c:pt idx="773">
                  <c:v>3.4064727807867623E-3</c:v>
                </c:pt>
                <c:pt idx="774">
                  <c:v>1.6801853066368277E-3</c:v>
                </c:pt>
                <c:pt idx="775">
                  <c:v>2.9745774816476445E-3</c:v>
                </c:pt>
                <c:pt idx="776">
                  <c:v>3.8994954305116014E-3</c:v>
                </c:pt>
                <c:pt idx="777">
                  <c:v>6.6349166926054082E-3</c:v>
                </c:pt>
                <c:pt idx="778">
                  <c:v>1.0429881906794725E-2</c:v>
                </c:pt>
                <c:pt idx="779">
                  <c:v>9.766310894971042E-3</c:v>
                </c:pt>
                <c:pt idx="780">
                  <c:v>9.3603737848135804E-3</c:v>
                </c:pt>
                <c:pt idx="781">
                  <c:v>8.4270003222517431E-3</c:v>
                </c:pt>
                <c:pt idx="782">
                  <c:v>1.2826299297318267E-2</c:v>
                </c:pt>
                <c:pt idx="783">
                  <c:v>1.098418651024069E-2</c:v>
                </c:pt>
                <c:pt idx="784">
                  <c:v>7.0821838509738111E-3</c:v>
                </c:pt>
                <c:pt idx="785">
                  <c:v>7.7393297454486643E-3</c:v>
                </c:pt>
                <c:pt idx="786">
                  <c:v>9.7771478846733206E-3</c:v>
                </c:pt>
                <c:pt idx="787">
                  <c:v>9.7914040416098302E-3</c:v>
                </c:pt>
                <c:pt idx="788">
                  <c:v>7.3462679332330083E-3</c:v>
                </c:pt>
                <c:pt idx="789">
                  <c:v>7.0560399312868949E-3</c:v>
                </c:pt>
                <c:pt idx="790">
                  <c:v>6.0752952446794239E-3</c:v>
                </c:pt>
                <c:pt idx="791">
                  <c:v>4.9687638325228711E-3</c:v>
                </c:pt>
                <c:pt idx="792">
                  <c:v>3.2104117615900929E-3</c:v>
                </c:pt>
                <c:pt idx="793">
                  <c:v>3.8563451682072092E-3</c:v>
                </c:pt>
                <c:pt idx="794">
                  <c:v>3.8927228766127975E-3</c:v>
                </c:pt>
                <c:pt idx="795">
                  <c:v>4.1844409246825087E-3</c:v>
                </c:pt>
                <c:pt idx="796">
                  <c:v>6.1667666660998322E-3</c:v>
                </c:pt>
                <c:pt idx="797">
                  <c:v>4.5139685751502956E-3</c:v>
                </c:pt>
                <c:pt idx="798">
                  <c:v>-8.0734718229769076E-4</c:v>
                </c:pt>
                <c:pt idx="799">
                  <c:v>-1.5614296976982356E-3</c:v>
                </c:pt>
                <c:pt idx="800">
                  <c:v>1.0986071533325426E-3</c:v>
                </c:pt>
                <c:pt idx="801">
                  <c:v>3.3494167137915198E-4</c:v>
                </c:pt>
                <c:pt idx="802">
                  <c:v>1.9391759913078843E-3</c:v>
                </c:pt>
                <c:pt idx="803">
                  <c:v>1.5151649546136792E-3</c:v>
                </c:pt>
                <c:pt idx="804">
                  <c:v>-3.393732294031393E-3</c:v>
                </c:pt>
                <c:pt idx="805">
                  <c:v>-6.4562248361248464E-3</c:v>
                </c:pt>
                <c:pt idx="806">
                  <c:v>-8.2059668711049749E-3</c:v>
                </c:pt>
                <c:pt idx="807">
                  <c:v>-5.8590909182479889E-3</c:v>
                </c:pt>
                <c:pt idx="808">
                  <c:v>-6.8535955923867409E-3</c:v>
                </c:pt>
                <c:pt idx="809">
                  <c:v>-5.6729258968020169E-3</c:v>
                </c:pt>
                <c:pt idx="810">
                  <c:v>-3.3828713451867776E-3</c:v>
                </c:pt>
                <c:pt idx="811">
                  <c:v>-1.0720666585262162E-3</c:v>
                </c:pt>
                <c:pt idx="812">
                  <c:v>-6.0314018391360857E-4</c:v>
                </c:pt>
                <c:pt idx="813">
                  <c:v>1.0637648766520513E-4</c:v>
                </c:pt>
                <c:pt idx="814">
                  <c:v>-3.9324722289202363E-4</c:v>
                </c:pt>
                <c:pt idx="815">
                  <c:v>-8.373951348347175E-4</c:v>
                </c:pt>
                <c:pt idx="816">
                  <c:v>-4.5128503162596978E-3</c:v>
                </c:pt>
                <c:pt idx="817">
                  <c:v>-5.0624873888214239E-3</c:v>
                </c:pt>
                <c:pt idx="818">
                  <c:v>-6.4630454283334249E-3</c:v>
                </c:pt>
                <c:pt idx="819">
                  <c:v>-6.440151365543989E-3</c:v>
                </c:pt>
                <c:pt idx="820">
                  <c:v>-6.0763368540520668E-3</c:v>
                </c:pt>
                <c:pt idx="821">
                  <c:v>-4.7399248653647863E-3</c:v>
                </c:pt>
                <c:pt idx="822">
                  <c:v>-3.6828825002405141E-3</c:v>
                </c:pt>
                <c:pt idx="823">
                  <c:v>-3.4768968565835889E-3</c:v>
                </c:pt>
                <c:pt idx="824">
                  <c:v>-3.1356876885416662E-3</c:v>
                </c:pt>
                <c:pt idx="825">
                  <c:v>-4.7475462367118082E-3</c:v>
                </c:pt>
                <c:pt idx="826">
                  <c:v>-2.8323142837614057E-3</c:v>
                </c:pt>
                <c:pt idx="827">
                  <c:v>-3.6011577061060285E-3</c:v>
                </c:pt>
                <c:pt idx="828">
                  <c:v>-3.5933028345346285E-3</c:v>
                </c:pt>
                <c:pt idx="829">
                  <c:v>-2.5869729177646628E-3</c:v>
                </c:pt>
                <c:pt idx="830">
                  <c:v>-3.1070994826958298E-3</c:v>
                </c:pt>
                <c:pt idx="831">
                  <c:v>-8.3465280162331457E-4</c:v>
                </c:pt>
                <c:pt idx="832">
                  <c:v>-2.6865201732733102E-3</c:v>
                </c:pt>
                <c:pt idx="833">
                  <c:v>-1.8825948312184426E-4</c:v>
                </c:pt>
                <c:pt idx="834">
                  <c:v>-1.8007401756671149E-3</c:v>
                </c:pt>
                <c:pt idx="835">
                  <c:v>-1.2747390019816063E-3</c:v>
                </c:pt>
                <c:pt idx="836">
                  <c:v>-5.4481984490262203E-4</c:v>
                </c:pt>
                <c:pt idx="837">
                  <c:v>-1.709475688658979E-3</c:v>
                </c:pt>
                <c:pt idx="838">
                  <c:v>1.3800867127722327E-4</c:v>
                </c:pt>
                <c:pt idx="839">
                  <c:v>6.1216597640867398E-4</c:v>
                </c:pt>
                <c:pt idx="840">
                  <c:v>3.3229057767591996E-4</c:v>
                </c:pt>
                <c:pt idx="841">
                  <c:v>-2.1276357128781065E-3</c:v>
                </c:pt>
                <c:pt idx="842">
                  <c:v>-5.6408516413605225E-3</c:v>
                </c:pt>
                <c:pt idx="843">
                  <c:v>-4.1681774559030327E-3</c:v>
                </c:pt>
                <c:pt idx="844">
                  <c:v>-6.7279702195675029E-3</c:v>
                </c:pt>
                <c:pt idx="845">
                  <c:v>-6.5365366086896914E-3</c:v>
                </c:pt>
                <c:pt idx="846">
                  <c:v>-6.7192123030487272E-3</c:v>
                </c:pt>
                <c:pt idx="847">
                  <c:v>-3.8090595341155886E-3</c:v>
                </c:pt>
                <c:pt idx="848">
                  <c:v>-3.0063180780728338E-3</c:v>
                </c:pt>
                <c:pt idx="849">
                  <c:v>-2.9401780378800479E-3</c:v>
                </c:pt>
                <c:pt idx="850">
                  <c:v>-2.2584038875806955E-3</c:v>
                </c:pt>
                <c:pt idx="851">
                  <c:v>-1.1874609256024016E-3</c:v>
                </c:pt>
                <c:pt idx="852">
                  <c:v>-4.5468877718046752E-4</c:v>
                </c:pt>
                <c:pt idx="853">
                  <c:v>1.2978465242174941E-3</c:v>
                </c:pt>
                <c:pt idx="854">
                  <c:v>2.5077627461491669E-3</c:v>
                </c:pt>
                <c:pt idx="855">
                  <c:v>3.6986693663860759E-3</c:v>
                </c:pt>
                <c:pt idx="856">
                  <c:v>3.1795829583383117E-3</c:v>
                </c:pt>
                <c:pt idx="857">
                  <c:v>5.5220241450364416E-3</c:v>
                </c:pt>
                <c:pt idx="858">
                  <c:v>5.5182565279126017E-3</c:v>
                </c:pt>
                <c:pt idx="859">
                  <c:v>3.429966708316412E-3</c:v>
                </c:pt>
                <c:pt idx="860">
                  <c:v>1.0304814895587544E-3</c:v>
                </c:pt>
                <c:pt idx="861">
                  <c:v>2.4656538045064735E-4</c:v>
                </c:pt>
                <c:pt idx="862">
                  <c:v>2.2761346434236884E-3</c:v>
                </c:pt>
                <c:pt idx="863">
                  <c:v>2.8821999377039997E-3</c:v>
                </c:pt>
                <c:pt idx="864">
                  <c:v>3.2361859593876829E-4</c:v>
                </c:pt>
                <c:pt idx="865">
                  <c:v>4.1501132215460146E-5</c:v>
                </c:pt>
                <c:pt idx="866">
                  <c:v>-1.159241845371306E-3</c:v>
                </c:pt>
                <c:pt idx="867">
                  <c:v>7.2463301363567822E-5</c:v>
                </c:pt>
                <c:pt idx="868">
                  <c:v>5.9456847097827392E-3</c:v>
                </c:pt>
                <c:pt idx="869">
                  <c:v>9.2669958839053379E-3</c:v>
                </c:pt>
                <c:pt idx="870">
                  <c:v>8.0742375424456281E-3</c:v>
                </c:pt>
                <c:pt idx="871">
                  <c:v>7.7109101719088358E-3</c:v>
                </c:pt>
                <c:pt idx="872">
                  <c:v>6.3364536119570047E-3</c:v>
                </c:pt>
                <c:pt idx="873">
                  <c:v>5.25587448034881E-3</c:v>
                </c:pt>
                <c:pt idx="874">
                  <c:v>1.8042461485354711E-3</c:v>
                </c:pt>
                <c:pt idx="875">
                  <c:v>-2.1512596932343753E-3</c:v>
                </c:pt>
                <c:pt idx="876">
                  <c:v>-2.0391369649123137E-3</c:v>
                </c:pt>
                <c:pt idx="877">
                  <c:v>-3.1183057673603853E-3</c:v>
                </c:pt>
                <c:pt idx="878">
                  <c:v>-4.0672942096455778E-3</c:v>
                </c:pt>
                <c:pt idx="879">
                  <c:v>-2.7840093513129549E-3</c:v>
                </c:pt>
                <c:pt idx="880">
                  <c:v>-1.1893149819108828E-3</c:v>
                </c:pt>
                <c:pt idx="881">
                  <c:v>-3.3197338257539011E-3</c:v>
                </c:pt>
                <c:pt idx="882">
                  <c:v>-2.3841375649390484E-3</c:v>
                </c:pt>
                <c:pt idx="883">
                  <c:v>-3.1085739668396117E-3</c:v>
                </c:pt>
                <c:pt idx="884">
                  <c:v>-4.1944011660050018E-3</c:v>
                </c:pt>
                <c:pt idx="885">
                  <c:v>-7.0482895875189078E-3</c:v>
                </c:pt>
                <c:pt idx="886">
                  <c:v>-9.7020005392893793E-3</c:v>
                </c:pt>
                <c:pt idx="887">
                  <c:v>-9.544660037073105E-3</c:v>
                </c:pt>
                <c:pt idx="888">
                  <c:v>-9.6213559324750397E-3</c:v>
                </c:pt>
                <c:pt idx="889">
                  <c:v>-1.1558698627226693E-2</c:v>
                </c:pt>
                <c:pt idx="890">
                  <c:v>-1.3765279556509524E-2</c:v>
                </c:pt>
                <c:pt idx="891">
                  <c:v>-1.4439456491242231E-2</c:v>
                </c:pt>
                <c:pt idx="892">
                  <c:v>-1.3828879196463251E-2</c:v>
                </c:pt>
                <c:pt idx="893">
                  <c:v>-1.4224960377076323E-2</c:v>
                </c:pt>
                <c:pt idx="894">
                  <c:v>-1.496216392919858E-2</c:v>
                </c:pt>
                <c:pt idx="895">
                  <c:v>-1.5865649470644949E-2</c:v>
                </c:pt>
                <c:pt idx="896">
                  <c:v>-1.4362163691007956E-2</c:v>
                </c:pt>
                <c:pt idx="897">
                  <c:v>-1.4716987920740165E-2</c:v>
                </c:pt>
                <c:pt idx="898">
                  <c:v>-1.3738467629380469E-2</c:v>
                </c:pt>
                <c:pt idx="899">
                  <c:v>-1.4839754483475742E-2</c:v>
                </c:pt>
                <c:pt idx="900">
                  <c:v>-1.2499208378125015E-2</c:v>
                </c:pt>
                <c:pt idx="901">
                  <c:v>-1.0028355402699751E-2</c:v>
                </c:pt>
                <c:pt idx="902">
                  <c:v>-9.9769709752456359E-3</c:v>
                </c:pt>
                <c:pt idx="903">
                  <c:v>-9.9349961552553934E-3</c:v>
                </c:pt>
                <c:pt idx="904">
                  <c:v>-8.5267607656673849E-3</c:v>
                </c:pt>
                <c:pt idx="905">
                  <c:v>-5.9698413233596481E-3</c:v>
                </c:pt>
                <c:pt idx="906">
                  <c:v>-3.2030001971695699E-3</c:v>
                </c:pt>
                <c:pt idx="907">
                  <c:v>-5.603471314912789E-3</c:v>
                </c:pt>
                <c:pt idx="908">
                  <c:v>-2.7928976917900306E-3</c:v>
                </c:pt>
                <c:pt idx="909">
                  <c:v>-2.7716072298801242E-3</c:v>
                </c:pt>
                <c:pt idx="910">
                  <c:v>-4.7564305967929821E-3</c:v>
                </c:pt>
                <c:pt idx="911">
                  <c:v>-5.7914825231016875E-3</c:v>
                </c:pt>
                <c:pt idx="912">
                  <c:v>-6.0174988722466738E-3</c:v>
                </c:pt>
                <c:pt idx="913">
                  <c:v>-6.3326273409195499E-3</c:v>
                </c:pt>
                <c:pt idx="914">
                  <c:v>-7.9867764080193693E-3</c:v>
                </c:pt>
                <c:pt idx="915">
                  <c:v>-7.7110208857201767E-3</c:v>
                </c:pt>
                <c:pt idx="916">
                  <c:v>-6.1362685620114377E-3</c:v>
                </c:pt>
                <c:pt idx="917">
                  <c:v>-7.1204661370044553E-3</c:v>
                </c:pt>
                <c:pt idx="918">
                  <c:v>-7.9488387921332615E-3</c:v>
                </c:pt>
                <c:pt idx="919">
                  <c:v>-6.8637379241612839E-3</c:v>
                </c:pt>
                <c:pt idx="920">
                  <c:v>-7.9990936235451171E-3</c:v>
                </c:pt>
                <c:pt idx="921">
                  <c:v>-1.0632291718914555E-2</c:v>
                </c:pt>
                <c:pt idx="922">
                  <c:v>-1.0359972632368875E-2</c:v>
                </c:pt>
                <c:pt idx="923">
                  <c:v>-8.4899542171714693E-3</c:v>
                </c:pt>
                <c:pt idx="924">
                  <c:v>-7.4209936703288903E-3</c:v>
                </c:pt>
                <c:pt idx="925">
                  <c:v>-5.495082172891852E-3</c:v>
                </c:pt>
                <c:pt idx="926">
                  <c:v>-2.3705269454464828E-3</c:v>
                </c:pt>
                <c:pt idx="927">
                  <c:v>-1.3403544295628178E-3</c:v>
                </c:pt>
                <c:pt idx="928">
                  <c:v>-2.7959980967875442E-3</c:v>
                </c:pt>
                <c:pt idx="929">
                  <c:v>-6.2007370778704995E-4</c:v>
                </c:pt>
                <c:pt idx="930">
                  <c:v>-5.1362330423743163E-4</c:v>
                </c:pt>
                <c:pt idx="931">
                  <c:v>-4.5688826485512646E-4</c:v>
                </c:pt>
                <c:pt idx="932">
                  <c:v>1.3261168094267362E-3</c:v>
                </c:pt>
                <c:pt idx="933">
                  <c:v>-2.2918580736741578E-4</c:v>
                </c:pt>
                <c:pt idx="934">
                  <c:v>1.2903854211401278E-3</c:v>
                </c:pt>
                <c:pt idx="935">
                  <c:v>-3.4507180751264244E-4</c:v>
                </c:pt>
                <c:pt idx="936">
                  <c:v>1.6580903373355493E-3</c:v>
                </c:pt>
                <c:pt idx="937">
                  <c:v>1.0317558682122474E-3</c:v>
                </c:pt>
                <c:pt idx="938">
                  <c:v>1.6947242148315222E-3</c:v>
                </c:pt>
                <c:pt idx="939">
                  <c:v>3.0932093255668924E-3</c:v>
                </c:pt>
                <c:pt idx="940">
                  <c:v>2.9186024367451324E-3</c:v>
                </c:pt>
                <c:pt idx="941">
                  <c:v>2.7185816991779355E-3</c:v>
                </c:pt>
                <c:pt idx="942">
                  <c:v>4.599431107084051E-3</c:v>
                </c:pt>
                <c:pt idx="943">
                  <c:v>5.7726112752347625E-3</c:v>
                </c:pt>
                <c:pt idx="944">
                  <c:v>5.7370859210332803E-3</c:v>
                </c:pt>
                <c:pt idx="945">
                  <c:v>7.303920361388716E-3</c:v>
                </c:pt>
                <c:pt idx="946">
                  <c:v>8.2159425243610862E-3</c:v>
                </c:pt>
                <c:pt idx="947">
                  <c:v>8.5600999007933165E-3</c:v>
                </c:pt>
                <c:pt idx="948">
                  <c:v>8.0635750979229925E-3</c:v>
                </c:pt>
                <c:pt idx="949">
                  <c:v>8.6554836374683752E-3</c:v>
                </c:pt>
                <c:pt idx="950">
                  <c:v>1.3114252676943661E-2</c:v>
                </c:pt>
                <c:pt idx="951">
                  <c:v>1.0817864702081126E-2</c:v>
                </c:pt>
                <c:pt idx="952">
                  <c:v>8.6265904821083428E-3</c:v>
                </c:pt>
                <c:pt idx="953">
                  <c:v>1.0021806106926601E-2</c:v>
                </c:pt>
                <c:pt idx="954">
                  <c:v>1.0981485229721422E-2</c:v>
                </c:pt>
                <c:pt idx="955">
                  <c:v>1.3079965431345597E-2</c:v>
                </c:pt>
                <c:pt idx="956">
                  <c:v>1.3507712071811229E-2</c:v>
                </c:pt>
                <c:pt idx="957">
                  <c:v>1.5024049705164355E-2</c:v>
                </c:pt>
                <c:pt idx="958">
                  <c:v>1.6279386615097202E-2</c:v>
                </c:pt>
                <c:pt idx="959">
                  <c:v>1.6834871746506108E-2</c:v>
                </c:pt>
                <c:pt idx="960">
                  <c:v>1.7041066670135052E-2</c:v>
                </c:pt>
                <c:pt idx="961">
                  <c:v>1.4781005460560825E-2</c:v>
                </c:pt>
                <c:pt idx="962">
                  <c:v>1.4223003986674421E-2</c:v>
                </c:pt>
                <c:pt idx="963">
                  <c:v>1.5150149894185283E-2</c:v>
                </c:pt>
                <c:pt idx="964">
                  <c:v>1.6514632093108883E-2</c:v>
                </c:pt>
                <c:pt idx="965">
                  <c:v>1.5932266478743129E-2</c:v>
                </c:pt>
                <c:pt idx="966">
                  <c:v>1.8456534237900168E-2</c:v>
                </c:pt>
                <c:pt idx="967">
                  <c:v>1.7949547546033839E-2</c:v>
                </c:pt>
                <c:pt idx="968">
                  <c:v>1.6662020119213361E-2</c:v>
                </c:pt>
                <c:pt idx="969">
                  <c:v>1.5126693783078515E-2</c:v>
                </c:pt>
                <c:pt idx="970">
                  <c:v>1.5364058759652854E-2</c:v>
                </c:pt>
                <c:pt idx="971">
                  <c:v>1.885556367445651E-2</c:v>
                </c:pt>
                <c:pt idx="972">
                  <c:v>1.6795430285429402E-2</c:v>
                </c:pt>
                <c:pt idx="973">
                  <c:v>1.6614827434978663E-2</c:v>
                </c:pt>
                <c:pt idx="974">
                  <c:v>1.7077793491347748E-2</c:v>
                </c:pt>
                <c:pt idx="975">
                  <c:v>1.6604804441956889E-2</c:v>
                </c:pt>
                <c:pt idx="976">
                  <c:v>1.8364836654762628E-2</c:v>
                </c:pt>
                <c:pt idx="977">
                  <c:v>1.8682466038591583E-2</c:v>
                </c:pt>
                <c:pt idx="978">
                  <c:v>1.9428192420899437E-2</c:v>
                </c:pt>
                <c:pt idx="979">
                  <c:v>1.7803457175910475E-2</c:v>
                </c:pt>
                <c:pt idx="980">
                  <c:v>1.8619908596631207E-2</c:v>
                </c:pt>
                <c:pt idx="981">
                  <c:v>2.050818239207497E-2</c:v>
                </c:pt>
                <c:pt idx="982">
                  <c:v>2.0996843831417866E-2</c:v>
                </c:pt>
                <c:pt idx="983">
                  <c:v>2.0542130648711687E-2</c:v>
                </c:pt>
                <c:pt idx="984">
                  <c:v>2.1912242489435352E-2</c:v>
                </c:pt>
                <c:pt idx="985">
                  <c:v>2.3353076782061111E-2</c:v>
                </c:pt>
                <c:pt idx="986">
                  <c:v>2.1991113374622673E-2</c:v>
                </c:pt>
                <c:pt idx="987">
                  <c:v>2.2624218008191699E-2</c:v>
                </c:pt>
                <c:pt idx="988">
                  <c:v>2.2477620583596147E-2</c:v>
                </c:pt>
                <c:pt idx="989">
                  <c:v>2.1203313730437712E-2</c:v>
                </c:pt>
                <c:pt idx="990">
                  <c:v>1.8257763024029927E-2</c:v>
                </c:pt>
                <c:pt idx="991">
                  <c:v>1.743547323932737E-2</c:v>
                </c:pt>
                <c:pt idx="992">
                  <c:v>1.7271478143600971E-2</c:v>
                </c:pt>
                <c:pt idx="993">
                  <c:v>1.6476618513608932E-2</c:v>
                </c:pt>
                <c:pt idx="994">
                  <c:v>1.6497997451925261E-2</c:v>
                </c:pt>
                <c:pt idx="995">
                  <c:v>1.8232737737816418E-2</c:v>
                </c:pt>
                <c:pt idx="996">
                  <c:v>2.1095257840089809E-2</c:v>
                </c:pt>
                <c:pt idx="997">
                  <c:v>2.1055743124357873E-2</c:v>
                </c:pt>
                <c:pt idx="998">
                  <c:v>2.0300795703722452E-2</c:v>
                </c:pt>
                <c:pt idx="999">
                  <c:v>2.1069118246397789E-2</c:v>
                </c:pt>
                <c:pt idx="1000">
                  <c:v>1.9924846183097644E-2</c:v>
                </c:pt>
                <c:pt idx="1001">
                  <c:v>2.0338488403504051E-2</c:v>
                </c:pt>
                <c:pt idx="1002">
                  <c:v>2.0343676031490121E-2</c:v>
                </c:pt>
                <c:pt idx="1003">
                  <c:v>2.1808655730803039E-2</c:v>
                </c:pt>
                <c:pt idx="1004">
                  <c:v>2.0075697358300504E-2</c:v>
                </c:pt>
                <c:pt idx="1005">
                  <c:v>2.0639656280115659E-2</c:v>
                </c:pt>
                <c:pt idx="1006">
                  <c:v>2.2687642685476073E-2</c:v>
                </c:pt>
                <c:pt idx="1007">
                  <c:v>2.4649583556096699E-2</c:v>
                </c:pt>
                <c:pt idx="1008">
                  <c:v>2.2519652263012224E-2</c:v>
                </c:pt>
                <c:pt idx="1009">
                  <c:v>2.4165323970532837E-2</c:v>
                </c:pt>
                <c:pt idx="1010">
                  <c:v>2.7740631666012705E-2</c:v>
                </c:pt>
                <c:pt idx="1011">
                  <c:v>2.4778429584287665E-2</c:v>
                </c:pt>
                <c:pt idx="1012">
                  <c:v>2.5260107086896744E-2</c:v>
                </c:pt>
                <c:pt idx="1013">
                  <c:v>2.2820217501694051E-2</c:v>
                </c:pt>
                <c:pt idx="1014">
                  <c:v>2.1342403345585348E-2</c:v>
                </c:pt>
                <c:pt idx="1015">
                  <c:v>2.0801286603283398E-2</c:v>
                </c:pt>
                <c:pt idx="1016">
                  <c:v>2.4650892662328561E-2</c:v>
                </c:pt>
                <c:pt idx="1017">
                  <c:v>2.6074718885701342E-2</c:v>
                </c:pt>
                <c:pt idx="1018">
                  <c:v>2.7541244326982905E-2</c:v>
                </c:pt>
                <c:pt idx="1019">
                  <c:v>2.6912085207887237E-2</c:v>
                </c:pt>
                <c:pt idx="1020">
                  <c:v>2.8026807797494113E-2</c:v>
                </c:pt>
                <c:pt idx="1021">
                  <c:v>2.6777961345521684E-2</c:v>
                </c:pt>
                <c:pt idx="1022">
                  <c:v>2.2253899104505592E-2</c:v>
                </c:pt>
                <c:pt idx="1023">
                  <c:v>2.0712779643914159E-2</c:v>
                </c:pt>
                <c:pt idx="1024">
                  <c:v>1.9943106475934558E-2</c:v>
                </c:pt>
                <c:pt idx="1025">
                  <c:v>1.9424144875812344E-2</c:v>
                </c:pt>
                <c:pt idx="1026">
                  <c:v>2.2441593207992883E-2</c:v>
                </c:pt>
                <c:pt idx="1027">
                  <c:v>2.0855124059200314E-2</c:v>
                </c:pt>
                <c:pt idx="1028">
                  <c:v>2.2782076688810493E-2</c:v>
                </c:pt>
                <c:pt idx="1029">
                  <c:v>2.1185003188925577E-2</c:v>
                </c:pt>
                <c:pt idx="1030">
                  <c:v>1.9702652070459292E-2</c:v>
                </c:pt>
                <c:pt idx="1031">
                  <c:v>1.9462897695178061E-2</c:v>
                </c:pt>
                <c:pt idx="1032">
                  <c:v>1.9978133742373672E-2</c:v>
                </c:pt>
                <c:pt idx="1033">
                  <c:v>1.945906511839568E-2</c:v>
                </c:pt>
                <c:pt idx="1034">
                  <c:v>1.9103316940129789E-2</c:v>
                </c:pt>
                <c:pt idx="1035">
                  <c:v>1.7052421051880096E-2</c:v>
                </c:pt>
                <c:pt idx="1036">
                  <c:v>2.033101172670948E-2</c:v>
                </c:pt>
                <c:pt idx="1037">
                  <c:v>2.0834956860562359E-2</c:v>
                </c:pt>
                <c:pt idx="1038">
                  <c:v>1.9259947680295708E-2</c:v>
                </c:pt>
                <c:pt idx="1039">
                  <c:v>1.9108589146054289E-2</c:v>
                </c:pt>
                <c:pt idx="1040">
                  <c:v>1.8791094347896165E-2</c:v>
                </c:pt>
                <c:pt idx="1041">
                  <c:v>1.887236019664984E-2</c:v>
                </c:pt>
                <c:pt idx="1042">
                  <c:v>2.0209033491196182E-2</c:v>
                </c:pt>
                <c:pt idx="1043">
                  <c:v>2.1143480084923505E-2</c:v>
                </c:pt>
                <c:pt idx="1044">
                  <c:v>2.0913647795546719E-2</c:v>
                </c:pt>
                <c:pt idx="1045">
                  <c:v>1.8731171974103011E-2</c:v>
                </c:pt>
                <c:pt idx="1046">
                  <c:v>1.8453163198236311E-2</c:v>
                </c:pt>
                <c:pt idx="1047">
                  <c:v>1.8617222685455515E-2</c:v>
                </c:pt>
                <c:pt idx="1048">
                  <c:v>1.8919034600943352E-2</c:v>
                </c:pt>
                <c:pt idx="1049">
                  <c:v>2.0112888037767673E-2</c:v>
                </c:pt>
                <c:pt idx="1050">
                  <c:v>2.1971804609722589E-2</c:v>
                </c:pt>
                <c:pt idx="1051">
                  <c:v>2.2471233302317151E-2</c:v>
                </c:pt>
                <c:pt idx="1052">
                  <c:v>2.1471770600233642E-2</c:v>
                </c:pt>
                <c:pt idx="1053">
                  <c:v>2.2890532012534326E-2</c:v>
                </c:pt>
                <c:pt idx="1054">
                  <c:v>2.6271431915847687E-2</c:v>
                </c:pt>
                <c:pt idx="1055">
                  <c:v>2.8356040396341653E-2</c:v>
                </c:pt>
                <c:pt idx="1056">
                  <c:v>3.0413486639218279E-2</c:v>
                </c:pt>
                <c:pt idx="1057">
                  <c:v>3.0519657969145353E-2</c:v>
                </c:pt>
                <c:pt idx="1058">
                  <c:v>3.3746731789016771E-2</c:v>
                </c:pt>
                <c:pt idx="1059">
                  <c:v>2.8458660920590351E-2</c:v>
                </c:pt>
                <c:pt idx="1060">
                  <c:v>2.5654447374805933E-2</c:v>
                </c:pt>
                <c:pt idx="1061">
                  <c:v>2.5153514386434761E-2</c:v>
                </c:pt>
                <c:pt idx="1062">
                  <c:v>2.6022776429948546E-2</c:v>
                </c:pt>
                <c:pt idx="1063">
                  <c:v>2.830276404184473E-2</c:v>
                </c:pt>
                <c:pt idx="1064">
                  <c:v>2.7920615308215879E-2</c:v>
                </c:pt>
                <c:pt idx="1065">
                  <c:v>3.5119568930161549E-2</c:v>
                </c:pt>
                <c:pt idx="1066">
                  <c:v>3.283480628102331E-2</c:v>
                </c:pt>
                <c:pt idx="1067">
                  <c:v>3.3627701365976703E-2</c:v>
                </c:pt>
                <c:pt idx="1068">
                  <c:v>3.2041180961676075E-2</c:v>
                </c:pt>
                <c:pt idx="1069">
                  <c:v>3.3616715077222858E-2</c:v>
                </c:pt>
                <c:pt idx="1070">
                  <c:v>3.2228602276418661E-2</c:v>
                </c:pt>
                <c:pt idx="1071">
                  <c:v>2.8278872709479819E-2</c:v>
                </c:pt>
                <c:pt idx="1072">
                  <c:v>2.9356042813570626E-2</c:v>
                </c:pt>
                <c:pt idx="1073">
                  <c:v>3.0052377985592127E-2</c:v>
                </c:pt>
                <c:pt idx="1074">
                  <c:v>2.978954038114745E-2</c:v>
                </c:pt>
                <c:pt idx="1075">
                  <c:v>3.2169822925391944E-2</c:v>
                </c:pt>
                <c:pt idx="1076">
                  <c:v>3.7380895641337064E-2</c:v>
                </c:pt>
                <c:pt idx="1077">
                  <c:v>4.0258912448689843E-2</c:v>
                </c:pt>
                <c:pt idx="1078">
                  <c:v>3.5598953517060883E-2</c:v>
                </c:pt>
                <c:pt idx="1079">
                  <c:v>3.8155275121492416E-2</c:v>
                </c:pt>
                <c:pt idx="1080">
                  <c:v>3.559472903804628E-2</c:v>
                </c:pt>
                <c:pt idx="1081">
                  <c:v>3.3335094258405862E-2</c:v>
                </c:pt>
                <c:pt idx="1082">
                  <c:v>3.0592267424118136E-2</c:v>
                </c:pt>
                <c:pt idx="1083">
                  <c:v>2.798587688559695E-2</c:v>
                </c:pt>
                <c:pt idx="1084">
                  <c:v>2.9495367900995717E-2</c:v>
                </c:pt>
                <c:pt idx="1085">
                  <c:v>3.097535770817017E-2</c:v>
                </c:pt>
                <c:pt idx="1086">
                  <c:v>3.6376099453033328E-2</c:v>
                </c:pt>
                <c:pt idx="1087">
                  <c:v>3.8261104572257842E-2</c:v>
                </c:pt>
                <c:pt idx="1088">
                  <c:v>3.8772863344983755E-2</c:v>
                </c:pt>
                <c:pt idx="1089">
                  <c:v>4.0285284973158531E-2</c:v>
                </c:pt>
                <c:pt idx="1090">
                  <c:v>3.8021041469039618E-2</c:v>
                </c:pt>
                <c:pt idx="1091">
                  <c:v>4.2612399068785223E-2</c:v>
                </c:pt>
                <c:pt idx="1092">
                  <c:v>3.8349191625322687E-2</c:v>
                </c:pt>
                <c:pt idx="1093">
                  <c:v>3.9785416078786051E-2</c:v>
                </c:pt>
                <c:pt idx="1094">
                  <c:v>3.9011823750968455E-2</c:v>
                </c:pt>
                <c:pt idx="1095">
                  <c:v>3.9197561092669808E-2</c:v>
                </c:pt>
                <c:pt idx="1096">
                  <c:v>4.2108787342312493E-2</c:v>
                </c:pt>
                <c:pt idx="1097">
                  <c:v>4.3243435173866196E-2</c:v>
                </c:pt>
                <c:pt idx="1098">
                  <c:v>4.5003745143017859E-2</c:v>
                </c:pt>
                <c:pt idx="1099">
                  <c:v>4.5781948377132231E-2</c:v>
                </c:pt>
                <c:pt idx="1100">
                  <c:v>4.5813287099454758E-2</c:v>
                </c:pt>
                <c:pt idx="1101">
                  <c:v>5.0938616600882947E-2</c:v>
                </c:pt>
                <c:pt idx="1102">
                  <c:v>4.8541830220592441E-2</c:v>
                </c:pt>
                <c:pt idx="1103">
                  <c:v>4.591133443016604E-2</c:v>
                </c:pt>
                <c:pt idx="1104">
                  <c:v>4.7336989744997338E-2</c:v>
                </c:pt>
                <c:pt idx="1105">
                  <c:v>4.9623027441980883E-2</c:v>
                </c:pt>
                <c:pt idx="1106">
                  <c:v>5.2286093055579963E-2</c:v>
                </c:pt>
                <c:pt idx="1107">
                  <c:v>5.7584538506669114E-2</c:v>
                </c:pt>
                <c:pt idx="1108">
                  <c:v>5.4467989475693646E-2</c:v>
                </c:pt>
                <c:pt idx="1109">
                  <c:v>5.239004217858878E-2</c:v>
                </c:pt>
                <c:pt idx="1110">
                  <c:v>5.5977864823210988E-2</c:v>
                </c:pt>
                <c:pt idx="1111">
                  <c:v>5.4473932712151729E-2</c:v>
                </c:pt>
                <c:pt idx="1112">
                  <c:v>5.0885213050518407E-2</c:v>
                </c:pt>
                <c:pt idx="1113">
                  <c:v>5.1212588244481383E-2</c:v>
                </c:pt>
                <c:pt idx="1114">
                  <c:v>5.4950520034630079E-2</c:v>
                </c:pt>
                <c:pt idx="1115">
                  <c:v>5.6551121115860248E-2</c:v>
                </c:pt>
                <c:pt idx="1116">
                  <c:v>5.5842373761323394E-2</c:v>
                </c:pt>
                <c:pt idx="1117">
                  <c:v>5.3578817916095867E-2</c:v>
                </c:pt>
                <c:pt idx="1118">
                  <c:v>5.1550824138116402E-2</c:v>
                </c:pt>
                <c:pt idx="1119">
                  <c:v>5.2361926600192232E-2</c:v>
                </c:pt>
                <c:pt idx="1120">
                  <c:v>4.8189097894475674E-2</c:v>
                </c:pt>
                <c:pt idx="1121">
                  <c:v>4.0191021467592236E-2</c:v>
                </c:pt>
                <c:pt idx="1122">
                  <c:v>4.0074687434314971E-2</c:v>
                </c:pt>
                <c:pt idx="1123">
                  <c:v>3.7742756857223725E-2</c:v>
                </c:pt>
                <c:pt idx="1124">
                  <c:v>3.4289387654944825E-2</c:v>
                </c:pt>
                <c:pt idx="1125">
                  <c:v>3.6019750175874332E-2</c:v>
                </c:pt>
                <c:pt idx="1126">
                  <c:v>3.6090066774437712E-2</c:v>
                </c:pt>
                <c:pt idx="1127">
                  <c:v>2.8047564144271231E-2</c:v>
                </c:pt>
                <c:pt idx="1128">
                  <c:v>3.1438510766621075E-2</c:v>
                </c:pt>
                <c:pt idx="1129">
                  <c:v>2.2505647250022243E-2</c:v>
                </c:pt>
                <c:pt idx="1130">
                  <c:v>2.7318303480691863E-2</c:v>
                </c:pt>
                <c:pt idx="1131">
                  <c:v>2.4129147250672389E-2</c:v>
                </c:pt>
                <c:pt idx="1132">
                  <c:v>2.7247219718151028E-2</c:v>
                </c:pt>
                <c:pt idx="1133">
                  <c:v>3.0585997210769378E-2</c:v>
                </c:pt>
                <c:pt idx="1134">
                  <c:v>3.0227314880975742E-2</c:v>
                </c:pt>
                <c:pt idx="1135">
                  <c:v>3.01223402697397E-2</c:v>
                </c:pt>
                <c:pt idx="1136">
                  <c:v>2.9745978628740843E-2</c:v>
                </c:pt>
                <c:pt idx="1137">
                  <c:v>2.8349994529008438E-2</c:v>
                </c:pt>
                <c:pt idx="1138">
                  <c:v>2.5086102966122459E-2</c:v>
                </c:pt>
                <c:pt idx="1139">
                  <c:v>2.3446890375742546E-2</c:v>
                </c:pt>
                <c:pt idx="1140">
                  <c:v>1.6753690101170671E-2</c:v>
                </c:pt>
                <c:pt idx="1141">
                  <c:v>1.8868663084536275E-2</c:v>
                </c:pt>
                <c:pt idx="1142">
                  <c:v>2.2017213856263096E-2</c:v>
                </c:pt>
                <c:pt idx="1143">
                  <c:v>2.0947867405926246E-2</c:v>
                </c:pt>
                <c:pt idx="1144">
                  <c:v>2.3345475465195165E-2</c:v>
                </c:pt>
                <c:pt idx="1145">
                  <c:v>2.2873809673483514E-2</c:v>
                </c:pt>
                <c:pt idx="1146">
                  <c:v>2.1085503687742202E-2</c:v>
                </c:pt>
                <c:pt idx="1147">
                  <c:v>2.1317155866942716E-2</c:v>
                </c:pt>
                <c:pt idx="1148">
                  <c:v>1.9006090651021212E-2</c:v>
                </c:pt>
                <c:pt idx="1149">
                  <c:v>1.5479999212656859E-2</c:v>
                </c:pt>
                <c:pt idx="1150">
                  <c:v>1.2649143131700846E-2</c:v>
                </c:pt>
                <c:pt idx="1151">
                  <c:v>1.1845480609627534E-2</c:v>
                </c:pt>
                <c:pt idx="1152">
                  <c:v>1.0570436951377715E-2</c:v>
                </c:pt>
                <c:pt idx="1153">
                  <c:v>7.3675622157656218E-3</c:v>
                </c:pt>
                <c:pt idx="1154">
                  <c:v>9.005666258077305E-3</c:v>
                </c:pt>
                <c:pt idx="1155">
                  <c:v>7.4390792265881522E-3</c:v>
                </c:pt>
                <c:pt idx="1156">
                  <c:v>8.9755664717172667E-3</c:v>
                </c:pt>
                <c:pt idx="1157">
                  <c:v>6.567003279930983E-3</c:v>
                </c:pt>
                <c:pt idx="1158">
                  <c:v>2.9228665871365855E-3</c:v>
                </c:pt>
                <c:pt idx="1159">
                  <c:v>4.1456991140871313E-3</c:v>
                </c:pt>
                <c:pt idx="1160">
                  <c:v>1.2334043645441106E-3</c:v>
                </c:pt>
                <c:pt idx="1161">
                  <c:v>3.2950716051598494E-3</c:v>
                </c:pt>
                <c:pt idx="1162">
                  <c:v>-6.0552234888933132E-4</c:v>
                </c:pt>
                <c:pt idx="1163">
                  <c:v>-2.923512063263134E-3</c:v>
                </c:pt>
                <c:pt idx="1164">
                  <c:v>-5.5014906231869443E-3</c:v>
                </c:pt>
                <c:pt idx="1165">
                  <c:v>-9.8566238506133663E-3</c:v>
                </c:pt>
                <c:pt idx="1166">
                  <c:v>-1.1036570238789123E-2</c:v>
                </c:pt>
                <c:pt idx="1167">
                  <c:v>-8.541271125222849E-3</c:v>
                </c:pt>
                <c:pt idx="1168">
                  <c:v>-1.1839588208952256E-2</c:v>
                </c:pt>
                <c:pt idx="1169">
                  <c:v>-1.4102372724768109E-2</c:v>
                </c:pt>
                <c:pt idx="1170">
                  <c:v>-1.543940268466315E-2</c:v>
                </c:pt>
                <c:pt idx="1171">
                  <c:v>-2.028202734190776E-2</c:v>
                </c:pt>
                <c:pt idx="1172">
                  <c:v>-1.7805415849323825E-2</c:v>
                </c:pt>
                <c:pt idx="1173">
                  <c:v>-1.4361220119319396E-2</c:v>
                </c:pt>
                <c:pt idx="1174">
                  <c:v>-1.7455979227063878E-2</c:v>
                </c:pt>
                <c:pt idx="1175">
                  <c:v>-1.6065898125897538E-2</c:v>
                </c:pt>
                <c:pt idx="1176">
                  <c:v>-1.4674731945930497E-2</c:v>
                </c:pt>
                <c:pt idx="1177">
                  <c:v>-1.4566616009603295E-2</c:v>
                </c:pt>
                <c:pt idx="1178">
                  <c:v>-1.8669422311819783E-2</c:v>
                </c:pt>
                <c:pt idx="1179">
                  <c:v>-2.0733920857397781E-2</c:v>
                </c:pt>
                <c:pt idx="1180">
                  <c:v>-2.0210907926453969E-2</c:v>
                </c:pt>
                <c:pt idx="1181">
                  <c:v>-2.0247515767336299E-2</c:v>
                </c:pt>
                <c:pt idx="1182">
                  <c:v>-1.978541987623772E-2</c:v>
                </c:pt>
                <c:pt idx="1183">
                  <c:v>-2.7012463170992262E-2</c:v>
                </c:pt>
                <c:pt idx="1184">
                  <c:v>-2.013505985398234E-2</c:v>
                </c:pt>
                <c:pt idx="1185">
                  <c:v>-1.5262695973016327E-2</c:v>
                </c:pt>
                <c:pt idx="1186">
                  <c:v>-2.0896794969191834E-2</c:v>
                </c:pt>
                <c:pt idx="1187">
                  <c:v>-1.6267242903185375E-2</c:v>
                </c:pt>
                <c:pt idx="1188">
                  <c:v>-1.2737607221900649E-2</c:v>
                </c:pt>
                <c:pt idx="1189">
                  <c:v>-1.3831467924612317E-2</c:v>
                </c:pt>
                <c:pt idx="1190">
                  <c:v>-1.2897109602083456E-2</c:v>
                </c:pt>
                <c:pt idx="1191">
                  <c:v>-1.0105930758310122E-2</c:v>
                </c:pt>
                <c:pt idx="1192">
                  <c:v>-1.0146083680098394E-2</c:v>
                </c:pt>
                <c:pt idx="1193">
                  <c:v>-9.4937085801833909E-3</c:v>
                </c:pt>
                <c:pt idx="1194">
                  <c:v>-1.1145425794908626E-2</c:v>
                </c:pt>
                <c:pt idx="1195">
                  <c:v>-1.3125357938984505E-2</c:v>
                </c:pt>
                <c:pt idx="1196">
                  <c:v>-1.4908408006536367E-2</c:v>
                </c:pt>
                <c:pt idx="1197">
                  <c:v>-1.936766995185768E-2</c:v>
                </c:pt>
                <c:pt idx="1198">
                  <c:v>-2.09463313207362E-2</c:v>
                </c:pt>
                <c:pt idx="1199">
                  <c:v>-2.0022007481066528E-2</c:v>
                </c:pt>
                <c:pt idx="1200">
                  <c:v>-1.8951425132841759E-2</c:v>
                </c:pt>
                <c:pt idx="1201">
                  <c:v>-2.2273387759113361E-2</c:v>
                </c:pt>
                <c:pt idx="1202">
                  <c:v>-2.2439890709373356E-2</c:v>
                </c:pt>
                <c:pt idx="1203">
                  <c:v>-1.9573485872629748E-2</c:v>
                </c:pt>
                <c:pt idx="1204">
                  <c:v>-1.4196806329708767E-2</c:v>
                </c:pt>
                <c:pt idx="1205">
                  <c:v>-1.6594976623775737E-2</c:v>
                </c:pt>
                <c:pt idx="1206">
                  <c:v>-1.7297417910965951E-2</c:v>
                </c:pt>
                <c:pt idx="1207">
                  <c:v>-1.7646491131088959E-2</c:v>
                </c:pt>
                <c:pt idx="1208">
                  <c:v>-2.0461170463460299E-2</c:v>
                </c:pt>
                <c:pt idx="1209">
                  <c:v>-1.7155091475063333E-2</c:v>
                </c:pt>
                <c:pt idx="1210">
                  <c:v>-1.5687774800960952E-2</c:v>
                </c:pt>
                <c:pt idx="1211">
                  <c:v>-1.3338307785277892E-2</c:v>
                </c:pt>
                <c:pt idx="1212">
                  <c:v>-1.2914818287617646E-2</c:v>
                </c:pt>
                <c:pt idx="1213">
                  <c:v>-1.0753754345915967E-2</c:v>
                </c:pt>
                <c:pt idx="1214">
                  <c:v>-9.9441970114069189E-3</c:v>
                </c:pt>
                <c:pt idx="1215">
                  <c:v>-9.7740660651703948E-3</c:v>
                </c:pt>
                <c:pt idx="1216">
                  <c:v>-6.7097259672664888E-3</c:v>
                </c:pt>
                <c:pt idx="1217">
                  <c:v>-3.5054454921190636E-3</c:v>
                </c:pt>
                <c:pt idx="1218">
                  <c:v>-2.746615823598364E-3</c:v>
                </c:pt>
                <c:pt idx="1219">
                  <c:v>-2.8588730215903801E-3</c:v>
                </c:pt>
                <c:pt idx="1220">
                  <c:v>1.6027354942376171E-3</c:v>
                </c:pt>
                <c:pt idx="1221">
                  <c:v>2.3342978976381712E-3</c:v>
                </c:pt>
                <c:pt idx="1222">
                  <c:v>6.786043626117344E-3</c:v>
                </c:pt>
                <c:pt idx="1223">
                  <c:v>7.3986186203929272E-3</c:v>
                </c:pt>
                <c:pt idx="1224">
                  <c:v>9.429118185037888E-3</c:v>
                </c:pt>
                <c:pt idx="1225">
                  <c:v>5.0918918918918532E-3</c:v>
                </c:pt>
                <c:pt idx="1226">
                  <c:v>6.1313599224821491E-3</c:v>
                </c:pt>
                <c:pt idx="1227">
                  <c:v>5.3191946961408387E-3</c:v>
                </c:pt>
                <c:pt idx="1228">
                  <c:v>5.8808992466339305E-3</c:v>
                </c:pt>
                <c:pt idx="1229">
                  <c:v>7.2901394659785623E-3</c:v>
                </c:pt>
                <c:pt idx="1230">
                  <c:v>1.3611093769157145E-2</c:v>
                </c:pt>
                <c:pt idx="1231">
                  <c:v>1.2496671115210134E-2</c:v>
                </c:pt>
                <c:pt idx="1232">
                  <c:v>1.4409300065358011E-2</c:v>
                </c:pt>
                <c:pt idx="1233">
                  <c:v>1.553458247772932E-2</c:v>
                </c:pt>
                <c:pt idx="1234">
                  <c:v>1.3694692019747379E-2</c:v>
                </c:pt>
                <c:pt idx="1235">
                  <c:v>1.3235280312858588E-2</c:v>
                </c:pt>
                <c:pt idx="1236">
                  <c:v>1.2871698593449832E-2</c:v>
                </c:pt>
                <c:pt idx="1237">
                  <c:v>1.3306605044501651E-2</c:v>
                </c:pt>
                <c:pt idx="1238">
                  <c:v>1.5558432714827708E-2</c:v>
                </c:pt>
                <c:pt idx="1239">
                  <c:v>1.5593656291279734E-2</c:v>
                </c:pt>
                <c:pt idx="1240">
                  <c:v>1.7796215749816158E-2</c:v>
                </c:pt>
                <c:pt idx="1241">
                  <c:v>1.6756539434630513E-2</c:v>
                </c:pt>
                <c:pt idx="1242">
                  <c:v>1.4854871371784206E-2</c:v>
                </c:pt>
                <c:pt idx="1243">
                  <c:v>1.3374814337543173E-2</c:v>
                </c:pt>
                <c:pt idx="1244">
                  <c:v>1.5191630735279071E-2</c:v>
                </c:pt>
                <c:pt idx="1245">
                  <c:v>1.6116058420711621E-2</c:v>
                </c:pt>
                <c:pt idx="1246">
                  <c:v>1.9161122299664823E-2</c:v>
                </c:pt>
                <c:pt idx="1247">
                  <c:v>2.5306572394893312E-2</c:v>
                </c:pt>
                <c:pt idx="1248">
                  <c:v>2.0259856640912233E-2</c:v>
                </c:pt>
                <c:pt idx="1249">
                  <c:v>2.2793864022862875E-2</c:v>
                </c:pt>
                <c:pt idx="1250">
                  <c:v>2.2817019391716764E-2</c:v>
                </c:pt>
                <c:pt idx="1251">
                  <c:v>2.0739241139590137E-2</c:v>
                </c:pt>
                <c:pt idx="1252">
                  <c:v>2.0735554271892109E-2</c:v>
                </c:pt>
                <c:pt idx="1253">
                  <c:v>7.9795755357698894E-3</c:v>
                </c:pt>
                <c:pt idx="1254">
                  <c:v>-2.2147724836576455E-3</c:v>
                </c:pt>
                <c:pt idx="1255">
                  <c:v>-1.2163268840848396E-2</c:v>
                </c:pt>
                <c:pt idx="1256">
                  <c:v>-2.0134384454305376E-2</c:v>
                </c:pt>
                <c:pt idx="1257">
                  <c:v>-3.1210693980595949E-2</c:v>
                </c:pt>
                <c:pt idx="1258">
                  <c:v>-2.8747061742631641E-2</c:v>
                </c:pt>
                <c:pt idx="1259">
                  <c:v>-1.7212375026249838E-2</c:v>
                </c:pt>
                <c:pt idx="1260">
                  <c:v>-1.6521158478314035E-2</c:v>
                </c:pt>
                <c:pt idx="1261">
                  <c:v>-2.2025373187730235E-2</c:v>
                </c:pt>
                <c:pt idx="1262">
                  <c:v>-2.4329484663034529E-2</c:v>
                </c:pt>
                <c:pt idx="1263">
                  <c:v>-1.4340150726446232E-2</c:v>
                </c:pt>
                <c:pt idx="1264">
                  <c:v>-1.0679423805730837E-2</c:v>
                </c:pt>
                <c:pt idx="1265">
                  <c:v>-6.2005081627994896E-3</c:v>
                </c:pt>
                <c:pt idx="1266">
                  <c:v>-1.1262689276432591E-2</c:v>
                </c:pt>
                <c:pt idx="1267">
                  <c:v>-1.3593294598049033E-2</c:v>
                </c:pt>
                <c:pt idx="1268">
                  <c:v>-1.7627545815951828E-2</c:v>
                </c:pt>
                <c:pt idx="1269">
                  <c:v>-1.8440322136538012E-2</c:v>
                </c:pt>
                <c:pt idx="1270">
                  <c:v>-1.8060146102187313E-2</c:v>
                </c:pt>
                <c:pt idx="1271">
                  <c:v>-2.1309334845973749E-2</c:v>
                </c:pt>
                <c:pt idx="1272">
                  <c:v>-1.9714733466668077E-2</c:v>
                </c:pt>
                <c:pt idx="1273">
                  <c:v>-1.6408090172737033E-2</c:v>
                </c:pt>
                <c:pt idx="1274">
                  <c:v>-1.2266763966777616E-2</c:v>
                </c:pt>
                <c:pt idx="1275">
                  <c:v>-1.1467225178308671E-2</c:v>
                </c:pt>
                <c:pt idx="1276">
                  <c:v>-1.2634264970643128E-2</c:v>
                </c:pt>
                <c:pt idx="1277">
                  <c:v>-1.1447177337611025E-2</c:v>
                </c:pt>
                <c:pt idx="1278">
                  <c:v>-1.55734249214734E-2</c:v>
                </c:pt>
                <c:pt idx="1279">
                  <c:v>-1.8409372948029801E-2</c:v>
                </c:pt>
                <c:pt idx="1280">
                  <c:v>-2.3060215247715399E-2</c:v>
                </c:pt>
                <c:pt idx="1281">
                  <c:v>-1.9785335234820844E-2</c:v>
                </c:pt>
                <c:pt idx="1282">
                  <c:v>-1.8897039995327991E-2</c:v>
                </c:pt>
                <c:pt idx="1283">
                  <c:v>-1.8226290957269242E-2</c:v>
                </c:pt>
                <c:pt idx="1284">
                  <c:v>-2.1256861462632837E-2</c:v>
                </c:pt>
                <c:pt idx="1285">
                  <c:v>-1.8438653067793798E-2</c:v>
                </c:pt>
                <c:pt idx="1286">
                  <c:v>-1.5403220768093417E-2</c:v>
                </c:pt>
                <c:pt idx="1287">
                  <c:v>-1.7192581184817479E-2</c:v>
                </c:pt>
                <c:pt idx="1288">
                  <c:v>-2.1856026532659723E-2</c:v>
                </c:pt>
                <c:pt idx="1289">
                  <c:v>-2.1184952371132382E-2</c:v>
                </c:pt>
                <c:pt idx="1290">
                  <c:v>-2.5047977126911758E-2</c:v>
                </c:pt>
                <c:pt idx="1291">
                  <c:v>-2.1068211058634212E-2</c:v>
                </c:pt>
                <c:pt idx="1292">
                  <c:v>-2.1010383466858462E-2</c:v>
                </c:pt>
                <c:pt idx="1293">
                  <c:v>-2.2243873292191352E-2</c:v>
                </c:pt>
                <c:pt idx="1294">
                  <c:v>-2.1660590881684594E-2</c:v>
                </c:pt>
                <c:pt idx="1295">
                  <c:v>-2.1647458123295049E-2</c:v>
                </c:pt>
                <c:pt idx="1296">
                  <c:v>-2.2370672624158039E-2</c:v>
                </c:pt>
                <c:pt idx="1297">
                  <c:v>-2.4247771659491879E-2</c:v>
                </c:pt>
                <c:pt idx="1298">
                  <c:v>-2.3125347315802625E-2</c:v>
                </c:pt>
                <c:pt idx="1299">
                  <c:v>-2.2326661436470663E-2</c:v>
                </c:pt>
                <c:pt idx="1300">
                  <c:v>-2.0887029760144227E-2</c:v>
                </c:pt>
                <c:pt idx="1301">
                  <c:v>-2.1404272559143234E-2</c:v>
                </c:pt>
                <c:pt idx="1302">
                  <c:v>-2.4348889362848736E-2</c:v>
                </c:pt>
                <c:pt idx="1303">
                  <c:v>-2.2588981748546066E-2</c:v>
                </c:pt>
                <c:pt idx="1304">
                  <c:v>-2.1971090767166856E-2</c:v>
                </c:pt>
                <c:pt idx="1305">
                  <c:v>-2.1329813898056105E-2</c:v>
                </c:pt>
                <c:pt idx="1306">
                  <c:v>-2.1848620876708691E-2</c:v>
                </c:pt>
                <c:pt idx="1307">
                  <c:v>-2.064986716319217E-2</c:v>
                </c:pt>
                <c:pt idx="1308">
                  <c:v>-2.4313847108078823E-2</c:v>
                </c:pt>
                <c:pt idx="1309">
                  <c:v>-2.2875053558913727E-2</c:v>
                </c:pt>
                <c:pt idx="1310">
                  <c:v>-2.6299953514923424E-2</c:v>
                </c:pt>
                <c:pt idx="1311">
                  <c:v>-2.4138493998009825E-2</c:v>
                </c:pt>
                <c:pt idx="1312">
                  <c:v>-2.5131631457665726E-2</c:v>
                </c:pt>
                <c:pt idx="1313">
                  <c:v>-2.7175522265677543E-2</c:v>
                </c:pt>
                <c:pt idx="1314">
                  <c:v>-2.0524936973536634E-2</c:v>
                </c:pt>
                <c:pt idx="1315">
                  <c:v>-1.7249129571823785E-2</c:v>
                </c:pt>
                <c:pt idx="1316">
                  <c:v>-1.8964384625559161E-2</c:v>
                </c:pt>
                <c:pt idx="1317">
                  <c:v>-5.0571131065970665E-3</c:v>
                </c:pt>
                <c:pt idx="1318">
                  <c:v>3.4794813326410878E-3</c:v>
                </c:pt>
                <c:pt idx="1319">
                  <c:v>1.781624288514716E-2</c:v>
                </c:pt>
                <c:pt idx="1320">
                  <c:v>2.4072184743641367E-2</c:v>
                </c:pt>
                <c:pt idx="1321">
                  <c:v>3.8436608185002052E-2</c:v>
                </c:pt>
                <c:pt idx="1322">
                  <c:v>3.2684010122856488E-2</c:v>
                </c:pt>
                <c:pt idx="1323">
                  <c:v>2.4737863125913861E-2</c:v>
                </c:pt>
                <c:pt idx="1324">
                  <c:v>2.6232582305622643E-2</c:v>
                </c:pt>
                <c:pt idx="1325">
                  <c:v>3.1972700567338919E-2</c:v>
                </c:pt>
                <c:pt idx="1326">
                  <c:v>3.4687637467360366E-2</c:v>
                </c:pt>
                <c:pt idx="1327">
                  <c:v>2.4246441649473649E-2</c:v>
                </c:pt>
                <c:pt idx="1328">
                  <c:v>1.537306623879986E-2</c:v>
                </c:pt>
                <c:pt idx="1329">
                  <c:v>1.8354843579074798E-2</c:v>
                </c:pt>
                <c:pt idx="1330">
                  <c:v>2.3080430111143135E-2</c:v>
                </c:pt>
                <c:pt idx="1331">
                  <c:v>2.4013259239382689E-2</c:v>
                </c:pt>
                <c:pt idx="1332">
                  <c:v>2.5006731287022133E-2</c:v>
                </c:pt>
                <c:pt idx="1333">
                  <c:v>2.6678418116111935E-2</c:v>
                </c:pt>
                <c:pt idx="1334">
                  <c:v>2.8315304468006453E-2</c:v>
                </c:pt>
                <c:pt idx="1335">
                  <c:v>3.3231286368653468E-2</c:v>
                </c:pt>
                <c:pt idx="1336">
                  <c:v>3.0015467210936064E-2</c:v>
                </c:pt>
                <c:pt idx="1337">
                  <c:v>2.8373126508903335E-2</c:v>
                </c:pt>
                <c:pt idx="1338">
                  <c:v>2.6918515963461509E-2</c:v>
                </c:pt>
                <c:pt idx="1339">
                  <c:v>2.6960736594931811E-2</c:v>
                </c:pt>
                <c:pt idx="1340">
                  <c:v>2.5689942313357861E-2</c:v>
                </c:pt>
                <c:pt idx="1341">
                  <c:v>2.7004001962291913E-2</c:v>
                </c:pt>
                <c:pt idx="1342">
                  <c:v>3.1757847513037341E-2</c:v>
                </c:pt>
                <c:pt idx="1343">
                  <c:v>3.6426067541230678E-2</c:v>
                </c:pt>
                <c:pt idx="1344">
                  <c:v>3.9718373353786696E-2</c:v>
                </c:pt>
                <c:pt idx="1345">
                  <c:v>3.3342797663728163E-2</c:v>
                </c:pt>
                <c:pt idx="1346">
                  <c:v>3.1554900268398134E-2</c:v>
                </c:pt>
                <c:pt idx="1347">
                  <c:v>3.0297259218433181E-2</c:v>
                </c:pt>
                <c:pt idx="1348">
                  <c:v>2.7546629170986048E-2</c:v>
                </c:pt>
                <c:pt idx="1349">
                  <c:v>2.8447020707099036E-2</c:v>
                </c:pt>
                <c:pt idx="1350">
                  <c:v>2.2255770070417791E-2</c:v>
                </c:pt>
                <c:pt idx="1351">
                  <c:v>2.1649316722002876E-2</c:v>
                </c:pt>
                <c:pt idx="1352">
                  <c:v>2.7530034986370078E-2</c:v>
                </c:pt>
                <c:pt idx="1353">
                  <c:v>2.5592630050082388E-2</c:v>
                </c:pt>
                <c:pt idx="1354">
                  <c:v>3.2836951947920801E-2</c:v>
                </c:pt>
                <c:pt idx="1355">
                  <c:v>3.0217549940709576E-2</c:v>
                </c:pt>
                <c:pt idx="1356">
                  <c:v>3.2191559972379657E-2</c:v>
                </c:pt>
                <c:pt idx="1357">
                  <c:v>2.8998907766713433E-2</c:v>
                </c:pt>
                <c:pt idx="1358">
                  <c:v>2.5689229948872683E-2</c:v>
                </c:pt>
                <c:pt idx="1359">
                  <c:v>2.3698870818731566E-2</c:v>
                </c:pt>
                <c:pt idx="1360">
                  <c:v>2.4765489826655163E-2</c:v>
                </c:pt>
                <c:pt idx="1361">
                  <c:v>2.7786963446107871E-2</c:v>
                </c:pt>
                <c:pt idx="1362">
                  <c:v>2.7025991113027059E-2</c:v>
                </c:pt>
                <c:pt idx="1363">
                  <c:v>2.6598200430143937E-2</c:v>
                </c:pt>
                <c:pt idx="1364">
                  <c:v>2.6352887022066174E-2</c:v>
                </c:pt>
                <c:pt idx="1365">
                  <c:v>2.5797122729047883E-2</c:v>
                </c:pt>
                <c:pt idx="1366">
                  <c:v>2.6709559164785901E-2</c:v>
                </c:pt>
                <c:pt idx="1367">
                  <c:v>1.9301400419211356E-2</c:v>
                </c:pt>
                <c:pt idx="1368">
                  <c:v>1.7479350818721873E-2</c:v>
                </c:pt>
                <c:pt idx="1369">
                  <c:v>1.4973532111042687E-2</c:v>
                </c:pt>
                <c:pt idx="1370">
                  <c:v>1.7739513464811063E-2</c:v>
                </c:pt>
                <c:pt idx="1371">
                  <c:v>1.61119555571827E-2</c:v>
                </c:pt>
                <c:pt idx="1372">
                  <c:v>1.9669477402861624E-2</c:v>
                </c:pt>
                <c:pt idx="1373">
                  <c:v>2.2288066776197768E-2</c:v>
                </c:pt>
                <c:pt idx="1374">
                  <c:v>2.4429002125838872E-2</c:v>
                </c:pt>
                <c:pt idx="1375">
                  <c:v>1.9407668039085779E-2</c:v>
                </c:pt>
                <c:pt idx="1376">
                  <c:v>1.9583178327506667E-2</c:v>
                </c:pt>
                <c:pt idx="1377">
                  <c:v>2.2386171560978774E-2</c:v>
                </c:pt>
                <c:pt idx="1378">
                  <c:v>1.6272713259317673E-2</c:v>
                </c:pt>
                <c:pt idx="1379">
                  <c:v>1.3706753070396926E-2</c:v>
                </c:pt>
                <c:pt idx="1380">
                  <c:v>1.6873723110203187E-2</c:v>
                </c:pt>
                <c:pt idx="1381">
                  <c:v>1.6171646615379842E-2</c:v>
                </c:pt>
                <c:pt idx="1382">
                  <c:v>1.651475705023242E-2</c:v>
                </c:pt>
                <c:pt idx="1383">
                  <c:v>1.5697469538100917E-2</c:v>
                </c:pt>
                <c:pt idx="1384">
                  <c:v>1.652655330102526E-2</c:v>
                </c:pt>
                <c:pt idx="1385">
                  <c:v>1.3801401320186146E-2</c:v>
                </c:pt>
                <c:pt idx="1386">
                  <c:v>1.8034572876508337E-2</c:v>
                </c:pt>
                <c:pt idx="1387">
                  <c:v>1.6088800432582095E-2</c:v>
                </c:pt>
                <c:pt idx="1388">
                  <c:v>1.4877670948348465E-2</c:v>
                </c:pt>
                <c:pt idx="1389">
                  <c:v>1.4234765218734458E-2</c:v>
                </c:pt>
                <c:pt idx="1390">
                  <c:v>1.4999630468230274E-2</c:v>
                </c:pt>
                <c:pt idx="1391">
                  <c:v>1.5068030448080805E-2</c:v>
                </c:pt>
                <c:pt idx="1392">
                  <c:v>2.0668228762473095E-2</c:v>
                </c:pt>
                <c:pt idx="1393">
                  <c:v>1.537640109623406E-2</c:v>
                </c:pt>
                <c:pt idx="1394">
                  <c:v>1.6842390723742051E-2</c:v>
                </c:pt>
                <c:pt idx="1395">
                  <c:v>1.6798683071042486E-2</c:v>
                </c:pt>
                <c:pt idx="1396">
                  <c:v>1.5838942702347536E-2</c:v>
                </c:pt>
                <c:pt idx="1397">
                  <c:v>1.4913584038897865E-2</c:v>
                </c:pt>
                <c:pt idx="1398">
                  <c:v>1.329163525349264E-2</c:v>
                </c:pt>
                <c:pt idx="1399">
                  <c:v>1.4790537182930219E-2</c:v>
                </c:pt>
                <c:pt idx="1400">
                  <c:v>1.9711889649568048E-2</c:v>
                </c:pt>
                <c:pt idx="1401">
                  <c:v>1.8133100953168224E-2</c:v>
                </c:pt>
                <c:pt idx="1402">
                  <c:v>1.915435159445833E-2</c:v>
                </c:pt>
                <c:pt idx="1403">
                  <c:v>1.8329921487270084E-2</c:v>
                </c:pt>
                <c:pt idx="1404">
                  <c:v>2.008162427014204E-2</c:v>
                </c:pt>
                <c:pt idx="1405">
                  <c:v>1.8797412470071162E-2</c:v>
                </c:pt>
                <c:pt idx="1406">
                  <c:v>1.7124500852237601E-2</c:v>
                </c:pt>
                <c:pt idx="1407">
                  <c:v>1.367033609604551E-2</c:v>
                </c:pt>
                <c:pt idx="1408">
                  <c:v>1.2614816360415837E-2</c:v>
                </c:pt>
                <c:pt idx="1409">
                  <c:v>1.242835535373743E-2</c:v>
                </c:pt>
                <c:pt idx="1410">
                  <c:v>1.0806637935275587E-2</c:v>
                </c:pt>
                <c:pt idx="1411">
                  <c:v>1.1062262612191898E-2</c:v>
                </c:pt>
                <c:pt idx="1412">
                  <c:v>1.4167070513508184E-2</c:v>
                </c:pt>
                <c:pt idx="1413">
                  <c:v>1.0917478594626662E-2</c:v>
                </c:pt>
                <c:pt idx="1414">
                  <c:v>1.3654267993274072E-2</c:v>
                </c:pt>
                <c:pt idx="1415">
                  <c:v>1.3764878064288943E-2</c:v>
                </c:pt>
                <c:pt idx="1416">
                  <c:v>1.0972204559403176E-2</c:v>
                </c:pt>
                <c:pt idx="1417">
                  <c:v>1.3512989265793252E-2</c:v>
                </c:pt>
                <c:pt idx="1418">
                  <c:v>1.3096210321008384E-2</c:v>
                </c:pt>
                <c:pt idx="1419">
                  <c:v>1.4078666699131714E-2</c:v>
                </c:pt>
                <c:pt idx="1420">
                  <c:v>1.1681989946239035E-2</c:v>
                </c:pt>
                <c:pt idx="1421">
                  <c:v>8.6038947249069686E-3</c:v>
                </c:pt>
                <c:pt idx="1422">
                  <c:v>8.9573497041761652E-3</c:v>
                </c:pt>
                <c:pt idx="1423">
                  <c:v>1.3818700313660059E-2</c:v>
                </c:pt>
                <c:pt idx="1424">
                  <c:v>1.5086293972191633E-2</c:v>
                </c:pt>
                <c:pt idx="1425">
                  <c:v>1.3904508665817161E-2</c:v>
                </c:pt>
                <c:pt idx="1426">
                  <c:v>1.3911936885255827E-2</c:v>
                </c:pt>
                <c:pt idx="1427">
                  <c:v>1.4427197005417058E-2</c:v>
                </c:pt>
                <c:pt idx="1428">
                  <c:v>1.3184450263711067E-2</c:v>
                </c:pt>
                <c:pt idx="1429">
                  <c:v>1.4089121041158448E-2</c:v>
                </c:pt>
                <c:pt idx="1430">
                  <c:v>1.4950741079408303E-2</c:v>
                </c:pt>
                <c:pt idx="1431">
                  <c:v>1.9316705425896696E-2</c:v>
                </c:pt>
                <c:pt idx="1432">
                  <c:v>1.9679160806793439E-2</c:v>
                </c:pt>
                <c:pt idx="1433">
                  <c:v>2.1229190517585872E-2</c:v>
                </c:pt>
                <c:pt idx="1434">
                  <c:v>2.1577235404186323E-2</c:v>
                </c:pt>
                <c:pt idx="1435">
                  <c:v>2.23118450325277E-2</c:v>
                </c:pt>
                <c:pt idx="1436">
                  <c:v>2.0414850605168233E-2</c:v>
                </c:pt>
                <c:pt idx="1437">
                  <c:v>1.2833524405162056E-2</c:v>
                </c:pt>
                <c:pt idx="1438">
                  <c:v>1.1840945888305088E-2</c:v>
                </c:pt>
                <c:pt idx="1439">
                  <c:v>1.5588118536676632E-2</c:v>
                </c:pt>
                <c:pt idx="1440">
                  <c:v>1.6073095115274105E-2</c:v>
                </c:pt>
                <c:pt idx="1441">
                  <c:v>1.6545461328238975E-2</c:v>
                </c:pt>
                <c:pt idx="1442">
                  <c:v>2.0043491257354606E-2</c:v>
                </c:pt>
                <c:pt idx="1443">
                  <c:v>2.1398879062232368E-2</c:v>
                </c:pt>
                <c:pt idx="1444">
                  <c:v>1.8072128967924206E-2</c:v>
                </c:pt>
                <c:pt idx="1445">
                  <c:v>1.9567114583083356E-2</c:v>
                </c:pt>
                <c:pt idx="1446">
                  <c:v>1.8508456144505692E-2</c:v>
                </c:pt>
                <c:pt idx="1447">
                  <c:v>1.7915582069301106E-2</c:v>
                </c:pt>
                <c:pt idx="1448">
                  <c:v>1.3806982057771311E-2</c:v>
                </c:pt>
                <c:pt idx="1449">
                  <c:v>1.5056407641284464E-2</c:v>
                </c:pt>
                <c:pt idx="1450">
                  <c:v>1.2239689695522138E-2</c:v>
                </c:pt>
                <c:pt idx="1451">
                  <c:v>1.2922031998358285E-2</c:v>
                </c:pt>
                <c:pt idx="1452">
                  <c:v>1.3735414744407537E-2</c:v>
                </c:pt>
                <c:pt idx="1453">
                  <c:v>1.0567536422145363E-2</c:v>
                </c:pt>
                <c:pt idx="1454">
                  <c:v>1.0090278536258879E-2</c:v>
                </c:pt>
                <c:pt idx="1455">
                  <c:v>1.2699623155164375E-2</c:v>
                </c:pt>
                <c:pt idx="1456">
                  <c:v>1.0894733924347255E-2</c:v>
                </c:pt>
                <c:pt idx="1457">
                  <c:v>1.2554413736347136E-2</c:v>
                </c:pt>
                <c:pt idx="1458">
                  <c:v>1.2949805727199504E-2</c:v>
                </c:pt>
                <c:pt idx="1459">
                  <c:v>1.1727031534569443E-2</c:v>
                </c:pt>
                <c:pt idx="1460">
                  <c:v>1.0830163133808801E-2</c:v>
                </c:pt>
                <c:pt idx="1461">
                  <c:v>1.0313174529543945E-2</c:v>
                </c:pt>
                <c:pt idx="1462">
                  <c:v>1.1549133695561098E-2</c:v>
                </c:pt>
                <c:pt idx="1463">
                  <c:v>8.0744612563043994E-3</c:v>
                </c:pt>
                <c:pt idx="1464">
                  <c:v>3.1627825894604555E-3</c:v>
                </c:pt>
                <c:pt idx="1465">
                  <c:v>5.856002329233112E-3</c:v>
                </c:pt>
                <c:pt idx="1466">
                  <c:v>5.2356154853494541E-3</c:v>
                </c:pt>
                <c:pt idx="1467">
                  <c:v>3.7766746354281899E-3</c:v>
                </c:pt>
                <c:pt idx="1468">
                  <c:v>1.6333206159495628E-3</c:v>
                </c:pt>
                <c:pt idx="1469">
                  <c:v>1.2240646743313377E-3</c:v>
                </c:pt>
                <c:pt idx="1470">
                  <c:v>2.0638145010412057E-3</c:v>
                </c:pt>
                <c:pt idx="1471">
                  <c:v>-2.8550638866176037E-4</c:v>
                </c:pt>
                <c:pt idx="1472">
                  <c:v>1.0218807428272747E-3</c:v>
                </c:pt>
                <c:pt idx="1473">
                  <c:v>6.4446327811908954E-3</c:v>
                </c:pt>
                <c:pt idx="1474">
                  <c:v>4.8345083849132831E-3</c:v>
                </c:pt>
                <c:pt idx="1475">
                  <c:v>4.3475319803210066E-3</c:v>
                </c:pt>
                <c:pt idx="1476">
                  <c:v>1.6265020248289463E-3</c:v>
                </c:pt>
                <c:pt idx="1477">
                  <c:v>6.8268556087192067E-4</c:v>
                </c:pt>
                <c:pt idx="1478">
                  <c:v>-5.9777460179666342E-4</c:v>
                </c:pt>
                <c:pt idx="1479">
                  <c:v>-1.8670404637262106E-3</c:v>
                </c:pt>
                <c:pt idx="1480">
                  <c:v>-2.2139406064489719E-3</c:v>
                </c:pt>
                <c:pt idx="1481">
                  <c:v>-2.7158509088986982E-3</c:v>
                </c:pt>
                <c:pt idx="1482">
                  <c:v>-4.6998367758406268E-3</c:v>
                </c:pt>
                <c:pt idx="1483">
                  <c:v>-5.1971996385317132E-3</c:v>
                </c:pt>
                <c:pt idx="1484">
                  <c:v>-3.9412770116207252E-3</c:v>
                </c:pt>
                <c:pt idx="1485">
                  <c:v>1.0838889790094619E-3</c:v>
                </c:pt>
                <c:pt idx="1486">
                  <c:v>3.1656007165297151E-3</c:v>
                </c:pt>
                <c:pt idx="1487">
                  <c:v>-9.2237354042890018E-4</c:v>
                </c:pt>
                <c:pt idx="1488">
                  <c:v>-5.617282079727226E-3</c:v>
                </c:pt>
                <c:pt idx="1489">
                  <c:v>-8.4687371995973981E-3</c:v>
                </c:pt>
                <c:pt idx="1490">
                  <c:v>-9.3988284810377909E-3</c:v>
                </c:pt>
                <c:pt idx="1491">
                  <c:v>-1.3082403161353451E-2</c:v>
                </c:pt>
                <c:pt idx="1492">
                  <c:v>-1.4234194027259006E-2</c:v>
                </c:pt>
                <c:pt idx="1493">
                  <c:v>-1.2705612209261696E-2</c:v>
                </c:pt>
                <c:pt idx="1494">
                  <c:v>-1.5286775190675783E-2</c:v>
                </c:pt>
                <c:pt idx="1495">
                  <c:v>-1.6984171847473917E-2</c:v>
                </c:pt>
                <c:pt idx="1496">
                  <c:v>-2.10965077390598E-2</c:v>
                </c:pt>
                <c:pt idx="1497">
                  <c:v>-1.8761417716805506E-2</c:v>
                </c:pt>
                <c:pt idx="1498">
                  <c:v>-1.4450399738679343E-2</c:v>
                </c:pt>
                <c:pt idx="1499">
                  <c:v>-1.4621267423595374E-2</c:v>
                </c:pt>
                <c:pt idx="1500">
                  <c:v>-1.7068665611770228E-2</c:v>
                </c:pt>
                <c:pt idx="1501">
                  <c:v>-1.3528139120309812E-2</c:v>
                </c:pt>
                <c:pt idx="1502">
                  <c:v>-1.5155730868993911E-2</c:v>
                </c:pt>
                <c:pt idx="1503">
                  <c:v>-1.7498346757625072E-2</c:v>
                </c:pt>
                <c:pt idx="1504">
                  <c:v>-1.5029625493985899E-2</c:v>
                </c:pt>
                <c:pt idx="1505">
                  <c:v>-1.6870601674887853E-2</c:v>
                </c:pt>
                <c:pt idx="1506">
                  <c:v>-1.6698516021936283E-2</c:v>
                </c:pt>
                <c:pt idx="1507">
                  <c:v>-1.9181316668540616E-2</c:v>
                </c:pt>
                <c:pt idx="1508">
                  <c:v>-1.6800509906648831E-2</c:v>
                </c:pt>
                <c:pt idx="1509">
                  <c:v>-1.9337447488781079E-2</c:v>
                </c:pt>
                <c:pt idx="1510">
                  <c:v>-2.2466147756482036E-2</c:v>
                </c:pt>
                <c:pt idx="1511">
                  <c:v>-2.3607555895713284E-2</c:v>
                </c:pt>
                <c:pt idx="1512">
                  <c:v>-1.9427569957699897E-2</c:v>
                </c:pt>
                <c:pt idx="1513">
                  <c:v>-1.9060880474013886E-2</c:v>
                </c:pt>
                <c:pt idx="1514">
                  <c:v>-1.6594751115051154E-2</c:v>
                </c:pt>
                <c:pt idx="1515">
                  <c:v>-1.5748600416888525E-2</c:v>
                </c:pt>
                <c:pt idx="1516">
                  <c:v>-1.4800628998606791E-2</c:v>
                </c:pt>
                <c:pt idx="1517">
                  <c:v>-1.3315138538098292E-2</c:v>
                </c:pt>
                <c:pt idx="1518">
                  <c:v>-1.5538344530450998E-2</c:v>
                </c:pt>
                <c:pt idx="1519">
                  <c:v>-2.0491056289498322E-2</c:v>
                </c:pt>
                <c:pt idx="1520">
                  <c:v>-1.8918324091654504E-2</c:v>
                </c:pt>
                <c:pt idx="1521">
                  <c:v>-1.6766518387134166E-2</c:v>
                </c:pt>
                <c:pt idx="1522">
                  <c:v>-1.9277195820058823E-2</c:v>
                </c:pt>
                <c:pt idx="1523">
                  <c:v>-1.8626172799009688E-2</c:v>
                </c:pt>
                <c:pt idx="1524">
                  <c:v>-1.6350081795830973E-2</c:v>
                </c:pt>
                <c:pt idx="1525">
                  <c:v>-1.8402572913951643E-2</c:v>
                </c:pt>
                <c:pt idx="1526">
                  <c:v>-1.9592032135306026E-2</c:v>
                </c:pt>
                <c:pt idx="1527">
                  <c:v>-1.8347952870595097E-2</c:v>
                </c:pt>
                <c:pt idx="1528">
                  <c:v>-1.648800372963366E-2</c:v>
                </c:pt>
                <c:pt idx="1529">
                  <c:v>-1.8308649917071484E-2</c:v>
                </c:pt>
                <c:pt idx="1530">
                  <c:v>-2.0087155931623024E-2</c:v>
                </c:pt>
                <c:pt idx="1531">
                  <c:v>-2.094121266582627E-2</c:v>
                </c:pt>
                <c:pt idx="1532">
                  <c:v>-1.8986341515994209E-2</c:v>
                </c:pt>
                <c:pt idx="1533">
                  <c:v>-1.8825366688583034E-2</c:v>
                </c:pt>
                <c:pt idx="1534">
                  <c:v>-1.8393045159369681E-2</c:v>
                </c:pt>
                <c:pt idx="1535">
                  <c:v>-1.5871311597243754E-2</c:v>
                </c:pt>
                <c:pt idx="1536">
                  <c:v>-1.6550926728534976E-2</c:v>
                </c:pt>
                <c:pt idx="1537">
                  <c:v>-2.0033261400399516E-2</c:v>
                </c:pt>
                <c:pt idx="1538">
                  <c:v>-2.0434421748838361E-2</c:v>
                </c:pt>
                <c:pt idx="1539">
                  <c:v>-2.3608413503108272E-2</c:v>
                </c:pt>
                <c:pt idx="1540">
                  <c:v>-2.3178346094667512E-2</c:v>
                </c:pt>
                <c:pt idx="1541">
                  <c:v>-2.0495780452176926E-2</c:v>
                </c:pt>
                <c:pt idx="1542">
                  <c:v>-1.8905352516841445E-2</c:v>
                </c:pt>
                <c:pt idx="1543">
                  <c:v>-1.8299802571105861E-2</c:v>
                </c:pt>
                <c:pt idx="1544">
                  <c:v>-1.8289093306935178E-2</c:v>
                </c:pt>
                <c:pt idx="1545">
                  <c:v>-1.9298133387920191E-2</c:v>
                </c:pt>
                <c:pt idx="1546">
                  <c:v>-1.9015365061442302E-2</c:v>
                </c:pt>
                <c:pt idx="1547">
                  <c:v>-2.2406639307632537E-2</c:v>
                </c:pt>
                <c:pt idx="1548">
                  <c:v>-2.4956735419635279E-2</c:v>
                </c:pt>
                <c:pt idx="1549">
                  <c:v>-2.5102903689169898E-2</c:v>
                </c:pt>
                <c:pt idx="1550">
                  <c:v>-2.6477471244044315E-2</c:v>
                </c:pt>
                <c:pt idx="1551">
                  <c:v>-2.5187821924856579E-2</c:v>
                </c:pt>
                <c:pt idx="1552">
                  <c:v>-2.2484420501408198E-2</c:v>
                </c:pt>
                <c:pt idx="1553">
                  <c:v>-2.099731643120295E-2</c:v>
                </c:pt>
                <c:pt idx="1554">
                  <c:v>-1.9911565469255099E-2</c:v>
                </c:pt>
                <c:pt idx="1555">
                  <c:v>-1.5935530601647541E-2</c:v>
                </c:pt>
                <c:pt idx="1556">
                  <c:v>-1.387435860034103E-2</c:v>
                </c:pt>
                <c:pt idx="1557">
                  <c:v>-1.3882409988732247E-2</c:v>
                </c:pt>
                <c:pt idx="1558">
                  <c:v>-9.2134353553119386E-3</c:v>
                </c:pt>
                <c:pt idx="1559">
                  <c:v>-9.1267089451665395E-3</c:v>
                </c:pt>
                <c:pt idx="1560">
                  <c:v>-4.41932210556506E-3</c:v>
                </c:pt>
                <c:pt idx="1561">
                  <c:v>-6.7941046115718162E-3</c:v>
                </c:pt>
                <c:pt idx="1562">
                  <c:v>-1.1937385410648704E-2</c:v>
                </c:pt>
                <c:pt idx="1563">
                  <c:v>-1.0518288635646189E-2</c:v>
                </c:pt>
                <c:pt idx="1564">
                  <c:v>-8.0202517183215472E-3</c:v>
                </c:pt>
                <c:pt idx="1565">
                  <c:v>-7.2247607616136023E-3</c:v>
                </c:pt>
                <c:pt idx="1566">
                  <c:v>-6.7315831217216182E-3</c:v>
                </c:pt>
                <c:pt idx="1567">
                  <c:v>-4.6611437749669582E-3</c:v>
                </c:pt>
                <c:pt idx="1568">
                  <c:v>-4.3153858981427318E-3</c:v>
                </c:pt>
                <c:pt idx="1569">
                  <c:v>-5.3249502079458777E-3</c:v>
                </c:pt>
                <c:pt idx="1570">
                  <c:v>-5.2887844500368875E-3</c:v>
                </c:pt>
                <c:pt idx="1571">
                  <c:v>-3.966385933123262E-3</c:v>
                </c:pt>
                <c:pt idx="1572">
                  <c:v>-7.2221560131809914E-3</c:v>
                </c:pt>
                <c:pt idx="1573">
                  <c:v>-6.5173135632753398E-3</c:v>
                </c:pt>
                <c:pt idx="1574">
                  <c:v>-3.7510008288215158E-3</c:v>
                </c:pt>
                <c:pt idx="1575">
                  <c:v>-2.1720299669649723E-3</c:v>
                </c:pt>
                <c:pt idx="1576">
                  <c:v>-5.1885679663516981E-3</c:v>
                </c:pt>
                <c:pt idx="1577">
                  <c:v>-6.7315559400772385E-3</c:v>
                </c:pt>
                <c:pt idx="1578">
                  <c:v>-8.1993730629802419E-3</c:v>
                </c:pt>
                <c:pt idx="1579">
                  <c:v>-8.7854751925419139E-3</c:v>
                </c:pt>
                <c:pt idx="1580">
                  <c:v>-1.3160163081996412E-2</c:v>
                </c:pt>
                <c:pt idx="1581">
                  <c:v>-9.2774839280561627E-3</c:v>
                </c:pt>
                <c:pt idx="1582">
                  <c:v>-7.4134341219151967E-3</c:v>
                </c:pt>
                <c:pt idx="1583">
                  <c:v>-2.6369742036905786E-3</c:v>
                </c:pt>
                <c:pt idx="1584">
                  <c:v>-3.8580324034741542E-3</c:v>
                </c:pt>
                <c:pt idx="1585">
                  <c:v>-4.0385386060134421E-3</c:v>
                </c:pt>
                <c:pt idx="1586">
                  <c:v>-4.2979714890992726E-3</c:v>
                </c:pt>
                <c:pt idx="1587">
                  <c:v>-5.0211216179973928E-4</c:v>
                </c:pt>
                <c:pt idx="1588">
                  <c:v>3.5907186572181615E-4</c:v>
                </c:pt>
                <c:pt idx="1589">
                  <c:v>3.2408842492137602E-3</c:v>
                </c:pt>
                <c:pt idx="1590">
                  <c:v>1.8105565785040412E-3</c:v>
                </c:pt>
                <c:pt idx="1591">
                  <c:v>3.0872869312390527E-3</c:v>
                </c:pt>
                <c:pt idx="1592">
                  <c:v>5.1745001818868097E-3</c:v>
                </c:pt>
                <c:pt idx="1593">
                  <c:v>3.8972310434584045E-3</c:v>
                </c:pt>
                <c:pt idx="1594">
                  <c:v>5.9890989941013828E-3</c:v>
                </c:pt>
                <c:pt idx="1595">
                  <c:v>8.8217519516500253E-3</c:v>
                </c:pt>
                <c:pt idx="1596">
                  <c:v>1.0356003152198312E-2</c:v>
                </c:pt>
                <c:pt idx="1597">
                  <c:v>1.0834484484948392E-2</c:v>
                </c:pt>
                <c:pt idx="1598">
                  <c:v>8.9962259897646835E-3</c:v>
                </c:pt>
                <c:pt idx="1599">
                  <c:v>1.1850441153768765E-2</c:v>
                </c:pt>
                <c:pt idx="1600">
                  <c:v>1.2259891136174872E-2</c:v>
                </c:pt>
                <c:pt idx="1601">
                  <c:v>1.2801164552449507E-2</c:v>
                </c:pt>
                <c:pt idx="1602">
                  <c:v>1.4973899032139526E-2</c:v>
                </c:pt>
                <c:pt idx="1603">
                  <c:v>1.7918079829137845E-2</c:v>
                </c:pt>
                <c:pt idx="1604">
                  <c:v>1.8152474071489344E-2</c:v>
                </c:pt>
                <c:pt idx="1605">
                  <c:v>1.7822823583396374E-2</c:v>
                </c:pt>
                <c:pt idx="1606">
                  <c:v>1.7677106563376732E-2</c:v>
                </c:pt>
                <c:pt idx="1607">
                  <c:v>1.9455561352805351E-2</c:v>
                </c:pt>
                <c:pt idx="1608">
                  <c:v>1.9654569142006473E-2</c:v>
                </c:pt>
                <c:pt idx="1609">
                  <c:v>2.2910935174517588E-2</c:v>
                </c:pt>
                <c:pt idx="1610">
                  <c:v>1.9638166612433006E-2</c:v>
                </c:pt>
                <c:pt idx="1611">
                  <c:v>2.3831086800953472E-2</c:v>
                </c:pt>
                <c:pt idx="1612">
                  <c:v>2.6942233969762475E-2</c:v>
                </c:pt>
                <c:pt idx="1613">
                  <c:v>2.6937546689058456E-2</c:v>
                </c:pt>
                <c:pt idx="1614">
                  <c:v>2.7401357215441902E-2</c:v>
                </c:pt>
                <c:pt idx="1615">
                  <c:v>2.8766286507284633E-2</c:v>
                </c:pt>
                <c:pt idx="1616">
                  <c:v>2.8983035438569837E-2</c:v>
                </c:pt>
                <c:pt idx="1617">
                  <c:v>2.8846255010678945E-2</c:v>
                </c:pt>
                <c:pt idx="1618">
                  <c:v>2.8508516744830903E-2</c:v>
                </c:pt>
                <c:pt idx="1619">
                  <c:v>2.721829313951063E-2</c:v>
                </c:pt>
                <c:pt idx="1620">
                  <c:v>2.6987979960859443E-2</c:v>
                </c:pt>
                <c:pt idx="1621">
                  <c:v>2.35287128091346E-2</c:v>
                </c:pt>
                <c:pt idx="1622">
                  <c:v>2.0603082114953652E-2</c:v>
                </c:pt>
                <c:pt idx="1623">
                  <c:v>1.8310631302437042E-2</c:v>
                </c:pt>
                <c:pt idx="1624">
                  <c:v>1.723774374698861E-2</c:v>
                </c:pt>
                <c:pt idx="1625">
                  <c:v>1.713801525418801E-2</c:v>
                </c:pt>
                <c:pt idx="1626">
                  <c:v>1.4864792255591563E-2</c:v>
                </c:pt>
                <c:pt idx="1627">
                  <c:v>1.2893336771854669E-2</c:v>
                </c:pt>
                <c:pt idx="1628">
                  <c:v>1.4727877226786479E-2</c:v>
                </c:pt>
                <c:pt idx="1629">
                  <c:v>1.20349094690686E-2</c:v>
                </c:pt>
                <c:pt idx="1630">
                  <c:v>1.3454130105922779E-2</c:v>
                </c:pt>
                <c:pt idx="1631">
                  <c:v>8.4548798292796157E-3</c:v>
                </c:pt>
                <c:pt idx="1632">
                  <c:v>6.8021173200913942E-3</c:v>
                </c:pt>
                <c:pt idx="1633">
                  <c:v>1.0514816940971894E-2</c:v>
                </c:pt>
                <c:pt idx="1634">
                  <c:v>6.681449235595327E-3</c:v>
                </c:pt>
                <c:pt idx="1635">
                  <c:v>7.7694478446066473E-3</c:v>
                </c:pt>
                <c:pt idx="1636">
                  <c:v>9.7959747976079647E-3</c:v>
                </c:pt>
                <c:pt idx="1637">
                  <c:v>7.5816535055444056E-3</c:v>
                </c:pt>
                <c:pt idx="1638">
                  <c:v>8.108925284755264E-3</c:v>
                </c:pt>
                <c:pt idx="1639">
                  <c:v>6.1224338049952198E-3</c:v>
                </c:pt>
                <c:pt idx="1640">
                  <c:v>9.1565757325429153E-3</c:v>
                </c:pt>
                <c:pt idx="1641">
                  <c:v>1.099712535336983E-2</c:v>
                </c:pt>
                <c:pt idx="1642">
                  <c:v>1.0813735354111564E-2</c:v>
                </c:pt>
                <c:pt idx="1643">
                  <c:v>6.2284566334032121E-3</c:v>
                </c:pt>
                <c:pt idx="1644">
                  <c:v>6.913446973514592E-3</c:v>
                </c:pt>
                <c:pt idx="1645">
                  <c:v>4.208413101614239E-3</c:v>
                </c:pt>
                <c:pt idx="1646">
                  <c:v>2.9907256580190555E-3</c:v>
                </c:pt>
                <c:pt idx="1647">
                  <c:v>1.7174129168331387E-3</c:v>
                </c:pt>
                <c:pt idx="1648">
                  <c:v>-1.1594396784786465E-4</c:v>
                </c:pt>
                <c:pt idx="1649">
                  <c:v>-4.9805654109924546E-4</c:v>
                </c:pt>
                <c:pt idx="1650">
                  <c:v>2.7741919191170972E-4</c:v>
                </c:pt>
                <c:pt idx="1651">
                  <c:v>-5.4102204891431915E-3</c:v>
                </c:pt>
                <c:pt idx="1652">
                  <c:v>-7.6256918976747023E-3</c:v>
                </c:pt>
                <c:pt idx="1653">
                  <c:v>-7.5295133890007637E-3</c:v>
                </c:pt>
                <c:pt idx="1654">
                  <c:v>-7.6403714862520733E-3</c:v>
                </c:pt>
                <c:pt idx="1655">
                  <c:v>-1.0382951236934002E-2</c:v>
                </c:pt>
                <c:pt idx="1656">
                  <c:v>-1.2206047446010171E-2</c:v>
                </c:pt>
                <c:pt idx="1657">
                  <c:v>-1.019692782265047E-2</c:v>
                </c:pt>
                <c:pt idx="1658">
                  <c:v>-7.6230326646619107E-3</c:v>
                </c:pt>
                <c:pt idx="1659">
                  <c:v>-9.7832846519404493E-3</c:v>
                </c:pt>
                <c:pt idx="1660">
                  <c:v>-1.3117346316459333E-2</c:v>
                </c:pt>
                <c:pt idx="1661">
                  <c:v>-1.7064771290241976E-2</c:v>
                </c:pt>
                <c:pt idx="1662">
                  <c:v>-1.4657923601682166E-2</c:v>
                </c:pt>
                <c:pt idx="1663">
                  <c:v>-1.8066620065530281E-2</c:v>
                </c:pt>
                <c:pt idx="1664">
                  <c:v>-1.7997913179160885E-2</c:v>
                </c:pt>
                <c:pt idx="1665">
                  <c:v>-1.668431504257617E-2</c:v>
                </c:pt>
                <c:pt idx="1666">
                  <c:v>-1.7722561311754537E-2</c:v>
                </c:pt>
                <c:pt idx="1667">
                  <c:v>-1.3672978915985845E-2</c:v>
                </c:pt>
                <c:pt idx="1668">
                  <c:v>-1.6293484107655631E-2</c:v>
                </c:pt>
                <c:pt idx="1669">
                  <c:v>-2.1446000401064924E-2</c:v>
                </c:pt>
                <c:pt idx="1670">
                  <c:v>-2.355324126922087E-2</c:v>
                </c:pt>
                <c:pt idx="1671">
                  <c:v>-1.8630878480764057E-2</c:v>
                </c:pt>
                <c:pt idx="1672">
                  <c:v>-1.8049853575837993E-2</c:v>
                </c:pt>
                <c:pt idx="1673">
                  <c:v>-1.6526143072804533E-2</c:v>
                </c:pt>
                <c:pt idx="1674">
                  <c:v>-9.2384527565660957E-3</c:v>
                </c:pt>
                <c:pt idx="1675">
                  <c:v>-1.1603482286950628E-2</c:v>
                </c:pt>
                <c:pt idx="1676">
                  <c:v>-9.0322100145814321E-3</c:v>
                </c:pt>
                <c:pt idx="1677">
                  <c:v>-1.1956373212755E-2</c:v>
                </c:pt>
                <c:pt idx="1678">
                  <c:v>-1.4144839326941328E-2</c:v>
                </c:pt>
                <c:pt idx="1679">
                  <c:v>-1.3410199537108425E-2</c:v>
                </c:pt>
                <c:pt idx="1680">
                  <c:v>-1.4590449542396411E-2</c:v>
                </c:pt>
                <c:pt idx="1681">
                  <c:v>-1.4708454996831599E-2</c:v>
                </c:pt>
                <c:pt idx="1682">
                  <c:v>-1.6259524655893309E-2</c:v>
                </c:pt>
                <c:pt idx="1683">
                  <c:v>-1.3992093852213117E-2</c:v>
                </c:pt>
                <c:pt idx="1684">
                  <c:v>-1.0828305575833364E-2</c:v>
                </c:pt>
                <c:pt idx="1685">
                  <c:v>-1.2345070569075745E-2</c:v>
                </c:pt>
                <c:pt idx="1686">
                  <c:v>-1.7196405685764082E-2</c:v>
                </c:pt>
                <c:pt idx="1687">
                  <c:v>-1.4861933463279575E-2</c:v>
                </c:pt>
                <c:pt idx="1688">
                  <c:v>-1.2762794438184955E-2</c:v>
                </c:pt>
                <c:pt idx="1689">
                  <c:v>-8.2722115538045315E-3</c:v>
                </c:pt>
                <c:pt idx="1690">
                  <c:v>-6.9827072108805677E-3</c:v>
                </c:pt>
                <c:pt idx="1691">
                  <c:v>-3.8352843956832583E-3</c:v>
                </c:pt>
                <c:pt idx="1692">
                  <c:v>-6.0078813699807609E-3</c:v>
                </c:pt>
                <c:pt idx="1693">
                  <c:v>-1.4710623595001193E-3</c:v>
                </c:pt>
                <c:pt idx="1694">
                  <c:v>-1.5916204329193828E-3</c:v>
                </c:pt>
                <c:pt idx="1695">
                  <c:v>3.1007271319527518E-3</c:v>
                </c:pt>
                <c:pt idx="1696">
                  <c:v>2.2923809225221525E-3</c:v>
                </c:pt>
                <c:pt idx="1697">
                  <c:v>-5.3757035847338264E-3</c:v>
                </c:pt>
                <c:pt idx="1698">
                  <c:v>-1.1680035537363631E-3</c:v>
                </c:pt>
                <c:pt idx="1699">
                  <c:v>-3.3892985109940099E-4</c:v>
                </c:pt>
                <c:pt idx="1700">
                  <c:v>8.7042772413536973E-4</c:v>
                </c:pt>
                <c:pt idx="1701">
                  <c:v>1.7424313369234223E-3</c:v>
                </c:pt>
                <c:pt idx="1702">
                  <c:v>1.6586164497416345E-3</c:v>
                </c:pt>
                <c:pt idx="1703">
                  <c:v>1.3435575749156659E-3</c:v>
                </c:pt>
                <c:pt idx="1704">
                  <c:v>1.7843750426542737E-3</c:v>
                </c:pt>
                <c:pt idx="1705">
                  <c:v>1.6251030890224172E-4</c:v>
                </c:pt>
                <c:pt idx="1706">
                  <c:v>-5.536713049071107E-3</c:v>
                </c:pt>
                <c:pt idx="1707">
                  <c:v>-2.6636999317247723E-3</c:v>
                </c:pt>
                <c:pt idx="1708">
                  <c:v>-3.9859084494067165E-3</c:v>
                </c:pt>
                <c:pt idx="1709">
                  <c:v>-3.4512059563253095E-3</c:v>
                </c:pt>
                <c:pt idx="1710">
                  <c:v>-2.2637519961991037E-3</c:v>
                </c:pt>
                <c:pt idx="1711">
                  <c:v>-3.2400894001995972E-3</c:v>
                </c:pt>
                <c:pt idx="1712">
                  <c:v>-5.1210807230837041E-3</c:v>
                </c:pt>
                <c:pt idx="1713">
                  <c:v>-7.4734577598624119E-3</c:v>
                </c:pt>
                <c:pt idx="1714">
                  <c:v>-6.8028675777997982E-3</c:v>
                </c:pt>
                <c:pt idx="1715">
                  <c:v>-7.202654772460737E-3</c:v>
                </c:pt>
                <c:pt idx="1716">
                  <c:v>-6.4696883601800259E-3</c:v>
                </c:pt>
                <c:pt idx="1717">
                  <c:v>-7.3344558744271593E-3</c:v>
                </c:pt>
                <c:pt idx="1718">
                  <c:v>-7.5914968974027941E-3</c:v>
                </c:pt>
                <c:pt idx="1719">
                  <c:v>-6.9303666186345536E-3</c:v>
                </c:pt>
                <c:pt idx="1720">
                  <c:v>-5.6156063086501007E-3</c:v>
                </c:pt>
                <c:pt idx="1721">
                  <c:v>-9.5362712698440211E-3</c:v>
                </c:pt>
                <c:pt idx="1722">
                  <c:v>-1.0536641190174501E-2</c:v>
                </c:pt>
                <c:pt idx="1723">
                  <c:v>-7.5742139103767148E-3</c:v>
                </c:pt>
                <c:pt idx="1724">
                  <c:v>-9.2588456206341707E-3</c:v>
                </c:pt>
                <c:pt idx="1725">
                  <c:v>-8.5444724619634371E-3</c:v>
                </c:pt>
                <c:pt idx="1726">
                  <c:v>-9.9242775978415354E-3</c:v>
                </c:pt>
                <c:pt idx="1727">
                  <c:v>-9.4751522358804685E-3</c:v>
                </c:pt>
                <c:pt idx="1728">
                  <c:v>-8.0358319553870405E-3</c:v>
                </c:pt>
                <c:pt idx="1729">
                  <c:v>-7.4142904444994828E-3</c:v>
                </c:pt>
                <c:pt idx="1730">
                  <c:v>-6.1551886159215696E-3</c:v>
                </c:pt>
                <c:pt idx="1731">
                  <c:v>-1.1321163936277134E-2</c:v>
                </c:pt>
                <c:pt idx="1732">
                  <c:v>-1.1148078223037428E-2</c:v>
                </c:pt>
                <c:pt idx="1733">
                  <c:v>-6.4178170148064817E-3</c:v>
                </c:pt>
                <c:pt idx="1734">
                  <c:v>-7.1343972143267376E-3</c:v>
                </c:pt>
                <c:pt idx="1735">
                  <c:v>-1.6095434357261351E-2</c:v>
                </c:pt>
                <c:pt idx="1736">
                  <c:v>-1.8787980629460743E-2</c:v>
                </c:pt>
                <c:pt idx="1737">
                  <c:v>-2.2129843184112707E-2</c:v>
                </c:pt>
                <c:pt idx="1738">
                  <c:v>-3.4761356051524417E-2</c:v>
                </c:pt>
                <c:pt idx="1739">
                  <c:v>-3.8137587198481038E-2</c:v>
                </c:pt>
                <c:pt idx="1740">
                  <c:v>-4.5525515170136699E-2</c:v>
                </c:pt>
                <c:pt idx="1741">
                  <c:v>-4.422460598992195E-2</c:v>
                </c:pt>
                <c:pt idx="1742">
                  <c:v>-3.9189570688976771E-2</c:v>
                </c:pt>
                <c:pt idx="1743">
                  <c:v>-4.4737509322781976E-2</c:v>
                </c:pt>
                <c:pt idx="1744">
                  <c:v>-4.5335313261368304E-2</c:v>
                </c:pt>
                <c:pt idx="1745">
                  <c:v>-4.510803569707611E-2</c:v>
                </c:pt>
                <c:pt idx="1746">
                  <c:v>-4.6898042362609749E-2</c:v>
                </c:pt>
                <c:pt idx="1747">
                  <c:v>-4.6446065462521724E-2</c:v>
                </c:pt>
                <c:pt idx="1748">
                  <c:v>-4.7356811142657662E-2</c:v>
                </c:pt>
                <c:pt idx="1749">
                  <c:v>-4.37411635553141E-2</c:v>
                </c:pt>
                <c:pt idx="1750">
                  <c:v>-4.0567334888004569E-2</c:v>
                </c:pt>
                <c:pt idx="1751">
                  <c:v>-4.1143754839478297E-2</c:v>
                </c:pt>
                <c:pt idx="1752">
                  <c:v>-4.2154396161836027E-2</c:v>
                </c:pt>
                <c:pt idx="1753">
                  <c:v>-4.3869869549971852E-2</c:v>
                </c:pt>
                <c:pt idx="1754">
                  <c:v>-4.539907511283392E-2</c:v>
                </c:pt>
                <c:pt idx="1755">
                  <c:v>-4.4671148296748009E-2</c:v>
                </c:pt>
                <c:pt idx="1756">
                  <c:v>-2.8764743470273468E-2</c:v>
                </c:pt>
                <c:pt idx="1757">
                  <c:v>-3.6963798064713727E-2</c:v>
                </c:pt>
                <c:pt idx="1758">
                  <c:v>-3.8541627521933908E-2</c:v>
                </c:pt>
                <c:pt idx="1759">
                  <c:v>-3.4461711886549784E-2</c:v>
                </c:pt>
                <c:pt idx="1760">
                  <c:v>-3.7662887277036483E-2</c:v>
                </c:pt>
                <c:pt idx="1761">
                  <c:v>-3.99131394028297E-2</c:v>
                </c:pt>
                <c:pt idx="1762">
                  <c:v>-4.7588281672356847E-2</c:v>
                </c:pt>
                <c:pt idx="1763">
                  <c:v>-5.4676496016592524E-2</c:v>
                </c:pt>
                <c:pt idx="1764">
                  <c:v>-5.7332078163726097E-2</c:v>
                </c:pt>
                <c:pt idx="1765">
                  <c:v>-6.1764913721905068E-2</c:v>
                </c:pt>
                <c:pt idx="1766">
                  <c:v>-5.8437184299140799E-2</c:v>
                </c:pt>
                <c:pt idx="1767">
                  <c:v>-5.8555273952685893E-2</c:v>
                </c:pt>
                <c:pt idx="1768">
                  <c:v>-6.0047356191472279E-2</c:v>
                </c:pt>
                <c:pt idx="1769">
                  <c:v>-5.7867481665294207E-2</c:v>
                </c:pt>
                <c:pt idx="1770">
                  <c:v>-5.7215630448770316E-2</c:v>
                </c:pt>
                <c:pt idx="1771">
                  <c:v>-5.9636069119276547E-2</c:v>
                </c:pt>
                <c:pt idx="1772">
                  <c:v>-5.4536873718480039E-2</c:v>
                </c:pt>
                <c:pt idx="1773">
                  <c:v>-5.656057232733902E-2</c:v>
                </c:pt>
                <c:pt idx="1774">
                  <c:v>-5.8045040446450424E-2</c:v>
                </c:pt>
                <c:pt idx="1775">
                  <c:v>-5.9336780860899108E-2</c:v>
                </c:pt>
                <c:pt idx="1776">
                  <c:v>-5.9130385406206631E-2</c:v>
                </c:pt>
                <c:pt idx="1777">
                  <c:v>-5.9986257923376196E-2</c:v>
                </c:pt>
                <c:pt idx="1778">
                  <c:v>-5.4138910694927267E-2</c:v>
                </c:pt>
                <c:pt idx="1779">
                  <c:v>-5.4878809483045132E-2</c:v>
                </c:pt>
                <c:pt idx="1780">
                  <c:v>-5.272976855068412E-2</c:v>
                </c:pt>
                <c:pt idx="1781">
                  <c:v>-6.0026063914293326E-2</c:v>
                </c:pt>
                <c:pt idx="1782">
                  <c:v>-6.0826293096650108E-2</c:v>
                </c:pt>
                <c:pt idx="1783">
                  <c:v>-6.108270361183199E-2</c:v>
                </c:pt>
                <c:pt idx="1784">
                  <c:v>-6.2433689770009293E-2</c:v>
                </c:pt>
                <c:pt idx="1785">
                  <c:v>-6.6882104576964085E-2</c:v>
                </c:pt>
                <c:pt idx="1786">
                  <c:v>-6.802109791469213E-2</c:v>
                </c:pt>
                <c:pt idx="1787">
                  <c:v>-6.8353978879123312E-2</c:v>
                </c:pt>
                <c:pt idx="1788">
                  <c:v>-7.0426033426307377E-2</c:v>
                </c:pt>
                <c:pt idx="1789">
                  <c:v>-7.3184853238407288E-2</c:v>
                </c:pt>
                <c:pt idx="1790">
                  <c:v>-6.9031030629106427E-2</c:v>
                </c:pt>
                <c:pt idx="1791">
                  <c:v>-7.1956652482697336E-2</c:v>
                </c:pt>
                <c:pt idx="1792">
                  <c:v>-7.6865116359594809E-2</c:v>
                </c:pt>
                <c:pt idx="1793">
                  <c:v>-7.3593031310716372E-2</c:v>
                </c:pt>
                <c:pt idx="1794">
                  <c:v>-7.2303306325310457E-2</c:v>
                </c:pt>
                <c:pt idx="1795">
                  <c:v>-7.2745487519213614E-2</c:v>
                </c:pt>
                <c:pt idx="1796">
                  <c:v>-7.7367295521250989E-2</c:v>
                </c:pt>
                <c:pt idx="1797">
                  <c:v>-8.0226770785816526E-2</c:v>
                </c:pt>
                <c:pt idx="1798">
                  <c:v>-8.0575048934923621E-2</c:v>
                </c:pt>
                <c:pt idx="1799">
                  <c:v>-7.6578313617409077E-2</c:v>
                </c:pt>
                <c:pt idx="1800">
                  <c:v>-7.7387706914013088E-2</c:v>
                </c:pt>
                <c:pt idx="1801">
                  <c:v>-7.9990649021557281E-2</c:v>
                </c:pt>
                <c:pt idx="1802">
                  <c:v>-7.9502255126930432E-2</c:v>
                </c:pt>
                <c:pt idx="1803">
                  <c:v>-7.2824854631611813E-2</c:v>
                </c:pt>
                <c:pt idx="1804">
                  <c:v>-6.3099676004159333E-2</c:v>
                </c:pt>
                <c:pt idx="1805">
                  <c:v>-5.9391142997749946E-2</c:v>
                </c:pt>
                <c:pt idx="1806">
                  <c:v>-5.4034826325305652E-2</c:v>
                </c:pt>
                <c:pt idx="1807">
                  <c:v>-5.3935781547685635E-2</c:v>
                </c:pt>
                <c:pt idx="1808">
                  <c:v>-5.1447108809480557E-2</c:v>
                </c:pt>
                <c:pt idx="1809">
                  <c:v>-5.7115762121237368E-2</c:v>
                </c:pt>
                <c:pt idx="1810">
                  <c:v>-5.2925382011590472E-2</c:v>
                </c:pt>
                <c:pt idx="1811">
                  <c:v>-5.3652827614413701E-2</c:v>
                </c:pt>
                <c:pt idx="1812">
                  <c:v>-5.8047912009500546E-2</c:v>
                </c:pt>
                <c:pt idx="1813">
                  <c:v>-6.2499106134065507E-2</c:v>
                </c:pt>
                <c:pt idx="1814">
                  <c:v>-5.8588278936634208E-2</c:v>
                </c:pt>
                <c:pt idx="1815">
                  <c:v>-5.5944400745733813E-2</c:v>
                </c:pt>
                <c:pt idx="1816">
                  <c:v>-5.9150210402733383E-2</c:v>
                </c:pt>
                <c:pt idx="1817">
                  <c:v>-5.9500363448704685E-2</c:v>
                </c:pt>
                <c:pt idx="1818">
                  <c:v>-6.1133643595101095E-2</c:v>
                </c:pt>
                <c:pt idx="1819">
                  <c:v>-6.9445013628191887E-2</c:v>
                </c:pt>
                <c:pt idx="1820">
                  <c:v>-8.6699174288139003E-2</c:v>
                </c:pt>
                <c:pt idx="1821">
                  <c:v>-9.1847790933944018E-2</c:v>
                </c:pt>
                <c:pt idx="1822">
                  <c:v>-8.742091442107891E-2</c:v>
                </c:pt>
                <c:pt idx="1823">
                  <c:v>-9.6268164496599029E-2</c:v>
                </c:pt>
                <c:pt idx="1824">
                  <c:v>-9.9743558955054268E-2</c:v>
                </c:pt>
                <c:pt idx="1825">
                  <c:v>-9.948911422078377E-2</c:v>
                </c:pt>
                <c:pt idx="1826">
                  <c:v>-0.10588568738113091</c:v>
                </c:pt>
                <c:pt idx="1827">
                  <c:v>-0.10670173686358764</c:v>
                </c:pt>
                <c:pt idx="1828">
                  <c:v>-9.8175158279078301E-2</c:v>
                </c:pt>
                <c:pt idx="1829">
                  <c:v>-9.5956748970563832E-2</c:v>
                </c:pt>
                <c:pt idx="1830">
                  <c:v>-9.558575892785548E-2</c:v>
                </c:pt>
                <c:pt idx="1831">
                  <c:v>-9.7706339668376385E-2</c:v>
                </c:pt>
                <c:pt idx="1832">
                  <c:v>-0.10000603323923052</c:v>
                </c:pt>
                <c:pt idx="1833">
                  <c:v>-9.3197411398107777E-2</c:v>
                </c:pt>
                <c:pt idx="1834">
                  <c:v>-7.7594014268095202E-2</c:v>
                </c:pt>
                <c:pt idx="1835">
                  <c:v>-7.5050557154034525E-2</c:v>
                </c:pt>
                <c:pt idx="1836">
                  <c:v>-8.2289199692625492E-2</c:v>
                </c:pt>
                <c:pt idx="1837">
                  <c:v>-8.5705302491159374E-2</c:v>
                </c:pt>
                <c:pt idx="1838">
                  <c:v>-7.6742079230227467E-2</c:v>
                </c:pt>
                <c:pt idx="1839">
                  <c:v>-6.9874336753126376E-2</c:v>
                </c:pt>
                <c:pt idx="1840">
                  <c:v>-5.6564810329630122E-2</c:v>
                </c:pt>
                <c:pt idx="1841">
                  <c:v>-6.3697712457939648E-2</c:v>
                </c:pt>
                <c:pt idx="1842">
                  <c:v>-6.1131348277438824E-2</c:v>
                </c:pt>
                <c:pt idx="1843">
                  <c:v>-5.5484843283679752E-2</c:v>
                </c:pt>
                <c:pt idx="1844">
                  <c:v>-6.376933421005071E-2</c:v>
                </c:pt>
                <c:pt idx="1845">
                  <c:v>-5.7196671483382366E-2</c:v>
                </c:pt>
                <c:pt idx="1846">
                  <c:v>-4.9432956797241356E-2</c:v>
                </c:pt>
                <c:pt idx="1847">
                  <c:v>-4.012480281803521E-2</c:v>
                </c:pt>
                <c:pt idx="1848">
                  <c:v>-4.1092204531109733E-2</c:v>
                </c:pt>
                <c:pt idx="1849">
                  <c:v>-3.9316896403456925E-2</c:v>
                </c:pt>
                <c:pt idx="1850">
                  <c:v>-3.6899581001591075E-2</c:v>
                </c:pt>
                <c:pt idx="1851">
                  <c:v>-4.2752696474676055E-2</c:v>
                </c:pt>
                <c:pt idx="1852">
                  <c:v>-4.0605669368618091E-2</c:v>
                </c:pt>
                <c:pt idx="1853">
                  <c:v>-3.4851273936057803E-2</c:v>
                </c:pt>
                <c:pt idx="1854">
                  <c:v>-3.7038820240789083E-2</c:v>
                </c:pt>
                <c:pt idx="1855">
                  <c:v>-2.233443387065448E-2</c:v>
                </c:pt>
                <c:pt idx="1856">
                  <c:v>-1.714198348792173E-2</c:v>
                </c:pt>
                <c:pt idx="1857">
                  <c:v>-1.7919663009283715E-2</c:v>
                </c:pt>
                <c:pt idx="1858">
                  <c:v>-2.0671920324732307E-2</c:v>
                </c:pt>
                <c:pt idx="1859">
                  <c:v>-1.0105282091106838E-2</c:v>
                </c:pt>
                <c:pt idx="1860">
                  <c:v>-1.2337846466434765E-3</c:v>
                </c:pt>
                <c:pt idx="1861">
                  <c:v>5.7787123889585512E-3</c:v>
                </c:pt>
                <c:pt idx="1862">
                  <c:v>5.2184546587843439E-3</c:v>
                </c:pt>
                <c:pt idx="1863">
                  <c:v>5.9897278010567767E-4</c:v>
                </c:pt>
                <c:pt idx="1864">
                  <c:v>7.9361168262104265E-3</c:v>
                </c:pt>
                <c:pt idx="1865">
                  <c:v>2.8387551648829668E-3</c:v>
                </c:pt>
                <c:pt idx="1866">
                  <c:v>1.3254248859454476E-2</c:v>
                </c:pt>
                <c:pt idx="1867">
                  <c:v>8.2523702404000421E-3</c:v>
                </c:pt>
                <c:pt idx="1868">
                  <c:v>5.4715183185245486E-3</c:v>
                </c:pt>
                <c:pt idx="1869">
                  <c:v>-1.6810607752621998E-3</c:v>
                </c:pt>
                <c:pt idx="1870">
                  <c:v>-1.1923366962192983E-2</c:v>
                </c:pt>
                <c:pt idx="1871">
                  <c:v>-9.2642384423302637E-4</c:v>
                </c:pt>
                <c:pt idx="1872">
                  <c:v>-8.0052075171868076E-3</c:v>
                </c:pt>
                <c:pt idx="1873">
                  <c:v>-9.4817499676819184E-3</c:v>
                </c:pt>
                <c:pt idx="1874">
                  <c:v>-1.115547673407824E-2</c:v>
                </c:pt>
                <c:pt idx="1875">
                  <c:v>-2.3022298982354195E-2</c:v>
                </c:pt>
                <c:pt idx="1876">
                  <c:v>-2.5920328378111424E-2</c:v>
                </c:pt>
                <c:pt idx="1877">
                  <c:v>-2.4952718885687064E-2</c:v>
                </c:pt>
                <c:pt idx="1878">
                  <c:v>-3.0274648976462482E-2</c:v>
                </c:pt>
                <c:pt idx="1879">
                  <c:v>-2.6811332851624625E-2</c:v>
                </c:pt>
                <c:pt idx="1880">
                  <c:v>-2.9449290757622149E-2</c:v>
                </c:pt>
                <c:pt idx="1881">
                  <c:v>-4.0186281982252825E-2</c:v>
                </c:pt>
                <c:pt idx="1882">
                  <c:v>-3.8002838098267655E-2</c:v>
                </c:pt>
                <c:pt idx="1883">
                  <c:v>-3.6138611598939163E-2</c:v>
                </c:pt>
                <c:pt idx="1884">
                  <c:v>-2.7959157043942473E-2</c:v>
                </c:pt>
                <c:pt idx="1885">
                  <c:v>-2.1122115827531984E-2</c:v>
                </c:pt>
                <c:pt idx="1886">
                  <c:v>-2.4891949849109807E-2</c:v>
                </c:pt>
                <c:pt idx="1887">
                  <c:v>-1.8000894690085922E-2</c:v>
                </c:pt>
                <c:pt idx="1888">
                  <c:v>-1.7111164160642622E-2</c:v>
                </c:pt>
                <c:pt idx="1889">
                  <c:v>-1.2080323977766927E-2</c:v>
                </c:pt>
                <c:pt idx="1890">
                  <c:v>5.4248130524632288E-3</c:v>
                </c:pt>
                <c:pt idx="1891">
                  <c:v>7.9954229574816793E-3</c:v>
                </c:pt>
                <c:pt idx="1892">
                  <c:v>1.9465040139077239E-4</c:v>
                </c:pt>
                <c:pt idx="1893">
                  <c:v>1.6449730690442088E-3</c:v>
                </c:pt>
                <c:pt idx="1894">
                  <c:v>-4.7016764454270721E-3</c:v>
                </c:pt>
                <c:pt idx="1895">
                  <c:v>-1.0058051110868882E-2</c:v>
                </c:pt>
                <c:pt idx="1896">
                  <c:v>-5.8665591762004921E-3</c:v>
                </c:pt>
                <c:pt idx="1897">
                  <c:v>-1.999184903902762E-2</c:v>
                </c:pt>
                <c:pt idx="1898">
                  <c:v>-3.5333887366551742E-2</c:v>
                </c:pt>
                <c:pt idx="1899">
                  <c:v>-3.849264635344829E-2</c:v>
                </c:pt>
                <c:pt idx="1900">
                  <c:v>-4.1655960408220505E-2</c:v>
                </c:pt>
                <c:pt idx="1901">
                  <c:v>-3.3475130424127086E-2</c:v>
                </c:pt>
                <c:pt idx="1902">
                  <c:v>-4.4024476022941683E-2</c:v>
                </c:pt>
                <c:pt idx="1903">
                  <c:v>-4.5882527116850036E-2</c:v>
                </c:pt>
                <c:pt idx="1904">
                  <c:v>-4.3207468319110598E-2</c:v>
                </c:pt>
                <c:pt idx="1905">
                  <c:v>-3.1374940907583082E-2</c:v>
                </c:pt>
                <c:pt idx="1906">
                  <c:v>-4.9760186294459441E-2</c:v>
                </c:pt>
                <c:pt idx="1907">
                  <c:v>-5.6477568744599305E-2</c:v>
                </c:pt>
                <c:pt idx="1908">
                  <c:v>-5.7807715860379583E-2</c:v>
                </c:pt>
                <c:pt idx="1909">
                  <c:v>-6.2392078270208207E-2</c:v>
                </c:pt>
                <c:pt idx="1910">
                  <c:v>-6.6113123104554972E-2</c:v>
                </c:pt>
                <c:pt idx="1911">
                  <c:v>-7.802441939783844E-2</c:v>
                </c:pt>
                <c:pt idx="1912">
                  <c:v>-7.4474335583009643E-2</c:v>
                </c:pt>
                <c:pt idx="1913">
                  <c:v>-7.2143505228742577E-2</c:v>
                </c:pt>
                <c:pt idx="1914">
                  <c:v>-7.2056916919320702E-2</c:v>
                </c:pt>
                <c:pt idx="1915">
                  <c:v>-6.6286542042253926E-2</c:v>
                </c:pt>
                <c:pt idx="1916">
                  <c:v>-6.8218368551598463E-2</c:v>
                </c:pt>
                <c:pt idx="1917">
                  <c:v>-7.0662363388524385E-2</c:v>
                </c:pt>
                <c:pt idx="1918">
                  <c:v>-7.4053906659322433E-2</c:v>
                </c:pt>
                <c:pt idx="1919">
                  <c:v>-7.8314740102034208E-2</c:v>
                </c:pt>
                <c:pt idx="1920">
                  <c:v>-7.0310137490899982E-2</c:v>
                </c:pt>
                <c:pt idx="1921">
                  <c:v>-7.236264854734209E-2</c:v>
                </c:pt>
                <c:pt idx="1922">
                  <c:v>-6.3684939574431554E-2</c:v>
                </c:pt>
                <c:pt idx="1923">
                  <c:v>-7.6282367654485261E-2</c:v>
                </c:pt>
                <c:pt idx="1924">
                  <c:v>-8.2820834070338245E-2</c:v>
                </c:pt>
                <c:pt idx="1925">
                  <c:v>-8.4729399138051331E-2</c:v>
                </c:pt>
                <c:pt idx="1926">
                  <c:v>-8.3219183666813468E-2</c:v>
                </c:pt>
                <c:pt idx="1927">
                  <c:v>-8.5892344366438556E-2</c:v>
                </c:pt>
                <c:pt idx="1928">
                  <c:v>-9.1576946660989811E-2</c:v>
                </c:pt>
                <c:pt idx="1929">
                  <c:v>-8.4564714772059957E-2</c:v>
                </c:pt>
                <c:pt idx="1930">
                  <c:v>-8.3024621153905298E-2</c:v>
                </c:pt>
                <c:pt idx="1931">
                  <c:v>-7.5231825977994049E-2</c:v>
                </c:pt>
                <c:pt idx="1932">
                  <c:v>-6.7134916400950817E-2</c:v>
                </c:pt>
                <c:pt idx="1933">
                  <c:v>-7.0735803315539858E-2</c:v>
                </c:pt>
                <c:pt idx="1934">
                  <c:v>-6.902024299514975E-2</c:v>
                </c:pt>
                <c:pt idx="1935">
                  <c:v>-6.9890566679716382E-2</c:v>
                </c:pt>
                <c:pt idx="1936">
                  <c:v>-5.9047436002661158E-2</c:v>
                </c:pt>
                <c:pt idx="1937">
                  <c:v>-5.2936240181117533E-2</c:v>
                </c:pt>
                <c:pt idx="1938">
                  <c:v>-5.0846182525375871E-2</c:v>
                </c:pt>
                <c:pt idx="1939">
                  <c:v>-4.0390830262484245E-2</c:v>
                </c:pt>
                <c:pt idx="1940">
                  <c:v>-3.514425368067231E-2</c:v>
                </c:pt>
                <c:pt idx="1941">
                  <c:v>-2.785399770896213E-2</c:v>
                </c:pt>
                <c:pt idx="1942">
                  <c:v>-1.9325382501411359E-2</c:v>
                </c:pt>
                <c:pt idx="1943">
                  <c:v>-3.0561276794626058E-2</c:v>
                </c:pt>
                <c:pt idx="1944">
                  <c:v>-2.5884529361378084E-2</c:v>
                </c:pt>
                <c:pt idx="1945">
                  <c:v>-1.2546636873921768E-2</c:v>
                </c:pt>
                <c:pt idx="1946">
                  <c:v>-1.2578565036132527E-2</c:v>
                </c:pt>
                <c:pt idx="1947">
                  <c:v>-4.2501025886831911E-4</c:v>
                </c:pt>
                <c:pt idx="1948">
                  <c:v>-7.6897278445345885E-3</c:v>
                </c:pt>
                <c:pt idx="1949">
                  <c:v>-3.6474760860411015E-3</c:v>
                </c:pt>
                <c:pt idx="1950">
                  <c:v>7.3936850953293387E-4</c:v>
                </c:pt>
                <c:pt idx="1951">
                  <c:v>-8.0503993642111471E-4</c:v>
                </c:pt>
                <c:pt idx="1952">
                  <c:v>4.1215932678482226E-3</c:v>
                </c:pt>
                <c:pt idx="1953">
                  <c:v>-9.6172698812813096E-4</c:v>
                </c:pt>
                <c:pt idx="1954">
                  <c:v>-5.6393268643094574E-3</c:v>
                </c:pt>
                <c:pt idx="1955">
                  <c:v>1.3819635572054345E-3</c:v>
                </c:pt>
                <c:pt idx="1956">
                  <c:v>-2.1212764678433249E-3</c:v>
                </c:pt>
                <c:pt idx="1957">
                  <c:v>-1.1036272931586821E-2</c:v>
                </c:pt>
                <c:pt idx="1958">
                  <c:v>-1.4945576011294648E-2</c:v>
                </c:pt>
                <c:pt idx="1959">
                  <c:v>-6.7145460034825355E-3</c:v>
                </c:pt>
                <c:pt idx="1960">
                  <c:v>-1.5354799781590267E-2</c:v>
                </c:pt>
                <c:pt idx="1961">
                  <c:v>-1.0683910193193147E-2</c:v>
                </c:pt>
                <c:pt idx="1962">
                  <c:v>-9.8861562020627902E-3</c:v>
                </c:pt>
                <c:pt idx="1963">
                  <c:v>-8.0092126786962536E-3</c:v>
                </c:pt>
                <c:pt idx="1964">
                  <c:v>-5.0584512750868615E-3</c:v>
                </c:pt>
                <c:pt idx="1965">
                  <c:v>-5.1034620686698506E-3</c:v>
                </c:pt>
                <c:pt idx="1966">
                  <c:v>-7.7707016067599666E-3</c:v>
                </c:pt>
                <c:pt idx="1967">
                  <c:v>-1.4629570012815174E-3</c:v>
                </c:pt>
                <c:pt idx="1968">
                  <c:v>-7.4195573161682793E-3</c:v>
                </c:pt>
                <c:pt idx="1969">
                  <c:v>-1.3715881858982315E-2</c:v>
                </c:pt>
                <c:pt idx="1970">
                  <c:v>3.0734691129199465E-3</c:v>
                </c:pt>
                <c:pt idx="1971">
                  <c:v>5.9509935966437499E-3</c:v>
                </c:pt>
                <c:pt idx="1972">
                  <c:v>1.0311209922141407E-2</c:v>
                </c:pt>
                <c:pt idx="1973">
                  <c:v>2.3822429375524923E-2</c:v>
                </c:pt>
                <c:pt idx="1974">
                  <c:v>2.6004039217523145E-2</c:v>
                </c:pt>
                <c:pt idx="1975">
                  <c:v>3.0852758851162454E-2</c:v>
                </c:pt>
                <c:pt idx="1976">
                  <c:v>2.932519916718479E-2</c:v>
                </c:pt>
                <c:pt idx="1977">
                  <c:v>3.709468974330199E-2</c:v>
                </c:pt>
                <c:pt idx="1978">
                  <c:v>3.9882707995386957E-2</c:v>
                </c:pt>
                <c:pt idx="1979">
                  <c:v>3.3985724133090311E-2</c:v>
                </c:pt>
                <c:pt idx="1980">
                  <c:v>3.1202450797526593E-2</c:v>
                </c:pt>
                <c:pt idx="1981">
                  <c:v>3.0648467780390654E-2</c:v>
                </c:pt>
                <c:pt idx="1982">
                  <c:v>3.5707041808711537E-2</c:v>
                </c:pt>
                <c:pt idx="1983">
                  <c:v>2.8922264200627046E-2</c:v>
                </c:pt>
                <c:pt idx="1984">
                  <c:v>1.4957112414376583E-2</c:v>
                </c:pt>
                <c:pt idx="1985">
                  <c:v>1.0783319638674627E-2</c:v>
                </c:pt>
                <c:pt idx="1986">
                  <c:v>-2.1507425266550362E-3</c:v>
                </c:pt>
                <c:pt idx="1987">
                  <c:v>3.3488911975863012E-3</c:v>
                </c:pt>
                <c:pt idx="1988">
                  <c:v>8.1889233521050819E-3</c:v>
                </c:pt>
                <c:pt idx="1989">
                  <c:v>2.3953386754715478E-2</c:v>
                </c:pt>
                <c:pt idx="1990">
                  <c:v>1.530156217343559E-2</c:v>
                </c:pt>
                <c:pt idx="1991">
                  <c:v>1.684646645410881E-2</c:v>
                </c:pt>
                <c:pt idx="1992">
                  <c:v>1.7895353890714505E-2</c:v>
                </c:pt>
                <c:pt idx="1993">
                  <c:v>1.4853650428930498E-2</c:v>
                </c:pt>
                <c:pt idx="1994">
                  <c:v>1.4405579340635466E-2</c:v>
                </c:pt>
                <c:pt idx="1995">
                  <c:v>4.6416161946660761E-3</c:v>
                </c:pt>
                <c:pt idx="1996">
                  <c:v>-7.6592305631322244E-3</c:v>
                </c:pt>
                <c:pt idx="1997">
                  <c:v>-1.5212163346091101E-3</c:v>
                </c:pt>
                <c:pt idx="1998">
                  <c:v>-5.3516338502250793E-3</c:v>
                </c:pt>
                <c:pt idx="1999">
                  <c:v>-1.1882876907040707E-2</c:v>
                </c:pt>
                <c:pt idx="2000">
                  <c:v>-1.566914041080425E-2</c:v>
                </c:pt>
                <c:pt idx="2001">
                  <c:v>-1.4791171202880427E-2</c:v>
                </c:pt>
                <c:pt idx="2002">
                  <c:v>-2.2544755168504405E-2</c:v>
                </c:pt>
                <c:pt idx="2003">
                  <c:v>-2.3059993421927327E-2</c:v>
                </c:pt>
                <c:pt idx="2004">
                  <c:v>-2.1137432430719527E-2</c:v>
                </c:pt>
                <c:pt idx="2005">
                  <c:v>-2.9901748415395168E-2</c:v>
                </c:pt>
                <c:pt idx="2006">
                  <c:v>-3.7405515196287875E-2</c:v>
                </c:pt>
                <c:pt idx="2007">
                  <c:v>-3.3423491950019812E-2</c:v>
                </c:pt>
                <c:pt idx="2008">
                  <c:v>-3.7161412114468551E-2</c:v>
                </c:pt>
                <c:pt idx="2009">
                  <c:v>-4.3305700907525724E-2</c:v>
                </c:pt>
                <c:pt idx="2010">
                  <c:v>-4.0161732452563825E-2</c:v>
                </c:pt>
                <c:pt idx="2011">
                  <c:v>-4.7613195236826278E-2</c:v>
                </c:pt>
                <c:pt idx="2012">
                  <c:v>-4.4745504271849423E-2</c:v>
                </c:pt>
                <c:pt idx="2013">
                  <c:v>-4.1311797012397178E-2</c:v>
                </c:pt>
                <c:pt idx="2014">
                  <c:v>-4.6043213140967043E-2</c:v>
                </c:pt>
                <c:pt idx="2015">
                  <c:v>-3.838214301981524E-2</c:v>
                </c:pt>
                <c:pt idx="2016">
                  <c:v>-2.6514903712069215E-2</c:v>
                </c:pt>
                <c:pt idx="2017">
                  <c:v>-3.0672752203552145E-2</c:v>
                </c:pt>
                <c:pt idx="2018">
                  <c:v>-1.4666223115100685E-2</c:v>
                </c:pt>
                <c:pt idx="2019">
                  <c:v>-2.0974522136026352E-2</c:v>
                </c:pt>
                <c:pt idx="2020">
                  <c:v>-1.1641765429391437E-2</c:v>
                </c:pt>
                <c:pt idx="2021">
                  <c:v>-1.5497750241796338E-3</c:v>
                </c:pt>
                <c:pt idx="2022">
                  <c:v>-1.548818667345464E-3</c:v>
                </c:pt>
                <c:pt idx="2023">
                  <c:v>-3.3368927445004415E-3</c:v>
                </c:pt>
                <c:pt idx="2024">
                  <c:v>1.116149052302795E-2</c:v>
                </c:pt>
                <c:pt idx="2025">
                  <c:v>1.5477438614018624E-2</c:v>
                </c:pt>
                <c:pt idx="2026">
                  <c:v>1.3632919515870645E-2</c:v>
                </c:pt>
                <c:pt idx="2027">
                  <c:v>1.0914173808754368E-2</c:v>
                </c:pt>
                <c:pt idx="2028">
                  <c:v>1.7257202910586855E-2</c:v>
                </c:pt>
                <c:pt idx="2029">
                  <c:v>1.1368041869931789E-2</c:v>
                </c:pt>
                <c:pt idx="2030">
                  <c:v>2.0862491430283958E-2</c:v>
                </c:pt>
                <c:pt idx="2031">
                  <c:v>1.4634035250824073E-2</c:v>
                </c:pt>
                <c:pt idx="2032">
                  <c:v>5.7533890842924595E-3</c:v>
                </c:pt>
                <c:pt idx="2033">
                  <c:v>1.4397461159799674E-2</c:v>
                </c:pt>
                <c:pt idx="2034">
                  <c:v>7.336412400709813E-3</c:v>
                </c:pt>
                <c:pt idx="2035">
                  <c:v>1.1319545007351106E-3</c:v>
                </c:pt>
                <c:pt idx="2036">
                  <c:v>1.0820887907314614E-3</c:v>
                </c:pt>
                <c:pt idx="2037">
                  <c:v>-6.0376972888501745E-3</c:v>
                </c:pt>
                <c:pt idx="2038">
                  <c:v>-1.2419407304846697E-2</c:v>
                </c:pt>
                <c:pt idx="2039">
                  <c:v>-1.5214893914964334E-2</c:v>
                </c:pt>
                <c:pt idx="2040">
                  <c:v>-1.3294740090399215E-2</c:v>
                </c:pt>
                <c:pt idx="2041">
                  <c:v>-2.2133280509344266E-2</c:v>
                </c:pt>
                <c:pt idx="2042">
                  <c:v>-2.5972505718581673E-2</c:v>
                </c:pt>
                <c:pt idx="2043">
                  <c:v>-2.446231002708843E-2</c:v>
                </c:pt>
                <c:pt idx="2044">
                  <c:v>-1.6723744041955091E-2</c:v>
                </c:pt>
                <c:pt idx="2045">
                  <c:v>-8.3846416458731587E-3</c:v>
                </c:pt>
                <c:pt idx="2046">
                  <c:v>-1.1599485655077735E-2</c:v>
                </c:pt>
                <c:pt idx="2047">
                  <c:v>-1.5229073718059705E-2</c:v>
                </c:pt>
                <c:pt idx="2048">
                  <c:v>-4.3767831786630795E-3</c:v>
                </c:pt>
                <c:pt idx="2049">
                  <c:v>-2.6236940978772161E-3</c:v>
                </c:pt>
                <c:pt idx="2050">
                  <c:v>4.0645411113193752E-3</c:v>
                </c:pt>
                <c:pt idx="2051">
                  <c:v>3.0970661325617765E-3</c:v>
                </c:pt>
                <c:pt idx="2052">
                  <c:v>6.5854867481822676E-3</c:v>
                </c:pt>
                <c:pt idx="2053">
                  <c:v>-1.5549925593041802E-2</c:v>
                </c:pt>
                <c:pt idx="2054">
                  <c:v>-8.5870707778555877E-3</c:v>
                </c:pt>
                <c:pt idx="2055">
                  <c:v>-4.703536346208459E-3</c:v>
                </c:pt>
                <c:pt idx="2056">
                  <c:v>-6.2568048260236431E-4</c:v>
                </c:pt>
                <c:pt idx="2057">
                  <c:v>6.3560333471839314E-3</c:v>
                </c:pt>
                <c:pt idx="2058">
                  <c:v>5.4810744315814119E-4</c:v>
                </c:pt>
                <c:pt idx="2059">
                  <c:v>3.0099036538777657E-3</c:v>
                </c:pt>
                <c:pt idx="2060">
                  <c:v>4.7404231059999802E-4</c:v>
                </c:pt>
                <c:pt idx="2061">
                  <c:v>3.980904093737081E-3</c:v>
                </c:pt>
                <c:pt idx="2062">
                  <c:v>3.8402988126695625E-4</c:v>
                </c:pt>
                <c:pt idx="2063">
                  <c:v>3.6089376404480067E-3</c:v>
                </c:pt>
                <c:pt idx="2064">
                  <c:v>4.2793293253384768E-4</c:v>
                </c:pt>
                <c:pt idx="2065">
                  <c:v>2.2629211461078214E-4</c:v>
                </c:pt>
                <c:pt idx="2066">
                  <c:v>6.6914324934097547E-3</c:v>
                </c:pt>
                <c:pt idx="2067">
                  <c:v>3.9983703876147469E-3</c:v>
                </c:pt>
                <c:pt idx="2068">
                  <c:v>-1.7325466023778713E-3</c:v>
                </c:pt>
                <c:pt idx="2069">
                  <c:v>9.1334970218610589E-3</c:v>
                </c:pt>
                <c:pt idx="2070">
                  <c:v>1.6975282292307936E-2</c:v>
                </c:pt>
                <c:pt idx="2071">
                  <c:v>2.5046585503565311E-2</c:v>
                </c:pt>
                <c:pt idx="2072">
                  <c:v>3.0951564452904812E-2</c:v>
                </c:pt>
                <c:pt idx="2073">
                  <c:v>3.0495016088329052E-2</c:v>
                </c:pt>
                <c:pt idx="2074">
                  <c:v>2.5408619003020716E-2</c:v>
                </c:pt>
                <c:pt idx="2075">
                  <c:v>2.4524290879289312E-2</c:v>
                </c:pt>
                <c:pt idx="2076">
                  <c:v>2.0596121113625632E-2</c:v>
                </c:pt>
                <c:pt idx="2077">
                  <c:v>1.8145923714012024E-2</c:v>
                </c:pt>
                <c:pt idx="2078">
                  <c:v>2.2337735445649542E-2</c:v>
                </c:pt>
                <c:pt idx="2079">
                  <c:v>1.3565523426422921E-2</c:v>
                </c:pt>
                <c:pt idx="2080">
                  <c:v>4.0674812829544216E-4</c:v>
                </c:pt>
                <c:pt idx="2081">
                  <c:v>9.4332454637200414E-3</c:v>
                </c:pt>
                <c:pt idx="2082">
                  <c:v>-9.9495379551156615E-3</c:v>
                </c:pt>
                <c:pt idx="2083">
                  <c:v>-1.6339609509830044E-3</c:v>
                </c:pt>
                <c:pt idx="2084">
                  <c:v>-1.266991738726253E-2</c:v>
                </c:pt>
                <c:pt idx="2085">
                  <c:v>-5.8068574968390685E-3</c:v>
                </c:pt>
                <c:pt idx="2086">
                  <c:v>-8.527077668862848E-5</c:v>
                </c:pt>
                <c:pt idx="2087">
                  <c:v>-4.6455342142703859E-4</c:v>
                </c:pt>
                <c:pt idx="2088">
                  <c:v>-8.5539136243839575E-4</c:v>
                </c:pt>
                <c:pt idx="2089">
                  <c:v>-2.6072032751238705E-3</c:v>
                </c:pt>
                <c:pt idx="2090">
                  <c:v>-1.2666849109185252E-3</c:v>
                </c:pt>
                <c:pt idx="2091">
                  <c:v>5.8186863892086826E-3</c:v>
                </c:pt>
                <c:pt idx="2092">
                  <c:v>1.2953637123911399E-3</c:v>
                </c:pt>
                <c:pt idx="2093">
                  <c:v>5.1163490244463539E-3</c:v>
                </c:pt>
                <c:pt idx="2094">
                  <c:v>-1.4766510085661988E-4</c:v>
                </c:pt>
                <c:pt idx="2095">
                  <c:v>-6.1486421363527999E-3</c:v>
                </c:pt>
                <c:pt idx="2096">
                  <c:v>-4.957776068199804E-3</c:v>
                </c:pt>
                <c:pt idx="2097">
                  <c:v>-1.8735544677219829E-2</c:v>
                </c:pt>
                <c:pt idx="2098">
                  <c:v>-1.8320565171986547E-2</c:v>
                </c:pt>
                <c:pt idx="2099">
                  <c:v>-1.1529347852491156E-2</c:v>
                </c:pt>
                <c:pt idx="2100">
                  <c:v>-9.0945230327957871E-3</c:v>
                </c:pt>
                <c:pt idx="2101">
                  <c:v>-3.4918336291938079E-3</c:v>
                </c:pt>
                <c:pt idx="2102">
                  <c:v>4.978494681011858E-3</c:v>
                </c:pt>
                <c:pt idx="2103">
                  <c:v>7.4860555833164977E-3</c:v>
                </c:pt>
                <c:pt idx="2104">
                  <c:v>6.3269852907157365E-3</c:v>
                </c:pt>
                <c:pt idx="2105">
                  <c:v>1.6914447467183402E-2</c:v>
                </c:pt>
                <c:pt idx="2106">
                  <c:v>1.1983388305046194E-2</c:v>
                </c:pt>
                <c:pt idx="2107">
                  <c:v>1.0400524576123615E-2</c:v>
                </c:pt>
                <c:pt idx="2108">
                  <c:v>1.2072381667603826E-2</c:v>
                </c:pt>
                <c:pt idx="2109">
                  <c:v>7.8604647865356814E-3</c:v>
                </c:pt>
                <c:pt idx="2110">
                  <c:v>7.0925192339317267E-3</c:v>
                </c:pt>
                <c:pt idx="2111">
                  <c:v>8.3370453618036855E-3</c:v>
                </c:pt>
                <c:pt idx="2112">
                  <c:v>1.2804809663129468E-3</c:v>
                </c:pt>
                <c:pt idx="2113">
                  <c:v>1.263198236026053E-3</c:v>
                </c:pt>
                <c:pt idx="2114">
                  <c:v>-9.5269835078404252E-4</c:v>
                </c:pt>
                <c:pt idx="2115">
                  <c:v>-4.9398302092934498E-3</c:v>
                </c:pt>
                <c:pt idx="2116">
                  <c:v>-6.8654184007960195E-3</c:v>
                </c:pt>
                <c:pt idx="2117">
                  <c:v>-4.3572244995873088E-3</c:v>
                </c:pt>
                <c:pt idx="2118">
                  <c:v>-1.73175931726266E-3</c:v>
                </c:pt>
                <c:pt idx="2119">
                  <c:v>-1.5780558246093479E-3</c:v>
                </c:pt>
                <c:pt idx="2120">
                  <c:v>2.2384285764043277E-3</c:v>
                </c:pt>
                <c:pt idx="2121">
                  <c:v>-3.0303442926173929E-3</c:v>
                </c:pt>
                <c:pt idx="2122">
                  <c:v>-2.3893905072588373E-3</c:v>
                </c:pt>
                <c:pt idx="2123">
                  <c:v>-5.2870393858845954E-3</c:v>
                </c:pt>
                <c:pt idx="2124">
                  <c:v>-3.6303903399587112E-3</c:v>
                </c:pt>
                <c:pt idx="2125">
                  <c:v>-6.5706428137354278E-3</c:v>
                </c:pt>
                <c:pt idx="2126">
                  <c:v>1.7613168504360122E-3</c:v>
                </c:pt>
                <c:pt idx="2127">
                  <c:v>-2.9457450472772928E-3</c:v>
                </c:pt>
                <c:pt idx="2128">
                  <c:v>2.0443862835168858E-3</c:v>
                </c:pt>
                <c:pt idx="2129">
                  <c:v>-1.785878113150785E-3</c:v>
                </c:pt>
                <c:pt idx="2130">
                  <c:v>1.032912573140532E-3</c:v>
                </c:pt>
                <c:pt idx="2131">
                  <c:v>1.1008248940622689E-2</c:v>
                </c:pt>
                <c:pt idx="2132">
                  <c:v>1.4052615899638576E-2</c:v>
                </c:pt>
                <c:pt idx="2133">
                  <c:v>4.617834536408072E-3</c:v>
                </c:pt>
                <c:pt idx="2134">
                  <c:v>-1.8658521660100957E-3</c:v>
                </c:pt>
                <c:pt idx="2135">
                  <c:v>-2.5952862492064632E-3</c:v>
                </c:pt>
                <c:pt idx="2136">
                  <c:v>-4.5241770598386521E-3</c:v>
                </c:pt>
                <c:pt idx="2137">
                  <c:v>1.9347460134107042E-3</c:v>
                </c:pt>
                <c:pt idx="2138">
                  <c:v>1.7480570760961545E-3</c:v>
                </c:pt>
                <c:pt idx="2139">
                  <c:v>-6.8192625827112607E-4</c:v>
                </c:pt>
                <c:pt idx="2140">
                  <c:v>6.654123872211759E-4</c:v>
                </c:pt>
                <c:pt idx="2141">
                  <c:v>-3.5876122899626273E-3</c:v>
                </c:pt>
                <c:pt idx="2142">
                  <c:v>-4.9058278711380243E-3</c:v>
                </c:pt>
                <c:pt idx="2143">
                  <c:v>-4.200178376421837E-3</c:v>
                </c:pt>
                <c:pt idx="2144">
                  <c:v>-4.251441380047849E-3</c:v>
                </c:pt>
                <c:pt idx="2145">
                  <c:v>-2.53795419284919E-3</c:v>
                </c:pt>
                <c:pt idx="2146">
                  <c:v>-1.2183934789307127E-3</c:v>
                </c:pt>
                <c:pt idx="2147">
                  <c:v>-2.932673253313034E-4</c:v>
                </c:pt>
                <c:pt idx="2148">
                  <c:v>-1.2688608143626157E-3</c:v>
                </c:pt>
                <c:pt idx="2149">
                  <c:v>-1.0544812363589506E-2</c:v>
                </c:pt>
                <c:pt idx="2150">
                  <c:v>-9.7557203675351367E-3</c:v>
                </c:pt>
                <c:pt idx="2151">
                  <c:v>-4.0884622787356051E-3</c:v>
                </c:pt>
                <c:pt idx="2152">
                  <c:v>-1.3120920757720089E-2</c:v>
                </c:pt>
                <c:pt idx="2153">
                  <c:v>-1.6148327985545663E-2</c:v>
                </c:pt>
                <c:pt idx="2154">
                  <c:v>-1.5921264608589558E-2</c:v>
                </c:pt>
                <c:pt idx="2155">
                  <c:v>-1.9062578857731105E-2</c:v>
                </c:pt>
                <c:pt idx="2156">
                  <c:v>-1.6367868484631676E-2</c:v>
                </c:pt>
                <c:pt idx="2157">
                  <c:v>-2.4652138197461704E-2</c:v>
                </c:pt>
                <c:pt idx="2158">
                  <c:v>-1.4542738778558606E-2</c:v>
                </c:pt>
                <c:pt idx="2159">
                  <c:v>-1.7158067484472461E-2</c:v>
                </c:pt>
                <c:pt idx="2160">
                  <c:v>-2.0374491766866787E-2</c:v>
                </c:pt>
                <c:pt idx="2161">
                  <c:v>-1.1742625238291726E-2</c:v>
                </c:pt>
                <c:pt idx="2162">
                  <c:v>-8.8372977912114514E-3</c:v>
                </c:pt>
                <c:pt idx="2163">
                  <c:v>-9.360460154483996E-3</c:v>
                </c:pt>
                <c:pt idx="2164">
                  <c:v>-2.4044095153075151E-3</c:v>
                </c:pt>
                <c:pt idx="2165">
                  <c:v>-7.1322039083713262E-3</c:v>
                </c:pt>
                <c:pt idx="2166">
                  <c:v>-8.7231674802157322E-3</c:v>
                </c:pt>
                <c:pt idx="2167">
                  <c:v>-1.1767282477164298E-2</c:v>
                </c:pt>
                <c:pt idx="2168">
                  <c:v>-1.1418825545278732E-2</c:v>
                </c:pt>
                <c:pt idx="2169">
                  <c:v>-2.052022119558472E-2</c:v>
                </c:pt>
                <c:pt idx="2170">
                  <c:v>-2.3183311253151428E-2</c:v>
                </c:pt>
                <c:pt idx="2171">
                  <c:v>-2.2373148337001991E-2</c:v>
                </c:pt>
                <c:pt idx="2172">
                  <c:v>-2.4020670978408099E-2</c:v>
                </c:pt>
                <c:pt idx="2173">
                  <c:v>-2.3612901410531184E-2</c:v>
                </c:pt>
                <c:pt idx="2174">
                  <c:v>-2.138826781218639E-2</c:v>
                </c:pt>
                <c:pt idx="2175">
                  <c:v>-1.666950581967519E-2</c:v>
                </c:pt>
                <c:pt idx="2176">
                  <c:v>-1.9880723596072514E-2</c:v>
                </c:pt>
                <c:pt idx="2177">
                  <c:v>-1.7601169795396054E-2</c:v>
                </c:pt>
                <c:pt idx="2178">
                  <c:v>-1.6927843601425852E-2</c:v>
                </c:pt>
                <c:pt idx="2179">
                  <c:v>-1.1293881573941511E-2</c:v>
                </c:pt>
                <c:pt idx="2180">
                  <c:v>-1.1158356747469345E-2</c:v>
                </c:pt>
                <c:pt idx="2181">
                  <c:v>-6.1474493178678147E-3</c:v>
                </c:pt>
                <c:pt idx="2182">
                  <c:v>-3.3712827602565554E-3</c:v>
                </c:pt>
                <c:pt idx="2183">
                  <c:v>1.8587409997687931E-3</c:v>
                </c:pt>
                <c:pt idx="2184">
                  <c:v>-9.4717282263747649E-3</c:v>
                </c:pt>
                <c:pt idx="2185">
                  <c:v>-4.1969564795967251E-3</c:v>
                </c:pt>
                <c:pt idx="2186">
                  <c:v>2.5690305573378147E-4</c:v>
                </c:pt>
                <c:pt idx="2187">
                  <c:v>3.9109571999000892E-3</c:v>
                </c:pt>
                <c:pt idx="2188">
                  <c:v>2.1135293853846715E-3</c:v>
                </c:pt>
                <c:pt idx="2189">
                  <c:v>4.4423469910199742E-3</c:v>
                </c:pt>
                <c:pt idx="2190">
                  <c:v>1.0652457462632769E-2</c:v>
                </c:pt>
                <c:pt idx="2191">
                  <c:v>1.2407523055437908E-2</c:v>
                </c:pt>
                <c:pt idx="2192">
                  <c:v>1.2745904133423913E-2</c:v>
                </c:pt>
                <c:pt idx="2193">
                  <c:v>1.6220335292836952E-2</c:v>
                </c:pt>
                <c:pt idx="2194">
                  <c:v>1.168329728612294E-2</c:v>
                </c:pt>
                <c:pt idx="2195">
                  <c:v>6.6180680093044231E-3</c:v>
                </c:pt>
                <c:pt idx="2196">
                  <c:v>6.6329541855496554E-3</c:v>
                </c:pt>
                <c:pt idx="2197">
                  <c:v>6.20252408763311E-3</c:v>
                </c:pt>
                <c:pt idx="2198">
                  <c:v>6.1122064410119581E-3</c:v>
                </c:pt>
                <c:pt idx="2199">
                  <c:v>7.9913791734522732E-3</c:v>
                </c:pt>
                <c:pt idx="2200">
                  <c:v>1.1612565477380876E-2</c:v>
                </c:pt>
                <c:pt idx="2201">
                  <c:v>1.1818044816127804E-2</c:v>
                </c:pt>
                <c:pt idx="2202">
                  <c:v>1.3836103465311611E-2</c:v>
                </c:pt>
                <c:pt idx="2203">
                  <c:v>2.3066870396454942E-2</c:v>
                </c:pt>
                <c:pt idx="2204">
                  <c:v>2.6749865433304709E-2</c:v>
                </c:pt>
                <c:pt idx="2205">
                  <c:v>3.6686393161481812E-2</c:v>
                </c:pt>
                <c:pt idx="2206">
                  <c:v>3.7059567636160473E-2</c:v>
                </c:pt>
                <c:pt idx="2207">
                  <c:v>3.6281328723032136E-2</c:v>
                </c:pt>
                <c:pt idx="2208">
                  <c:v>3.4023599045244435E-2</c:v>
                </c:pt>
                <c:pt idx="2209">
                  <c:v>3.3938067631992475E-2</c:v>
                </c:pt>
                <c:pt idx="2210">
                  <c:v>3.793008097263173E-2</c:v>
                </c:pt>
                <c:pt idx="2211">
                  <c:v>3.7010308959047E-2</c:v>
                </c:pt>
                <c:pt idx="2212">
                  <c:v>4.7797706211709423E-2</c:v>
                </c:pt>
                <c:pt idx="2213">
                  <c:v>5.6930964632720293E-2</c:v>
                </c:pt>
                <c:pt idx="2214">
                  <c:v>5.4528879936959651E-2</c:v>
                </c:pt>
                <c:pt idx="2215">
                  <c:v>5.6875408286995777E-2</c:v>
                </c:pt>
                <c:pt idx="2216">
                  <c:v>6.1617468585795532E-2</c:v>
                </c:pt>
                <c:pt idx="2217">
                  <c:v>6.3708131248088939E-2</c:v>
                </c:pt>
                <c:pt idx="2218">
                  <c:v>6.7046371229478208E-2</c:v>
                </c:pt>
                <c:pt idx="2219">
                  <c:v>7.2183318730518531E-2</c:v>
                </c:pt>
                <c:pt idx="2220">
                  <c:v>7.2016226225992463E-2</c:v>
                </c:pt>
                <c:pt idx="2221">
                  <c:v>7.4862171744279893E-2</c:v>
                </c:pt>
                <c:pt idx="2222">
                  <c:v>6.3859229704772202E-2</c:v>
                </c:pt>
                <c:pt idx="2223">
                  <c:v>6.8615732165618226E-2</c:v>
                </c:pt>
                <c:pt idx="2224">
                  <c:v>6.6765748980021744E-2</c:v>
                </c:pt>
                <c:pt idx="2225">
                  <c:v>6.5211279955092794E-2</c:v>
                </c:pt>
                <c:pt idx="2226">
                  <c:v>6.2094533644414307E-2</c:v>
                </c:pt>
                <c:pt idx="2227">
                  <c:v>6.0067241536397864E-2</c:v>
                </c:pt>
                <c:pt idx="2228">
                  <c:v>5.2636699310832036E-2</c:v>
                </c:pt>
                <c:pt idx="2229">
                  <c:v>5.217498404451848E-2</c:v>
                </c:pt>
                <c:pt idx="2230">
                  <c:v>5.230742733431093E-2</c:v>
                </c:pt>
                <c:pt idx="2231">
                  <c:v>5.3697020329347422E-2</c:v>
                </c:pt>
                <c:pt idx="2232">
                  <c:v>5.0995785753126688E-2</c:v>
                </c:pt>
                <c:pt idx="2233">
                  <c:v>4.8463424751668871E-2</c:v>
                </c:pt>
                <c:pt idx="2234">
                  <c:v>5.3173506770459955E-2</c:v>
                </c:pt>
                <c:pt idx="2235">
                  <c:v>5.7058011748300386E-2</c:v>
                </c:pt>
                <c:pt idx="2236">
                  <c:v>5.9560766212118699E-2</c:v>
                </c:pt>
                <c:pt idx="2237">
                  <c:v>5.3352838991865381E-2</c:v>
                </c:pt>
                <c:pt idx="2238">
                  <c:v>5.2514453921729487E-2</c:v>
                </c:pt>
                <c:pt idx="2239">
                  <c:v>5.4693509717875122E-2</c:v>
                </c:pt>
                <c:pt idx="2240">
                  <c:v>5.6514221464947889E-2</c:v>
                </c:pt>
                <c:pt idx="2241">
                  <c:v>5.8479723785276549E-2</c:v>
                </c:pt>
                <c:pt idx="2242">
                  <c:v>5.410771158272687E-2</c:v>
                </c:pt>
                <c:pt idx="2243">
                  <c:v>5.9179341615562597E-2</c:v>
                </c:pt>
                <c:pt idx="2244">
                  <c:v>5.9425427282819188E-2</c:v>
                </c:pt>
                <c:pt idx="2245">
                  <c:v>4.9282810308707736E-2</c:v>
                </c:pt>
                <c:pt idx="2246">
                  <c:v>4.0272089148760015E-2</c:v>
                </c:pt>
                <c:pt idx="2247">
                  <c:v>3.7625826944895691E-2</c:v>
                </c:pt>
                <c:pt idx="2248">
                  <c:v>4.2025532330663307E-2</c:v>
                </c:pt>
                <c:pt idx="2249">
                  <c:v>3.4651143652769223E-2</c:v>
                </c:pt>
                <c:pt idx="2250">
                  <c:v>3.0354876462250324E-2</c:v>
                </c:pt>
                <c:pt idx="2251">
                  <c:v>3.3280185764668957E-2</c:v>
                </c:pt>
                <c:pt idx="2252">
                  <c:v>3.4910012198056117E-2</c:v>
                </c:pt>
                <c:pt idx="2253">
                  <c:v>3.8506476697717451E-2</c:v>
                </c:pt>
                <c:pt idx="2254">
                  <c:v>3.1595903221436128E-2</c:v>
                </c:pt>
                <c:pt idx="2255">
                  <c:v>2.9948063429891647E-2</c:v>
                </c:pt>
                <c:pt idx="2256">
                  <c:v>2.5576257485437015E-2</c:v>
                </c:pt>
                <c:pt idx="2257">
                  <c:v>2.9087604379780085E-2</c:v>
                </c:pt>
                <c:pt idx="2258">
                  <c:v>2.6419322873295181E-2</c:v>
                </c:pt>
                <c:pt idx="2259">
                  <c:v>2.4245021322947258E-2</c:v>
                </c:pt>
                <c:pt idx="2260">
                  <c:v>2.8174216965352716E-2</c:v>
                </c:pt>
                <c:pt idx="2261">
                  <c:v>2.7817105552915944E-2</c:v>
                </c:pt>
                <c:pt idx="2262">
                  <c:v>2.7506342134741013E-2</c:v>
                </c:pt>
                <c:pt idx="2263">
                  <c:v>2.184024488170544E-2</c:v>
                </c:pt>
                <c:pt idx="2264">
                  <c:v>2.1781711635253664E-2</c:v>
                </c:pt>
                <c:pt idx="2265">
                  <c:v>1.7186957886742293E-2</c:v>
                </c:pt>
                <c:pt idx="2266">
                  <c:v>1.9816768744613134E-2</c:v>
                </c:pt>
                <c:pt idx="2267">
                  <c:v>1.8747922361036506E-2</c:v>
                </c:pt>
                <c:pt idx="2268">
                  <c:v>1.676974628348149E-2</c:v>
                </c:pt>
                <c:pt idx="2269">
                  <c:v>1.2321753288079496E-2</c:v>
                </c:pt>
                <c:pt idx="2270">
                  <c:v>1.2629160410303486E-2</c:v>
                </c:pt>
                <c:pt idx="2271">
                  <c:v>9.983513190088722E-3</c:v>
                </c:pt>
                <c:pt idx="2272">
                  <c:v>1.4234686037697619E-2</c:v>
                </c:pt>
                <c:pt idx="2273">
                  <c:v>1.3351593978280452E-2</c:v>
                </c:pt>
                <c:pt idx="2274">
                  <c:v>7.2154200799925405E-3</c:v>
                </c:pt>
                <c:pt idx="2275">
                  <c:v>2.2122959279673449E-3</c:v>
                </c:pt>
                <c:pt idx="2276">
                  <c:v>-3.1028050868857626E-3</c:v>
                </c:pt>
                <c:pt idx="2277">
                  <c:v>-8.0265159426894384E-3</c:v>
                </c:pt>
                <c:pt idx="2278">
                  <c:v>-5.4906019563231157E-3</c:v>
                </c:pt>
                <c:pt idx="2279">
                  <c:v>-7.6304486501563851E-3</c:v>
                </c:pt>
                <c:pt idx="2280">
                  <c:v>-6.7931009419761601E-3</c:v>
                </c:pt>
                <c:pt idx="2281">
                  <c:v>-1.0767958242530185E-2</c:v>
                </c:pt>
                <c:pt idx="2282">
                  <c:v>-9.8216447049080946E-3</c:v>
                </c:pt>
                <c:pt idx="2283">
                  <c:v>-1.0235047450893875E-2</c:v>
                </c:pt>
                <c:pt idx="2284">
                  <c:v>-8.4745159259492775E-3</c:v>
                </c:pt>
                <c:pt idx="2285">
                  <c:v>-3.3224535715428161E-3</c:v>
                </c:pt>
                <c:pt idx="2286">
                  <c:v>-1.5516842881315718E-3</c:v>
                </c:pt>
                <c:pt idx="2287">
                  <c:v>-8.0926459123790151E-3</c:v>
                </c:pt>
                <c:pt idx="2288">
                  <c:v>-3.2084637001230654E-3</c:v>
                </c:pt>
                <c:pt idx="2289">
                  <c:v>2.1643331808698374E-3</c:v>
                </c:pt>
                <c:pt idx="2290">
                  <c:v>-1.0911398763262525E-3</c:v>
                </c:pt>
                <c:pt idx="2291">
                  <c:v>7.1056089209009521E-4</c:v>
                </c:pt>
                <c:pt idx="2292">
                  <c:v>6.0530094044821681E-3</c:v>
                </c:pt>
                <c:pt idx="2293">
                  <c:v>2.2845394526809226E-3</c:v>
                </c:pt>
                <c:pt idx="2294">
                  <c:v>-5.1395384040674452E-3</c:v>
                </c:pt>
                <c:pt idx="2295">
                  <c:v>4.0573527568454892E-3</c:v>
                </c:pt>
                <c:pt idx="2296">
                  <c:v>4.7016034808033957E-4</c:v>
                </c:pt>
                <c:pt idx="2297">
                  <c:v>6.1611109140957687E-4</c:v>
                </c:pt>
                <c:pt idx="2298">
                  <c:v>3.2181615989992363E-3</c:v>
                </c:pt>
                <c:pt idx="2299">
                  <c:v>1.4281442241967923E-3</c:v>
                </c:pt>
                <c:pt idx="2300">
                  <c:v>-2.276221285183011E-3</c:v>
                </c:pt>
                <c:pt idx="2301">
                  <c:v>3.1256077986308028E-3</c:v>
                </c:pt>
                <c:pt idx="2302">
                  <c:v>2.5416544170433486E-3</c:v>
                </c:pt>
                <c:pt idx="2303">
                  <c:v>-6.6731119799424699E-3</c:v>
                </c:pt>
                <c:pt idx="2304">
                  <c:v>-8.0742730918460515E-3</c:v>
                </c:pt>
                <c:pt idx="2305">
                  <c:v>-8.7451205730000314E-3</c:v>
                </c:pt>
                <c:pt idx="2306">
                  <c:v>-1.9829288663072431E-3</c:v>
                </c:pt>
                <c:pt idx="2307">
                  <c:v>-1.2627727266774746E-2</c:v>
                </c:pt>
                <c:pt idx="2308">
                  <c:v>-1.402261030962626E-2</c:v>
                </c:pt>
                <c:pt idx="2309">
                  <c:v>-5.1487414187643132E-3</c:v>
                </c:pt>
                <c:pt idx="2310">
                  <c:v>2.8466533575270958E-3</c:v>
                </c:pt>
                <c:pt idx="2311">
                  <c:v>3.0787468882285118E-3</c:v>
                </c:pt>
                <c:pt idx="2312">
                  <c:v>6.4800394837449815E-3</c:v>
                </c:pt>
                <c:pt idx="2313">
                  <c:v>7.5478943423077371E-3</c:v>
                </c:pt>
                <c:pt idx="2314">
                  <c:v>7.1645994775597632E-3</c:v>
                </c:pt>
                <c:pt idx="2315">
                  <c:v>3.9874484733664062E-3</c:v>
                </c:pt>
                <c:pt idx="2316">
                  <c:v>6.4357414845874761E-3</c:v>
                </c:pt>
                <c:pt idx="2317">
                  <c:v>1.2432980133694205E-3</c:v>
                </c:pt>
                <c:pt idx="2318">
                  <c:v>7.5118560002318535E-3</c:v>
                </c:pt>
                <c:pt idx="2319">
                  <c:v>9.5017593238178044E-3</c:v>
                </c:pt>
                <c:pt idx="2320">
                  <c:v>5.9775754317672458E-3</c:v>
                </c:pt>
                <c:pt idx="2321">
                  <c:v>2.3319172318698733E-3</c:v>
                </c:pt>
                <c:pt idx="2322">
                  <c:v>7.5529826189779659E-3</c:v>
                </c:pt>
                <c:pt idx="2323">
                  <c:v>5.3999436177953886E-3</c:v>
                </c:pt>
                <c:pt idx="2324">
                  <c:v>-2.3785920746556277E-3</c:v>
                </c:pt>
                <c:pt idx="2325">
                  <c:v>2.3589545332467488E-3</c:v>
                </c:pt>
                <c:pt idx="2326">
                  <c:v>6.0139255883220333E-3</c:v>
                </c:pt>
                <c:pt idx="2327">
                  <c:v>4.2426557560424349E-3</c:v>
                </c:pt>
                <c:pt idx="2328">
                  <c:v>-3.6417924724900796E-3</c:v>
                </c:pt>
                <c:pt idx="2329">
                  <c:v>-3.0343792436164918E-3</c:v>
                </c:pt>
                <c:pt idx="2330">
                  <c:v>-2.4172829330267875E-3</c:v>
                </c:pt>
                <c:pt idx="2331">
                  <c:v>-3.8583727282255342E-3</c:v>
                </c:pt>
                <c:pt idx="2332">
                  <c:v>-1.5094470933914028E-3</c:v>
                </c:pt>
                <c:pt idx="2333">
                  <c:v>-1.827607929202113E-3</c:v>
                </c:pt>
                <c:pt idx="2334">
                  <c:v>-7.2003651269944013E-3</c:v>
                </c:pt>
                <c:pt idx="2335">
                  <c:v>-9.3323807215400789E-3</c:v>
                </c:pt>
                <c:pt idx="2336">
                  <c:v>-1.3492365103856874E-2</c:v>
                </c:pt>
                <c:pt idx="2337">
                  <c:v>-1.1031065942362361E-2</c:v>
                </c:pt>
                <c:pt idx="2338">
                  <c:v>-1.7532982248440465E-3</c:v>
                </c:pt>
                <c:pt idx="2339">
                  <c:v>-1.02771335056695E-3</c:v>
                </c:pt>
                <c:pt idx="2340">
                  <c:v>4.748516780306522E-3</c:v>
                </c:pt>
                <c:pt idx="2341">
                  <c:v>1.5317713887563755E-3</c:v>
                </c:pt>
                <c:pt idx="2342">
                  <c:v>3.5782133185269238E-3</c:v>
                </c:pt>
                <c:pt idx="2343">
                  <c:v>3.485791049542275E-4</c:v>
                </c:pt>
                <c:pt idx="2344">
                  <c:v>-4.1809783252397814E-3</c:v>
                </c:pt>
                <c:pt idx="2345">
                  <c:v>-5.8882321897946177E-4</c:v>
                </c:pt>
                <c:pt idx="2346">
                  <c:v>-1.7214628239446972E-3</c:v>
                </c:pt>
                <c:pt idx="2347">
                  <c:v>-4.1839078129737306E-3</c:v>
                </c:pt>
                <c:pt idx="2348">
                  <c:v>-6.6852233540516393E-3</c:v>
                </c:pt>
                <c:pt idx="2349">
                  <c:v>-7.274536881944238E-3</c:v>
                </c:pt>
                <c:pt idx="2350">
                  <c:v>-8.8425894048602682E-3</c:v>
                </c:pt>
                <c:pt idx="2351">
                  <c:v>-6.236108389523265E-3</c:v>
                </c:pt>
                <c:pt idx="2352">
                  <c:v>-5.1325519589054958E-3</c:v>
                </c:pt>
                <c:pt idx="2353">
                  <c:v>-5.0428735276447645E-3</c:v>
                </c:pt>
                <c:pt idx="2354">
                  <c:v>-3.5211985410660285E-3</c:v>
                </c:pt>
                <c:pt idx="2355">
                  <c:v>1.1790336940873392E-3</c:v>
                </c:pt>
                <c:pt idx="2356">
                  <c:v>-1.3022117702841118E-3</c:v>
                </c:pt>
                <c:pt idx="2357">
                  <c:v>-1.298713984363542E-3</c:v>
                </c:pt>
                <c:pt idx="2358">
                  <c:v>5.4938451034027835E-3</c:v>
                </c:pt>
                <c:pt idx="2359">
                  <c:v>2.8564730217761625E-3</c:v>
                </c:pt>
                <c:pt idx="2360">
                  <c:v>6.1551429445085848E-3</c:v>
                </c:pt>
                <c:pt idx="2361">
                  <c:v>1.2219840994325493E-2</c:v>
                </c:pt>
                <c:pt idx="2362">
                  <c:v>1.2254734832341629E-2</c:v>
                </c:pt>
                <c:pt idx="2363">
                  <c:v>1.35017360289027E-2</c:v>
                </c:pt>
                <c:pt idx="2364">
                  <c:v>1.5877652645919671E-2</c:v>
                </c:pt>
                <c:pt idx="2365">
                  <c:v>1.0698015125088611E-2</c:v>
                </c:pt>
                <c:pt idx="2366">
                  <c:v>1.0438777302105962E-2</c:v>
                </c:pt>
                <c:pt idx="2367">
                  <c:v>1.6722456739489466E-2</c:v>
                </c:pt>
                <c:pt idx="2368">
                  <c:v>1.8891148568266125E-2</c:v>
                </c:pt>
                <c:pt idx="2369">
                  <c:v>1.70297836186033E-2</c:v>
                </c:pt>
                <c:pt idx="2370">
                  <c:v>1.3522467211127376E-2</c:v>
                </c:pt>
                <c:pt idx="2371">
                  <c:v>2.0460280367833983E-2</c:v>
                </c:pt>
                <c:pt idx="2372">
                  <c:v>2.173993029736998E-2</c:v>
                </c:pt>
                <c:pt idx="2373">
                  <c:v>2.2076618626872158E-2</c:v>
                </c:pt>
                <c:pt idx="2374">
                  <c:v>2.2183347379353124E-2</c:v>
                </c:pt>
                <c:pt idx="2375">
                  <c:v>2.235807845421256E-2</c:v>
                </c:pt>
                <c:pt idx="2376">
                  <c:v>1.8361319948540844E-2</c:v>
                </c:pt>
                <c:pt idx="2377">
                  <c:v>2.1080696583967828E-2</c:v>
                </c:pt>
                <c:pt idx="2378">
                  <c:v>1.9416629350710979E-2</c:v>
                </c:pt>
                <c:pt idx="2379">
                  <c:v>2.0826475141227263E-2</c:v>
                </c:pt>
                <c:pt idx="2380">
                  <c:v>2.2506123608841078E-2</c:v>
                </c:pt>
                <c:pt idx="2381">
                  <c:v>2.420887728459542E-2</c:v>
                </c:pt>
                <c:pt idx="2382">
                  <c:v>2.0839725703315937E-2</c:v>
                </c:pt>
                <c:pt idx="2383">
                  <c:v>2.1638567033019251E-2</c:v>
                </c:pt>
                <c:pt idx="2384">
                  <c:v>2.1081822417669205E-2</c:v>
                </c:pt>
                <c:pt idx="2385">
                  <c:v>2.3141913460965613E-2</c:v>
                </c:pt>
                <c:pt idx="2386">
                  <c:v>2.1409377379527861E-2</c:v>
                </c:pt>
                <c:pt idx="2387">
                  <c:v>2.5609724964259062E-2</c:v>
                </c:pt>
                <c:pt idx="2388">
                  <c:v>3.0974489109329539E-2</c:v>
                </c:pt>
                <c:pt idx="2389">
                  <c:v>2.7080346781350295E-2</c:v>
                </c:pt>
                <c:pt idx="2390">
                  <c:v>2.679937245100783E-2</c:v>
                </c:pt>
                <c:pt idx="2391">
                  <c:v>2.7425148219552886E-2</c:v>
                </c:pt>
                <c:pt idx="2392">
                  <c:v>2.968914475376061E-2</c:v>
                </c:pt>
                <c:pt idx="2393">
                  <c:v>3.0071752746125835E-2</c:v>
                </c:pt>
                <c:pt idx="2394">
                  <c:v>2.8122712001259043E-2</c:v>
                </c:pt>
                <c:pt idx="2395">
                  <c:v>2.4270744590219717E-2</c:v>
                </c:pt>
                <c:pt idx="2396">
                  <c:v>1.9334575753261474E-2</c:v>
                </c:pt>
                <c:pt idx="2397">
                  <c:v>2.0304208989192052E-2</c:v>
                </c:pt>
                <c:pt idx="2398">
                  <c:v>2.7044313753674887E-2</c:v>
                </c:pt>
                <c:pt idx="2399">
                  <c:v>3.1694325064635986E-2</c:v>
                </c:pt>
                <c:pt idx="2400">
                  <c:v>3.9406559351786496E-2</c:v>
                </c:pt>
                <c:pt idx="2401">
                  <c:v>3.8057710736894235E-2</c:v>
                </c:pt>
                <c:pt idx="2402">
                  <c:v>3.3175218162725839E-2</c:v>
                </c:pt>
                <c:pt idx="2403">
                  <c:v>3.6598493920707131E-2</c:v>
                </c:pt>
                <c:pt idx="2404">
                  <c:v>2.7677664232586885E-2</c:v>
                </c:pt>
                <c:pt idx="2405">
                  <c:v>3.0599191156921002E-2</c:v>
                </c:pt>
                <c:pt idx="2406">
                  <c:v>3.0963075703392962E-2</c:v>
                </c:pt>
                <c:pt idx="2407">
                  <c:v>3.0960949400640203E-2</c:v>
                </c:pt>
                <c:pt idx="2408">
                  <c:v>2.8559704624502302E-2</c:v>
                </c:pt>
                <c:pt idx="2409">
                  <c:v>2.8257244924986935E-2</c:v>
                </c:pt>
                <c:pt idx="2410">
                  <c:v>2.6299382167181085E-2</c:v>
                </c:pt>
                <c:pt idx="2411">
                  <c:v>2.8531260933640112E-2</c:v>
                </c:pt>
                <c:pt idx="2412">
                  <c:v>3.4308155023357045E-2</c:v>
                </c:pt>
                <c:pt idx="2413">
                  <c:v>3.1865480878030539E-2</c:v>
                </c:pt>
                <c:pt idx="2414">
                  <c:v>3.4473397091665525E-2</c:v>
                </c:pt>
                <c:pt idx="2415">
                  <c:v>4.0302097849454155E-2</c:v>
                </c:pt>
                <c:pt idx="2416">
                  <c:v>4.0104479563418005E-2</c:v>
                </c:pt>
                <c:pt idx="2417">
                  <c:v>4.137766400174292E-2</c:v>
                </c:pt>
                <c:pt idx="2418">
                  <c:v>3.9331203743758758E-2</c:v>
                </c:pt>
                <c:pt idx="2419">
                  <c:v>3.3792854203446021E-2</c:v>
                </c:pt>
                <c:pt idx="2420">
                  <c:v>2.8128164662265753E-2</c:v>
                </c:pt>
                <c:pt idx="2421">
                  <c:v>2.8907810454167127E-2</c:v>
                </c:pt>
                <c:pt idx="2422">
                  <c:v>2.5960175520695516E-2</c:v>
                </c:pt>
                <c:pt idx="2423">
                  <c:v>2.1049420120820228E-2</c:v>
                </c:pt>
                <c:pt idx="2424">
                  <c:v>2.2833327697561856E-2</c:v>
                </c:pt>
                <c:pt idx="2425">
                  <c:v>2.033243804067153E-2</c:v>
                </c:pt>
                <c:pt idx="2426">
                  <c:v>1.9061592837640751E-2</c:v>
                </c:pt>
                <c:pt idx="2427">
                  <c:v>2.3026837775850018E-2</c:v>
                </c:pt>
                <c:pt idx="2428">
                  <c:v>2.4513727620203873E-2</c:v>
                </c:pt>
                <c:pt idx="2429">
                  <c:v>2.6557866128791519E-2</c:v>
                </c:pt>
                <c:pt idx="2430">
                  <c:v>2.959613978799891E-2</c:v>
                </c:pt>
                <c:pt idx="2431">
                  <c:v>2.2235358656971238E-2</c:v>
                </c:pt>
                <c:pt idx="2432">
                  <c:v>2.0771594625240475E-2</c:v>
                </c:pt>
                <c:pt idx="2433">
                  <c:v>1.9319816598662332E-2</c:v>
                </c:pt>
                <c:pt idx="2434">
                  <c:v>2.3467142007319364E-2</c:v>
                </c:pt>
                <c:pt idx="2435">
                  <c:v>1.8172205799056762E-2</c:v>
                </c:pt>
                <c:pt idx="2436">
                  <c:v>1.7389869741375463E-2</c:v>
                </c:pt>
                <c:pt idx="2437">
                  <c:v>1.2316709173124885E-2</c:v>
                </c:pt>
                <c:pt idx="2438">
                  <c:v>6.2518269542268801E-3</c:v>
                </c:pt>
                <c:pt idx="2439">
                  <c:v>3.9213176824126617E-3</c:v>
                </c:pt>
                <c:pt idx="2440">
                  <c:v>3.7686404867505185E-3</c:v>
                </c:pt>
                <c:pt idx="2441">
                  <c:v>4.7417673724174936E-3</c:v>
                </c:pt>
                <c:pt idx="2442">
                  <c:v>6.7057400300349901E-3</c:v>
                </c:pt>
                <c:pt idx="2443">
                  <c:v>7.8712794667155084E-3</c:v>
                </c:pt>
                <c:pt idx="2444">
                  <c:v>3.9273702761308815E-3</c:v>
                </c:pt>
                <c:pt idx="2445">
                  <c:v>7.8641808724142503E-3</c:v>
                </c:pt>
                <c:pt idx="2446">
                  <c:v>7.2472600456701119E-3</c:v>
                </c:pt>
                <c:pt idx="2447">
                  <c:v>6.1796991349913899E-3</c:v>
                </c:pt>
                <c:pt idx="2448">
                  <c:v>9.2159854775888395E-3</c:v>
                </c:pt>
                <c:pt idx="2449">
                  <c:v>1.1039461592765809E-2</c:v>
                </c:pt>
                <c:pt idx="2450">
                  <c:v>1.1647841557072436E-2</c:v>
                </c:pt>
                <c:pt idx="2451">
                  <c:v>7.4592531039081589E-3</c:v>
                </c:pt>
                <c:pt idx="2452">
                  <c:v>7.6982715146964864E-3</c:v>
                </c:pt>
                <c:pt idx="2453">
                  <c:v>8.6976677721872786E-3</c:v>
                </c:pt>
                <c:pt idx="2454">
                  <c:v>7.7378667579719451E-3</c:v>
                </c:pt>
                <c:pt idx="2455">
                  <c:v>1.2150351573249285E-2</c:v>
                </c:pt>
                <c:pt idx="2456">
                  <c:v>1.766324820620313E-2</c:v>
                </c:pt>
                <c:pt idx="2457">
                  <c:v>1.5892434767065255E-2</c:v>
                </c:pt>
                <c:pt idx="2458">
                  <c:v>1.8484663569389603E-2</c:v>
                </c:pt>
                <c:pt idx="2459">
                  <c:v>2.1424549338803001E-2</c:v>
                </c:pt>
                <c:pt idx="2460">
                  <c:v>2.7050634832481935E-2</c:v>
                </c:pt>
                <c:pt idx="2461">
                  <c:v>2.6456357091193317E-2</c:v>
                </c:pt>
                <c:pt idx="2462">
                  <c:v>2.2410073580866552E-2</c:v>
                </c:pt>
                <c:pt idx="2463">
                  <c:v>2.2340525918470133E-2</c:v>
                </c:pt>
                <c:pt idx="2464">
                  <c:v>1.8610005018688147E-2</c:v>
                </c:pt>
                <c:pt idx="2465">
                  <c:v>1.8844595946986065E-2</c:v>
                </c:pt>
                <c:pt idx="2466">
                  <c:v>1.8437551797245932E-2</c:v>
                </c:pt>
                <c:pt idx="2467">
                  <c:v>1.5404741387816445E-2</c:v>
                </c:pt>
                <c:pt idx="2468">
                  <c:v>1.7974618828903832E-2</c:v>
                </c:pt>
                <c:pt idx="2469">
                  <c:v>1.3972690920615038E-2</c:v>
                </c:pt>
                <c:pt idx="2470">
                  <c:v>8.0175871244878572E-3</c:v>
                </c:pt>
                <c:pt idx="2471">
                  <c:v>9.4082280930274376E-3</c:v>
                </c:pt>
                <c:pt idx="2472">
                  <c:v>1.2935958271901526E-2</c:v>
                </c:pt>
                <c:pt idx="2473">
                  <c:v>1.138156542243185E-2</c:v>
                </c:pt>
                <c:pt idx="2474">
                  <c:v>9.6774166867925615E-3</c:v>
                </c:pt>
                <c:pt idx="2475">
                  <c:v>7.9525789289438542E-3</c:v>
                </c:pt>
                <c:pt idx="2476">
                  <c:v>3.0115057281929758E-3</c:v>
                </c:pt>
                <c:pt idx="2477">
                  <c:v>5.9827047170040171E-3</c:v>
                </c:pt>
                <c:pt idx="2478">
                  <c:v>4.9780677450625976E-3</c:v>
                </c:pt>
                <c:pt idx="2479">
                  <c:v>2.9558319192841687E-3</c:v>
                </c:pt>
                <c:pt idx="2480">
                  <c:v>-5.9033259510943292E-4</c:v>
                </c:pt>
                <c:pt idx="2481">
                  <c:v>-3.9403009469715089E-3</c:v>
                </c:pt>
                <c:pt idx="2482">
                  <c:v>-3.9203014203292863E-4</c:v>
                </c:pt>
                <c:pt idx="2483">
                  <c:v>3.3357009141554705E-4</c:v>
                </c:pt>
                <c:pt idx="2484">
                  <c:v>3.6694751207377863E-5</c:v>
                </c:pt>
                <c:pt idx="2485">
                  <c:v>1.7172557963065493E-3</c:v>
                </c:pt>
                <c:pt idx="2486">
                  <c:v>-1.3386239276547141E-4</c:v>
                </c:pt>
                <c:pt idx="2487">
                  <c:v>-1.3700119064986582E-3</c:v>
                </c:pt>
                <c:pt idx="2488">
                  <c:v>-3.2506012744538682E-3</c:v>
                </c:pt>
                <c:pt idx="2489">
                  <c:v>-5.0063131887349011E-3</c:v>
                </c:pt>
                <c:pt idx="2490">
                  <c:v>-7.3415493685110578E-3</c:v>
                </c:pt>
                <c:pt idx="2491">
                  <c:v>-1.2922443941575823E-2</c:v>
                </c:pt>
                <c:pt idx="2492">
                  <c:v>-9.2629560951309475E-3</c:v>
                </c:pt>
                <c:pt idx="2493">
                  <c:v>-7.6203634643123852E-3</c:v>
                </c:pt>
                <c:pt idx="2494">
                  <c:v>-8.1518054055029765E-3</c:v>
                </c:pt>
                <c:pt idx="2495">
                  <c:v>-1.4545649391732862E-3</c:v>
                </c:pt>
                <c:pt idx="2496">
                  <c:v>9.2258652809018571E-4</c:v>
                </c:pt>
                <c:pt idx="2497">
                  <c:v>7.9439458672703189E-4</c:v>
                </c:pt>
                <c:pt idx="2498">
                  <c:v>-5.7462317182624956E-3</c:v>
                </c:pt>
                <c:pt idx="2499">
                  <c:v>-4.5546164853151883E-3</c:v>
                </c:pt>
                <c:pt idx="2500">
                  <c:v>-3.1958651719429243E-3</c:v>
                </c:pt>
                <c:pt idx="2501">
                  <c:v>-1.2914491214432999E-3</c:v>
                </c:pt>
                <c:pt idx="2502">
                  <c:v>1.180607741939621E-3</c:v>
                </c:pt>
                <c:pt idx="2503">
                  <c:v>4.7797498867976351E-3</c:v>
                </c:pt>
                <c:pt idx="2504">
                  <c:v>9.5666406645817936E-3</c:v>
                </c:pt>
                <c:pt idx="2505">
                  <c:v>1.2771060811777923E-2</c:v>
                </c:pt>
                <c:pt idx="2506">
                  <c:v>1.3955724067916009E-2</c:v>
                </c:pt>
                <c:pt idx="2507">
                  <c:v>1.5688322998488768E-2</c:v>
                </c:pt>
                <c:pt idx="2508">
                  <c:v>1.6718025563967176E-2</c:v>
                </c:pt>
                <c:pt idx="2509">
                  <c:v>1.2006305023908093E-2</c:v>
                </c:pt>
                <c:pt idx="2510">
                  <c:v>1.0142967979864803E-2</c:v>
                </c:pt>
                <c:pt idx="2511">
                  <c:v>6.2546189761751858E-3</c:v>
                </c:pt>
                <c:pt idx="2512">
                  <c:v>5.115225624396702E-3</c:v>
                </c:pt>
                <c:pt idx="2513">
                  <c:v>7.0207474752794763E-3</c:v>
                </c:pt>
                <c:pt idx="2514">
                  <c:v>5.8483620309632833E-3</c:v>
                </c:pt>
                <c:pt idx="2515">
                  <c:v>4.8690315346384683E-3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6E-4A45-A6AB-FF86BE16D493}"/>
            </c:ext>
          </c:extLst>
        </c:ser>
        <c:ser>
          <c:idx val="2"/>
          <c:order val="2"/>
          <c:tx>
            <c:v>Monétaire</c:v>
          </c:tx>
          <c:spPr>
            <a:ln w="28575" cap="rnd">
              <a:solidFill>
                <a:schemeClr val="accent5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'Rendement hist'!$A$2:$A$2517</c:f>
              <c:numCache>
                <c:formatCode>m/d/yyyy</c:formatCode>
                <c:ptCount val="2516"/>
                <c:pt idx="0">
                  <c:v>42101</c:v>
                </c:pt>
                <c:pt idx="1">
                  <c:v>42102</c:v>
                </c:pt>
                <c:pt idx="2">
                  <c:v>42103</c:v>
                </c:pt>
                <c:pt idx="3">
                  <c:v>42104</c:v>
                </c:pt>
                <c:pt idx="4">
                  <c:v>42107</c:v>
                </c:pt>
                <c:pt idx="5">
                  <c:v>42108</c:v>
                </c:pt>
                <c:pt idx="6">
                  <c:v>42109</c:v>
                </c:pt>
                <c:pt idx="7">
                  <c:v>42110</c:v>
                </c:pt>
                <c:pt idx="8">
                  <c:v>42111</c:v>
                </c:pt>
                <c:pt idx="9">
                  <c:v>42114</c:v>
                </c:pt>
                <c:pt idx="10">
                  <c:v>42115</c:v>
                </c:pt>
                <c:pt idx="11">
                  <c:v>42116</c:v>
                </c:pt>
                <c:pt idx="12">
                  <c:v>42117</c:v>
                </c:pt>
                <c:pt idx="13">
                  <c:v>42118</c:v>
                </c:pt>
                <c:pt idx="14">
                  <c:v>42121</c:v>
                </c:pt>
                <c:pt idx="15">
                  <c:v>42122</c:v>
                </c:pt>
                <c:pt idx="16">
                  <c:v>42123</c:v>
                </c:pt>
                <c:pt idx="17">
                  <c:v>42124</c:v>
                </c:pt>
                <c:pt idx="18">
                  <c:v>42125</c:v>
                </c:pt>
                <c:pt idx="19">
                  <c:v>42129</c:v>
                </c:pt>
                <c:pt idx="20">
                  <c:v>42130</c:v>
                </c:pt>
                <c:pt idx="21">
                  <c:v>42131</c:v>
                </c:pt>
                <c:pt idx="22">
                  <c:v>42132</c:v>
                </c:pt>
                <c:pt idx="23">
                  <c:v>42135</c:v>
                </c:pt>
                <c:pt idx="24">
                  <c:v>42136</c:v>
                </c:pt>
                <c:pt idx="25">
                  <c:v>42137</c:v>
                </c:pt>
                <c:pt idx="26">
                  <c:v>42138</c:v>
                </c:pt>
                <c:pt idx="27">
                  <c:v>42139</c:v>
                </c:pt>
                <c:pt idx="28">
                  <c:v>42142</c:v>
                </c:pt>
                <c:pt idx="29">
                  <c:v>42143</c:v>
                </c:pt>
                <c:pt idx="30">
                  <c:v>42144</c:v>
                </c:pt>
                <c:pt idx="31">
                  <c:v>42145</c:v>
                </c:pt>
                <c:pt idx="32">
                  <c:v>42146</c:v>
                </c:pt>
                <c:pt idx="33">
                  <c:v>42150</c:v>
                </c:pt>
                <c:pt idx="34">
                  <c:v>42151</c:v>
                </c:pt>
                <c:pt idx="35">
                  <c:v>42152</c:v>
                </c:pt>
                <c:pt idx="36">
                  <c:v>42153</c:v>
                </c:pt>
                <c:pt idx="37">
                  <c:v>42156</c:v>
                </c:pt>
                <c:pt idx="38">
                  <c:v>42157</c:v>
                </c:pt>
                <c:pt idx="39">
                  <c:v>42158</c:v>
                </c:pt>
                <c:pt idx="40">
                  <c:v>42159</c:v>
                </c:pt>
                <c:pt idx="41">
                  <c:v>42160</c:v>
                </c:pt>
                <c:pt idx="42">
                  <c:v>42163</c:v>
                </c:pt>
                <c:pt idx="43">
                  <c:v>42164</c:v>
                </c:pt>
                <c:pt idx="44">
                  <c:v>42165</c:v>
                </c:pt>
                <c:pt idx="45">
                  <c:v>42166</c:v>
                </c:pt>
                <c:pt idx="46">
                  <c:v>42167</c:v>
                </c:pt>
                <c:pt idx="47">
                  <c:v>42170</c:v>
                </c:pt>
                <c:pt idx="48">
                  <c:v>42171</c:v>
                </c:pt>
                <c:pt idx="49">
                  <c:v>42172</c:v>
                </c:pt>
                <c:pt idx="50">
                  <c:v>42173</c:v>
                </c:pt>
                <c:pt idx="51">
                  <c:v>42174</c:v>
                </c:pt>
                <c:pt idx="52">
                  <c:v>42177</c:v>
                </c:pt>
                <c:pt idx="53">
                  <c:v>42178</c:v>
                </c:pt>
                <c:pt idx="54">
                  <c:v>42179</c:v>
                </c:pt>
                <c:pt idx="55">
                  <c:v>42180</c:v>
                </c:pt>
                <c:pt idx="56">
                  <c:v>42181</c:v>
                </c:pt>
                <c:pt idx="57">
                  <c:v>42184</c:v>
                </c:pt>
                <c:pt idx="58">
                  <c:v>42185</c:v>
                </c:pt>
                <c:pt idx="59">
                  <c:v>42186</c:v>
                </c:pt>
                <c:pt idx="60">
                  <c:v>42187</c:v>
                </c:pt>
                <c:pt idx="61">
                  <c:v>42188</c:v>
                </c:pt>
                <c:pt idx="62">
                  <c:v>42191</c:v>
                </c:pt>
                <c:pt idx="63">
                  <c:v>42192</c:v>
                </c:pt>
                <c:pt idx="64">
                  <c:v>42193</c:v>
                </c:pt>
                <c:pt idx="65">
                  <c:v>42194</c:v>
                </c:pt>
                <c:pt idx="66">
                  <c:v>42195</c:v>
                </c:pt>
                <c:pt idx="67">
                  <c:v>42198</c:v>
                </c:pt>
                <c:pt idx="68">
                  <c:v>42199</c:v>
                </c:pt>
                <c:pt idx="69">
                  <c:v>42200</c:v>
                </c:pt>
                <c:pt idx="70">
                  <c:v>42201</c:v>
                </c:pt>
                <c:pt idx="71">
                  <c:v>42202</c:v>
                </c:pt>
                <c:pt idx="72">
                  <c:v>42205</c:v>
                </c:pt>
                <c:pt idx="73">
                  <c:v>42206</c:v>
                </c:pt>
                <c:pt idx="74">
                  <c:v>42207</c:v>
                </c:pt>
                <c:pt idx="75">
                  <c:v>42208</c:v>
                </c:pt>
                <c:pt idx="76">
                  <c:v>42209</c:v>
                </c:pt>
                <c:pt idx="77">
                  <c:v>42212</c:v>
                </c:pt>
                <c:pt idx="78">
                  <c:v>42213</c:v>
                </c:pt>
                <c:pt idx="79">
                  <c:v>42214</c:v>
                </c:pt>
                <c:pt idx="80">
                  <c:v>42215</c:v>
                </c:pt>
                <c:pt idx="81">
                  <c:v>42216</c:v>
                </c:pt>
                <c:pt idx="82">
                  <c:v>42219</c:v>
                </c:pt>
                <c:pt idx="83">
                  <c:v>42220</c:v>
                </c:pt>
                <c:pt idx="84">
                  <c:v>42221</c:v>
                </c:pt>
                <c:pt idx="85">
                  <c:v>42222</c:v>
                </c:pt>
                <c:pt idx="86">
                  <c:v>42223</c:v>
                </c:pt>
                <c:pt idx="87">
                  <c:v>42226</c:v>
                </c:pt>
                <c:pt idx="88">
                  <c:v>42227</c:v>
                </c:pt>
                <c:pt idx="89">
                  <c:v>42228</c:v>
                </c:pt>
                <c:pt idx="90">
                  <c:v>42229</c:v>
                </c:pt>
                <c:pt idx="91">
                  <c:v>42230</c:v>
                </c:pt>
                <c:pt idx="92">
                  <c:v>42233</c:v>
                </c:pt>
                <c:pt idx="93">
                  <c:v>42234</c:v>
                </c:pt>
                <c:pt idx="94">
                  <c:v>42235</c:v>
                </c:pt>
                <c:pt idx="95">
                  <c:v>42236</c:v>
                </c:pt>
                <c:pt idx="96">
                  <c:v>42237</c:v>
                </c:pt>
                <c:pt idx="97">
                  <c:v>42240</c:v>
                </c:pt>
                <c:pt idx="98">
                  <c:v>42241</c:v>
                </c:pt>
                <c:pt idx="99">
                  <c:v>42242</c:v>
                </c:pt>
                <c:pt idx="100">
                  <c:v>42243</c:v>
                </c:pt>
                <c:pt idx="101">
                  <c:v>42244</c:v>
                </c:pt>
                <c:pt idx="102">
                  <c:v>42247</c:v>
                </c:pt>
                <c:pt idx="103">
                  <c:v>42248</c:v>
                </c:pt>
                <c:pt idx="104">
                  <c:v>42249</c:v>
                </c:pt>
                <c:pt idx="105">
                  <c:v>42250</c:v>
                </c:pt>
                <c:pt idx="106">
                  <c:v>42251</c:v>
                </c:pt>
                <c:pt idx="107">
                  <c:v>42254</c:v>
                </c:pt>
                <c:pt idx="108">
                  <c:v>42255</c:v>
                </c:pt>
                <c:pt idx="109">
                  <c:v>42256</c:v>
                </c:pt>
                <c:pt idx="110">
                  <c:v>42257</c:v>
                </c:pt>
                <c:pt idx="111">
                  <c:v>42258</c:v>
                </c:pt>
                <c:pt idx="112">
                  <c:v>42261</c:v>
                </c:pt>
                <c:pt idx="113">
                  <c:v>42262</c:v>
                </c:pt>
                <c:pt idx="114">
                  <c:v>42263</c:v>
                </c:pt>
                <c:pt idx="115">
                  <c:v>42264</c:v>
                </c:pt>
                <c:pt idx="116">
                  <c:v>42265</c:v>
                </c:pt>
                <c:pt idx="117">
                  <c:v>42268</c:v>
                </c:pt>
                <c:pt idx="118">
                  <c:v>42269</c:v>
                </c:pt>
                <c:pt idx="119">
                  <c:v>42270</c:v>
                </c:pt>
                <c:pt idx="120">
                  <c:v>42271</c:v>
                </c:pt>
                <c:pt idx="121">
                  <c:v>42272</c:v>
                </c:pt>
                <c:pt idx="122">
                  <c:v>42275</c:v>
                </c:pt>
                <c:pt idx="123">
                  <c:v>42276</c:v>
                </c:pt>
                <c:pt idx="124">
                  <c:v>42277</c:v>
                </c:pt>
                <c:pt idx="125">
                  <c:v>42278</c:v>
                </c:pt>
                <c:pt idx="126">
                  <c:v>42279</c:v>
                </c:pt>
                <c:pt idx="127">
                  <c:v>42282</c:v>
                </c:pt>
                <c:pt idx="128">
                  <c:v>42283</c:v>
                </c:pt>
                <c:pt idx="129">
                  <c:v>42284</c:v>
                </c:pt>
                <c:pt idx="130">
                  <c:v>42285</c:v>
                </c:pt>
                <c:pt idx="131">
                  <c:v>42286</c:v>
                </c:pt>
                <c:pt idx="132">
                  <c:v>42289</c:v>
                </c:pt>
                <c:pt idx="133">
                  <c:v>42290</c:v>
                </c:pt>
                <c:pt idx="134">
                  <c:v>42291</c:v>
                </c:pt>
                <c:pt idx="135">
                  <c:v>42292</c:v>
                </c:pt>
                <c:pt idx="136">
                  <c:v>42293</c:v>
                </c:pt>
                <c:pt idx="137">
                  <c:v>42296</c:v>
                </c:pt>
                <c:pt idx="138">
                  <c:v>42297</c:v>
                </c:pt>
                <c:pt idx="139">
                  <c:v>42298</c:v>
                </c:pt>
                <c:pt idx="140">
                  <c:v>42299</c:v>
                </c:pt>
                <c:pt idx="141">
                  <c:v>42300</c:v>
                </c:pt>
                <c:pt idx="142">
                  <c:v>42303</c:v>
                </c:pt>
                <c:pt idx="143">
                  <c:v>42304</c:v>
                </c:pt>
                <c:pt idx="144">
                  <c:v>42305</c:v>
                </c:pt>
                <c:pt idx="145">
                  <c:v>42306</c:v>
                </c:pt>
                <c:pt idx="146">
                  <c:v>42307</c:v>
                </c:pt>
                <c:pt idx="147">
                  <c:v>42310</c:v>
                </c:pt>
                <c:pt idx="148">
                  <c:v>42311</c:v>
                </c:pt>
                <c:pt idx="149">
                  <c:v>42312</c:v>
                </c:pt>
                <c:pt idx="150">
                  <c:v>42313</c:v>
                </c:pt>
                <c:pt idx="151">
                  <c:v>42314</c:v>
                </c:pt>
                <c:pt idx="152">
                  <c:v>42317</c:v>
                </c:pt>
                <c:pt idx="153">
                  <c:v>42318</c:v>
                </c:pt>
                <c:pt idx="154">
                  <c:v>42319</c:v>
                </c:pt>
                <c:pt idx="155">
                  <c:v>42320</c:v>
                </c:pt>
                <c:pt idx="156">
                  <c:v>42321</c:v>
                </c:pt>
                <c:pt idx="157">
                  <c:v>42324</c:v>
                </c:pt>
                <c:pt idx="158">
                  <c:v>42325</c:v>
                </c:pt>
                <c:pt idx="159">
                  <c:v>42326</c:v>
                </c:pt>
                <c:pt idx="160">
                  <c:v>42327</c:v>
                </c:pt>
                <c:pt idx="161">
                  <c:v>42328</c:v>
                </c:pt>
                <c:pt idx="162">
                  <c:v>42331</c:v>
                </c:pt>
                <c:pt idx="163">
                  <c:v>42332</c:v>
                </c:pt>
                <c:pt idx="164">
                  <c:v>42333</c:v>
                </c:pt>
                <c:pt idx="165">
                  <c:v>42334</c:v>
                </c:pt>
                <c:pt idx="166">
                  <c:v>42335</c:v>
                </c:pt>
                <c:pt idx="167">
                  <c:v>42338</c:v>
                </c:pt>
                <c:pt idx="168">
                  <c:v>42339</c:v>
                </c:pt>
                <c:pt idx="169">
                  <c:v>42340</c:v>
                </c:pt>
                <c:pt idx="170">
                  <c:v>42341</c:v>
                </c:pt>
                <c:pt idx="171">
                  <c:v>42342</c:v>
                </c:pt>
                <c:pt idx="172">
                  <c:v>42345</c:v>
                </c:pt>
                <c:pt idx="173">
                  <c:v>42346</c:v>
                </c:pt>
                <c:pt idx="174">
                  <c:v>42347</c:v>
                </c:pt>
                <c:pt idx="175">
                  <c:v>42348</c:v>
                </c:pt>
                <c:pt idx="176">
                  <c:v>42349</c:v>
                </c:pt>
                <c:pt idx="177">
                  <c:v>42352</c:v>
                </c:pt>
                <c:pt idx="178">
                  <c:v>42353</c:v>
                </c:pt>
                <c:pt idx="179">
                  <c:v>42354</c:v>
                </c:pt>
                <c:pt idx="180">
                  <c:v>42355</c:v>
                </c:pt>
                <c:pt idx="181">
                  <c:v>42356</c:v>
                </c:pt>
                <c:pt idx="182">
                  <c:v>42359</c:v>
                </c:pt>
                <c:pt idx="183">
                  <c:v>42360</c:v>
                </c:pt>
                <c:pt idx="184">
                  <c:v>42361</c:v>
                </c:pt>
                <c:pt idx="185">
                  <c:v>42362</c:v>
                </c:pt>
                <c:pt idx="186">
                  <c:v>42367</c:v>
                </c:pt>
                <c:pt idx="187">
                  <c:v>42368</c:v>
                </c:pt>
                <c:pt idx="188">
                  <c:v>42369</c:v>
                </c:pt>
                <c:pt idx="189">
                  <c:v>42373</c:v>
                </c:pt>
                <c:pt idx="190">
                  <c:v>42374</c:v>
                </c:pt>
                <c:pt idx="191">
                  <c:v>42375</c:v>
                </c:pt>
                <c:pt idx="192">
                  <c:v>42376</c:v>
                </c:pt>
                <c:pt idx="193">
                  <c:v>42377</c:v>
                </c:pt>
                <c:pt idx="194">
                  <c:v>42380</c:v>
                </c:pt>
                <c:pt idx="195">
                  <c:v>42381</c:v>
                </c:pt>
                <c:pt idx="196">
                  <c:v>42382</c:v>
                </c:pt>
                <c:pt idx="197">
                  <c:v>42383</c:v>
                </c:pt>
                <c:pt idx="198">
                  <c:v>42384</c:v>
                </c:pt>
                <c:pt idx="199">
                  <c:v>42387</c:v>
                </c:pt>
                <c:pt idx="200">
                  <c:v>42388</c:v>
                </c:pt>
                <c:pt idx="201">
                  <c:v>42389</c:v>
                </c:pt>
                <c:pt idx="202">
                  <c:v>42390</c:v>
                </c:pt>
                <c:pt idx="203">
                  <c:v>42391</c:v>
                </c:pt>
                <c:pt idx="204">
                  <c:v>42394</c:v>
                </c:pt>
                <c:pt idx="205">
                  <c:v>42395</c:v>
                </c:pt>
                <c:pt idx="206">
                  <c:v>42396</c:v>
                </c:pt>
                <c:pt idx="207">
                  <c:v>42397</c:v>
                </c:pt>
                <c:pt idx="208">
                  <c:v>42398</c:v>
                </c:pt>
                <c:pt idx="209">
                  <c:v>42401</c:v>
                </c:pt>
                <c:pt idx="210">
                  <c:v>42402</c:v>
                </c:pt>
                <c:pt idx="211">
                  <c:v>42403</c:v>
                </c:pt>
                <c:pt idx="212">
                  <c:v>42404</c:v>
                </c:pt>
                <c:pt idx="213">
                  <c:v>42405</c:v>
                </c:pt>
                <c:pt idx="214">
                  <c:v>42408</c:v>
                </c:pt>
                <c:pt idx="215">
                  <c:v>42409</c:v>
                </c:pt>
                <c:pt idx="216">
                  <c:v>42410</c:v>
                </c:pt>
                <c:pt idx="217">
                  <c:v>42411</c:v>
                </c:pt>
                <c:pt idx="218">
                  <c:v>42412</c:v>
                </c:pt>
                <c:pt idx="219">
                  <c:v>42415</c:v>
                </c:pt>
                <c:pt idx="220">
                  <c:v>42416</c:v>
                </c:pt>
                <c:pt idx="221">
                  <c:v>42417</c:v>
                </c:pt>
                <c:pt idx="222">
                  <c:v>42418</c:v>
                </c:pt>
                <c:pt idx="223">
                  <c:v>42419</c:v>
                </c:pt>
                <c:pt idx="224">
                  <c:v>42422</c:v>
                </c:pt>
                <c:pt idx="225">
                  <c:v>42423</c:v>
                </c:pt>
                <c:pt idx="226">
                  <c:v>42424</c:v>
                </c:pt>
                <c:pt idx="227">
                  <c:v>42425</c:v>
                </c:pt>
                <c:pt idx="228">
                  <c:v>42426</c:v>
                </c:pt>
                <c:pt idx="229">
                  <c:v>42429</c:v>
                </c:pt>
                <c:pt idx="230">
                  <c:v>42430</c:v>
                </c:pt>
                <c:pt idx="231">
                  <c:v>42431</c:v>
                </c:pt>
                <c:pt idx="232">
                  <c:v>42432</c:v>
                </c:pt>
                <c:pt idx="233">
                  <c:v>42433</c:v>
                </c:pt>
                <c:pt idx="234">
                  <c:v>42436</c:v>
                </c:pt>
                <c:pt idx="235">
                  <c:v>42437</c:v>
                </c:pt>
                <c:pt idx="236">
                  <c:v>42438</c:v>
                </c:pt>
                <c:pt idx="237">
                  <c:v>42439</c:v>
                </c:pt>
                <c:pt idx="238">
                  <c:v>42440</c:v>
                </c:pt>
                <c:pt idx="239">
                  <c:v>42443</c:v>
                </c:pt>
                <c:pt idx="240">
                  <c:v>42444</c:v>
                </c:pt>
                <c:pt idx="241">
                  <c:v>42445</c:v>
                </c:pt>
                <c:pt idx="242">
                  <c:v>42446</c:v>
                </c:pt>
                <c:pt idx="243">
                  <c:v>42447</c:v>
                </c:pt>
                <c:pt idx="244">
                  <c:v>42450</c:v>
                </c:pt>
                <c:pt idx="245">
                  <c:v>42451</c:v>
                </c:pt>
                <c:pt idx="246">
                  <c:v>42452</c:v>
                </c:pt>
                <c:pt idx="247">
                  <c:v>42453</c:v>
                </c:pt>
                <c:pt idx="248">
                  <c:v>42458</c:v>
                </c:pt>
                <c:pt idx="249">
                  <c:v>42459</c:v>
                </c:pt>
                <c:pt idx="250">
                  <c:v>42460</c:v>
                </c:pt>
                <c:pt idx="251">
                  <c:v>42461</c:v>
                </c:pt>
                <c:pt idx="252">
                  <c:v>42464</c:v>
                </c:pt>
                <c:pt idx="253">
                  <c:v>42465</c:v>
                </c:pt>
                <c:pt idx="254">
                  <c:v>42466</c:v>
                </c:pt>
                <c:pt idx="255">
                  <c:v>42467</c:v>
                </c:pt>
                <c:pt idx="256">
                  <c:v>42468</c:v>
                </c:pt>
                <c:pt idx="257">
                  <c:v>42471</c:v>
                </c:pt>
                <c:pt idx="258">
                  <c:v>42472</c:v>
                </c:pt>
                <c:pt idx="259">
                  <c:v>42473</c:v>
                </c:pt>
                <c:pt idx="260">
                  <c:v>42474</c:v>
                </c:pt>
                <c:pt idx="261">
                  <c:v>42475</c:v>
                </c:pt>
                <c:pt idx="262">
                  <c:v>42478</c:v>
                </c:pt>
                <c:pt idx="263">
                  <c:v>42479</c:v>
                </c:pt>
                <c:pt idx="264">
                  <c:v>42480</c:v>
                </c:pt>
                <c:pt idx="265">
                  <c:v>42481</c:v>
                </c:pt>
                <c:pt idx="266">
                  <c:v>42482</c:v>
                </c:pt>
                <c:pt idx="267">
                  <c:v>42485</c:v>
                </c:pt>
                <c:pt idx="268">
                  <c:v>42486</c:v>
                </c:pt>
                <c:pt idx="269">
                  <c:v>42487</c:v>
                </c:pt>
                <c:pt idx="270">
                  <c:v>42488</c:v>
                </c:pt>
                <c:pt idx="271">
                  <c:v>42489</c:v>
                </c:pt>
                <c:pt idx="272">
                  <c:v>42493</c:v>
                </c:pt>
                <c:pt idx="273">
                  <c:v>42494</c:v>
                </c:pt>
                <c:pt idx="274">
                  <c:v>42495</c:v>
                </c:pt>
                <c:pt idx="275">
                  <c:v>42496</c:v>
                </c:pt>
                <c:pt idx="276">
                  <c:v>42499</c:v>
                </c:pt>
                <c:pt idx="277">
                  <c:v>42500</c:v>
                </c:pt>
                <c:pt idx="278">
                  <c:v>42501</c:v>
                </c:pt>
                <c:pt idx="279">
                  <c:v>42502</c:v>
                </c:pt>
                <c:pt idx="280">
                  <c:v>42503</c:v>
                </c:pt>
                <c:pt idx="281">
                  <c:v>42506</c:v>
                </c:pt>
                <c:pt idx="282">
                  <c:v>42507</c:v>
                </c:pt>
                <c:pt idx="283">
                  <c:v>42508</c:v>
                </c:pt>
                <c:pt idx="284">
                  <c:v>42509</c:v>
                </c:pt>
                <c:pt idx="285">
                  <c:v>42510</c:v>
                </c:pt>
                <c:pt idx="286">
                  <c:v>42513</c:v>
                </c:pt>
                <c:pt idx="287">
                  <c:v>42514</c:v>
                </c:pt>
                <c:pt idx="288">
                  <c:v>42515</c:v>
                </c:pt>
                <c:pt idx="289">
                  <c:v>42516</c:v>
                </c:pt>
                <c:pt idx="290">
                  <c:v>42517</c:v>
                </c:pt>
                <c:pt idx="291">
                  <c:v>42521</c:v>
                </c:pt>
                <c:pt idx="292">
                  <c:v>42522</c:v>
                </c:pt>
                <c:pt idx="293">
                  <c:v>42523</c:v>
                </c:pt>
                <c:pt idx="294">
                  <c:v>42524</c:v>
                </c:pt>
                <c:pt idx="295">
                  <c:v>42527</c:v>
                </c:pt>
                <c:pt idx="296">
                  <c:v>42528</c:v>
                </c:pt>
                <c:pt idx="297">
                  <c:v>42529</c:v>
                </c:pt>
                <c:pt idx="298">
                  <c:v>42530</c:v>
                </c:pt>
                <c:pt idx="299">
                  <c:v>42531</c:v>
                </c:pt>
                <c:pt idx="300">
                  <c:v>42534</c:v>
                </c:pt>
                <c:pt idx="301">
                  <c:v>42535</c:v>
                </c:pt>
                <c:pt idx="302">
                  <c:v>42536</c:v>
                </c:pt>
                <c:pt idx="303">
                  <c:v>42537</c:v>
                </c:pt>
                <c:pt idx="304">
                  <c:v>42538</c:v>
                </c:pt>
                <c:pt idx="305">
                  <c:v>42541</c:v>
                </c:pt>
                <c:pt idx="306">
                  <c:v>42542</c:v>
                </c:pt>
                <c:pt idx="307">
                  <c:v>42543</c:v>
                </c:pt>
                <c:pt idx="308">
                  <c:v>42544</c:v>
                </c:pt>
                <c:pt idx="309">
                  <c:v>42545</c:v>
                </c:pt>
                <c:pt idx="310">
                  <c:v>42548</c:v>
                </c:pt>
                <c:pt idx="311">
                  <c:v>42549</c:v>
                </c:pt>
                <c:pt idx="312">
                  <c:v>42550</c:v>
                </c:pt>
                <c:pt idx="313">
                  <c:v>42551</c:v>
                </c:pt>
                <c:pt idx="314">
                  <c:v>42552</c:v>
                </c:pt>
                <c:pt idx="315">
                  <c:v>42555</c:v>
                </c:pt>
                <c:pt idx="316">
                  <c:v>42556</c:v>
                </c:pt>
                <c:pt idx="317">
                  <c:v>42557</c:v>
                </c:pt>
                <c:pt idx="318">
                  <c:v>42558</c:v>
                </c:pt>
                <c:pt idx="319">
                  <c:v>42559</c:v>
                </c:pt>
                <c:pt idx="320">
                  <c:v>42562</c:v>
                </c:pt>
                <c:pt idx="321">
                  <c:v>42563</c:v>
                </c:pt>
                <c:pt idx="322">
                  <c:v>42564</c:v>
                </c:pt>
                <c:pt idx="323">
                  <c:v>42565</c:v>
                </c:pt>
                <c:pt idx="324">
                  <c:v>42566</c:v>
                </c:pt>
                <c:pt idx="325">
                  <c:v>42569</c:v>
                </c:pt>
                <c:pt idx="326">
                  <c:v>42570</c:v>
                </c:pt>
                <c:pt idx="327">
                  <c:v>42571</c:v>
                </c:pt>
                <c:pt idx="328">
                  <c:v>42572</c:v>
                </c:pt>
                <c:pt idx="329">
                  <c:v>42573</c:v>
                </c:pt>
                <c:pt idx="330">
                  <c:v>42576</c:v>
                </c:pt>
                <c:pt idx="331">
                  <c:v>42577</c:v>
                </c:pt>
                <c:pt idx="332">
                  <c:v>42578</c:v>
                </c:pt>
                <c:pt idx="333">
                  <c:v>42579</c:v>
                </c:pt>
                <c:pt idx="334">
                  <c:v>42580</c:v>
                </c:pt>
                <c:pt idx="335">
                  <c:v>42583</c:v>
                </c:pt>
                <c:pt idx="336">
                  <c:v>42584</c:v>
                </c:pt>
                <c:pt idx="337">
                  <c:v>42585</c:v>
                </c:pt>
                <c:pt idx="338">
                  <c:v>42586</c:v>
                </c:pt>
                <c:pt idx="339">
                  <c:v>42587</c:v>
                </c:pt>
                <c:pt idx="340">
                  <c:v>42590</c:v>
                </c:pt>
                <c:pt idx="341">
                  <c:v>42591</c:v>
                </c:pt>
                <c:pt idx="342">
                  <c:v>42592</c:v>
                </c:pt>
                <c:pt idx="343">
                  <c:v>42593</c:v>
                </c:pt>
                <c:pt idx="344">
                  <c:v>42594</c:v>
                </c:pt>
                <c:pt idx="345">
                  <c:v>42597</c:v>
                </c:pt>
                <c:pt idx="346">
                  <c:v>42598</c:v>
                </c:pt>
                <c:pt idx="347">
                  <c:v>42599</c:v>
                </c:pt>
                <c:pt idx="348">
                  <c:v>42600</c:v>
                </c:pt>
                <c:pt idx="349">
                  <c:v>42601</c:v>
                </c:pt>
                <c:pt idx="350">
                  <c:v>42604</c:v>
                </c:pt>
                <c:pt idx="351">
                  <c:v>42605</c:v>
                </c:pt>
                <c:pt idx="352">
                  <c:v>42606</c:v>
                </c:pt>
                <c:pt idx="353">
                  <c:v>42607</c:v>
                </c:pt>
                <c:pt idx="354">
                  <c:v>42608</c:v>
                </c:pt>
                <c:pt idx="355">
                  <c:v>42612</c:v>
                </c:pt>
                <c:pt idx="356">
                  <c:v>42613</c:v>
                </c:pt>
                <c:pt idx="357">
                  <c:v>42614</c:v>
                </c:pt>
                <c:pt idx="358">
                  <c:v>42615</c:v>
                </c:pt>
                <c:pt idx="359">
                  <c:v>42618</c:v>
                </c:pt>
                <c:pt idx="360">
                  <c:v>42619</c:v>
                </c:pt>
                <c:pt idx="361">
                  <c:v>42620</c:v>
                </c:pt>
                <c:pt idx="362">
                  <c:v>42621</c:v>
                </c:pt>
                <c:pt idx="363">
                  <c:v>42622</c:v>
                </c:pt>
                <c:pt idx="364">
                  <c:v>42625</c:v>
                </c:pt>
                <c:pt idx="365">
                  <c:v>42626</c:v>
                </c:pt>
                <c:pt idx="366">
                  <c:v>42627</c:v>
                </c:pt>
                <c:pt idx="367">
                  <c:v>42628</c:v>
                </c:pt>
                <c:pt idx="368">
                  <c:v>42629</c:v>
                </c:pt>
                <c:pt idx="369">
                  <c:v>42632</c:v>
                </c:pt>
                <c:pt idx="370">
                  <c:v>42633</c:v>
                </c:pt>
                <c:pt idx="371">
                  <c:v>42634</c:v>
                </c:pt>
                <c:pt idx="372">
                  <c:v>42635</c:v>
                </c:pt>
                <c:pt idx="373">
                  <c:v>42636</c:v>
                </c:pt>
                <c:pt idx="374">
                  <c:v>42639</c:v>
                </c:pt>
                <c:pt idx="375">
                  <c:v>42640</c:v>
                </c:pt>
                <c:pt idx="376">
                  <c:v>42641</c:v>
                </c:pt>
                <c:pt idx="377">
                  <c:v>42642</c:v>
                </c:pt>
                <c:pt idx="378">
                  <c:v>42643</c:v>
                </c:pt>
                <c:pt idx="379">
                  <c:v>42646</c:v>
                </c:pt>
                <c:pt idx="380">
                  <c:v>42647</c:v>
                </c:pt>
                <c:pt idx="381">
                  <c:v>42648</c:v>
                </c:pt>
                <c:pt idx="382">
                  <c:v>42649</c:v>
                </c:pt>
                <c:pt idx="383">
                  <c:v>42650</c:v>
                </c:pt>
                <c:pt idx="384">
                  <c:v>42653</c:v>
                </c:pt>
                <c:pt idx="385">
                  <c:v>42654</c:v>
                </c:pt>
                <c:pt idx="386">
                  <c:v>42655</c:v>
                </c:pt>
                <c:pt idx="387">
                  <c:v>42656</c:v>
                </c:pt>
                <c:pt idx="388">
                  <c:v>42657</c:v>
                </c:pt>
                <c:pt idx="389">
                  <c:v>42660</c:v>
                </c:pt>
                <c:pt idx="390">
                  <c:v>42661</c:v>
                </c:pt>
                <c:pt idx="391">
                  <c:v>42662</c:v>
                </c:pt>
                <c:pt idx="392">
                  <c:v>42663</c:v>
                </c:pt>
                <c:pt idx="393">
                  <c:v>42664</c:v>
                </c:pt>
                <c:pt idx="394">
                  <c:v>42667</c:v>
                </c:pt>
                <c:pt idx="395">
                  <c:v>42668</c:v>
                </c:pt>
                <c:pt idx="396">
                  <c:v>42669</c:v>
                </c:pt>
                <c:pt idx="397">
                  <c:v>42670</c:v>
                </c:pt>
                <c:pt idx="398">
                  <c:v>42671</c:v>
                </c:pt>
                <c:pt idx="399">
                  <c:v>42674</c:v>
                </c:pt>
                <c:pt idx="400">
                  <c:v>42675</c:v>
                </c:pt>
                <c:pt idx="401">
                  <c:v>42676</c:v>
                </c:pt>
                <c:pt idx="402">
                  <c:v>42677</c:v>
                </c:pt>
                <c:pt idx="403">
                  <c:v>42678</c:v>
                </c:pt>
                <c:pt idx="404">
                  <c:v>42681</c:v>
                </c:pt>
                <c:pt idx="405">
                  <c:v>42682</c:v>
                </c:pt>
                <c:pt idx="406">
                  <c:v>42683</c:v>
                </c:pt>
                <c:pt idx="407">
                  <c:v>42684</c:v>
                </c:pt>
                <c:pt idx="408">
                  <c:v>42685</c:v>
                </c:pt>
                <c:pt idx="409">
                  <c:v>42688</c:v>
                </c:pt>
                <c:pt idx="410">
                  <c:v>42689</c:v>
                </c:pt>
                <c:pt idx="411">
                  <c:v>42690</c:v>
                </c:pt>
                <c:pt idx="412">
                  <c:v>42691</c:v>
                </c:pt>
                <c:pt idx="413">
                  <c:v>42692</c:v>
                </c:pt>
                <c:pt idx="414">
                  <c:v>42695</c:v>
                </c:pt>
                <c:pt idx="415">
                  <c:v>42696</c:v>
                </c:pt>
                <c:pt idx="416">
                  <c:v>42697</c:v>
                </c:pt>
                <c:pt idx="417">
                  <c:v>42698</c:v>
                </c:pt>
                <c:pt idx="418">
                  <c:v>42699</c:v>
                </c:pt>
                <c:pt idx="419">
                  <c:v>42702</c:v>
                </c:pt>
                <c:pt idx="420">
                  <c:v>42703</c:v>
                </c:pt>
                <c:pt idx="421">
                  <c:v>42704</c:v>
                </c:pt>
                <c:pt idx="422">
                  <c:v>42705</c:v>
                </c:pt>
                <c:pt idx="423">
                  <c:v>42706</c:v>
                </c:pt>
                <c:pt idx="424">
                  <c:v>42709</c:v>
                </c:pt>
                <c:pt idx="425">
                  <c:v>42710</c:v>
                </c:pt>
                <c:pt idx="426">
                  <c:v>42711</c:v>
                </c:pt>
                <c:pt idx="427">
                  <c:v>42712</c:v>
                </c:pt>
                <c:pt idx="428">
                  <c:v>42713</c:v>
                </c:pt>
                <c:pt idx="429">
                  <c:v>42716</c:v>
                </c:pt>
                <c:pt idx="430">
                  <c:v>42717</c:v>
                </c:pt>
                <c:pt idx="431">
                  <c:v>42718</c:v>
                </c:pt>
                <c:pt idx="432">
                  <c:v>42719</c:v>
                </c:pt>
                <c:pt idx="433">
                  <c:v>42720</c:v>
                </c:pt>
                <c:pt idx="434">
                  <c:v>42723</c:v>
                </c:pt>
                <c:pt idx="435">
                  <c:v>42724</c:v>
                </c:pt>
                <c:pt idx="436">
                  <c:v>42725</c:v>
                </c:pt>
                <c:pt idx="437">
                  <c:v>42726</c:v>
                </c:pt>
                <c:pt idx="438">
                  <c:v>42727</c:v>
                </c:pt>
                <c:pt idx="439">
                  <c:v>42732</c:v>
                </c:pt>
                <c:pt idx="440">
                  <c:v>42733</c:v>
                </c:pt>
                <c:pt idx="441">
                  <c:v>42734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42744</c:v>
                </c:pt>
                <c:pt idx="447">
                  <c:v>42745</c:v>
                </c:pt>
                <c:pt idx="448">
                  <c:v>42746</c:v>
                </c:pt>
                <c:pt idx="449">
                  <c:v>42747</c:v>
                </c:pt>
                <c:pt idx="450">
                  <c:v>42748</c:v>
                </c:pt>
                <c:pt idx="451">
                  <c:v>42751</c:v>
                </c:pt>
                <c:pt idx="452">
                  <c:v>42752</c:v>
                </c:pt>
                <c:pt idx="453">
                  <c:v>42753</c:v>
                </c:pt>
                <c:pt idx="454">
                  <c:v>42754</c:v>
                </c:pt>
                <c:pt idx="455">
                  <c:v>42755</c:v>
                </c:pt>
                <c:pt idx="456">
                  <c:v>42758</c:v>
                </c:pt>
                <c:pt idx="457">
                  <c:v>42759</c:v>
                </c:pt>
                <c:pt idx="458">
                  <c:v>42760</c:v>
                </c:pt>
                <c:pt idx="459">
                  <c:v>42761</c:v>
                </c:pt>
                <c:pt idx="460">
                  <c:v>42762</c:v>
                </c:pt>
                <c:pt idx="461">
                  <c:v>42765</c:v>
                </c:pt>
                <c:pt idx="462">
                  <c:v>42766</c:v>
                </c:pt>
                <c:pt idx="463">
                  <c:v>42767</c:v>
                </c:pt>
                <c:pt idx="464">
                  <c:v>42768</c:v>
                </c:pt>
                <c:pt idx="465">
                  <c:v>42769</c:v>
                </c:pt>
                <c:pt idx="466">
                  <c:v>42772</c:v>
                </c:pt>
                <c:pt idx="467">
                  <c:v>42773</c:v>
                </c:pt>
                <c:pt idx="468">
                  <c:v>42774</c:v>
                </c:pt>
                <c:pt idx="469">
                  <c:v>42775</c:v>
                </c:pt>
                <c:pt idx="470">
                  <c:v>42776</c:v>
                </c:pt>
                <c:pt idx="471">
                  <c:v>42779</c:v>
                </c:pt>
                <c:pt idx="472">
                  <c:v>42780</c:v>
                </c:pt>
                <c:pt idx="473">
                  <c:v>42781</c:v>
                </c:pt>
                <c:pt idx="474">
                  <c:v>42782</c:v>
                </c:pt>
                <c:pt idx="475">
                  <c:v>42783</c:v>
                </c:pt>
                <c:pt idx="476">
                  <c:v>42786</c:v>
                </c:pt>
                <c:pt idx="477">
                  <c:v>42787</c:v>
                </c:pt>
                <c:pt idx="478">
                  <c:v>42788</c:v>
                </c:pt>
                <c:pt idx="479">
                  <c:v>42789</c:v>
                </c:pt>
                <c:pt idx="480">
                  <c:v>42790</c:v>
                </c:pt>
                <c:pt idx="481">
                  <c:v>42793</c:v>
                </c:pt>
                <c:pt idx="482">
                  <c:v>42794</c:v>
                </c:pt>
                <c:pt idx="483">
                  <c:v>42795</c:v>
                </c:pt>
                <c:pt idx="484">
                  <c:v>42796</c:v>
                </c:pt>
                <c:pt idx="485">
                  <c:v>42797</c:v>
                </c:pt>
                <c:pt idx="486">
                  <c:v>42800</c:v>
                </c:pt>
                <c:pt idx="487">
                  <c:v>42801</c:v>
                </c:pt>
                <c:pt idx="488">
                  <c:v>42802</c:v>
                </c:pt>
                <c:pt idx="489">
                  <c:v>42803</c:v>
                </c:pt>
                <c:pt idx="490">
                  <c:v>42804</c:v>
                </c:pt>
                <c:pt idx="491">
                  <c:v>42807</c:v>
                </c:pt>
                <c:pt idx="492">
                  <c:v>42808</c:v>
                </c:pt>
                <c:pt idx="493">
                  <c:v>42809</c:v>
                </c:pt>
                <c:pt idx="494">
                  <c:v>42810</c:v>
                </c:pt>
                <c:pt idx="495">
                  <c:v>42811</c:v>
                </c:pt>
                <c:pt idx="496">
                  <c:v>42814</c:v>
                </c:pt>
                <c:pt idx="497">
                  <c:v>42815</c:v>
                </c:pt>
                <c:pt idx="498">
                  <c:v>42816</c:v>
                </c:pt>
                <c:pt idx="499">
                  <c:v>42817</c:v>
                </c:pt>
                <c:pt idx="500">
                  <c:v>42818</c:v>
                </c:pt>
                <c:pt idx="501">
                  <c:v>42821</c:v>
                </c:pt>
                <c:pt idx="502">
                  <c:v>42822</c:v>
                </c:pt>
                <c:pt idx="503">
                  <c:v>42823</c:v>
                </c:pt>
                <c:pt idx="504">
                  <c:v>42824</c:v>
                </c:pt>
                <c:pt idx="505">
                  <c:v>42825</c:v>
                </c:pt>
                <c:pt idx="506">
                  <c:v>42828</c:v>
                </c:pt>
                <c:pt idx="507">
                  <c:v>42829</c:v>
                </c:pt>
                <c:pt idx="508">
                  <c:v>42830</c:v>
                </c:pt>
                <c:pt idx="509">
                  <c:v>42831</c:v>
                </c:pt>
                <c:pt idx="510">
                  <c:v>42832</c:v>
                </c:pt>
                <c:pt idx="511">
                  <c:v>42835</c:v>
                </c:pt>
                <c:pt idx="512">
                  <c:v>42836</c:v>
                </c:pt>
                <c:pt idx="513">
                  <c:v>42837</c:v>
                </c:pt>
                <c:pt idx="514">
                  <c:v>42838</c:v>
                </c:pt>
                <c:pt idx="515">
                  <c:v>42843</c:v>
                </c:pt>
                <c:pt idx="516">
                  <c:v>42844</c:v>
                </c:pt>
                <c:pt idx="517">
                  <c:v>42845</c:v>
                </c:pt>
                <c:pt idx="518">
                  <c:v>42846</c:v>
                </c:pt>
                <c:pt idx="519">
                  <c:v>42849</c:v>
                </c:pt>
                <c:pt idx="520">
                  <c:v>42850</c:v>
                </c:pt>
                <c:pt idx="521">
                  <c:v>42851</c:v>
                </c:pt>
                <c:pt idx="522">
                  <c:v>42852</c:v>
                </c:pt>
                <c:pt idx="523">
                  <c:v>42853</c:v>
                </c:pt>
                <c:pt idx="524">
                  <c:v>42856</c:v>
                </c:pt>
                <c:pt idx="525">
                  <c:v>42857</c:v>
                </c:pt>
                <c:pt idx="526">
                  <c:v>42858</c:v>
                </c:pt>
                <c:pt idx="527">
                  <c:v>42859</c:v>
                </c:pt>
                <c:pt idx="528">
                  <c:v>42860</c:v>
                </c:pt>
                <c:pt idx="529">
                  <c:v>42863</c:v>
                </c:pt>
                <c:pt idx="530">
                  <c:v>42864</c:v>
                </c:pt>
                <c:pt idx="531">
                  <c:v>42865</c:v>
                </c:pt>
                <c:pt idx="532">
                  <c:v>42866</c:v>
                </c:pt>
                <c:pt idx="533">
                  <c:v>42867</c:v>
                </c:pt>
                <c:pt idx="534">
                  <c:v>42870</c:v>
                </c:pt>
                <c:pt idx="535">
                  <c:v>42871</c:v>
                </c:pt>
                <c:pt idx="536">
                  <c:v>42872</c:v>
                </c:pt>
                <c:pt idx="537">
                  <c:v>42873</c:v>
                </c:pt>
                <c:pt idx="538">
                  <c:v>42874</c:v>
                </c:pt>
                <c:pt idx="539">
                  <c:v>42877</c:v>
                </c:pt>
                <c:pt idx="540">
                  <c:v>42878</c:v>
                </c:pt>
                <c:pt idx="541">
                  <c:v>42879</c:v>
                </c:pt>
                <c:pt idx="542">
                  <c:v>42880</c:v>
                </c:pt>
                <c:pt idx="543">
                  <c:v>42881</c:v>
                </c:pt>
                <c:pt idx="544">
                  <c:v>42885</c:v>
                </c:pt>
                <c:pt idx="545">
                  <c:v>42886</c:v>
                </c:pt>
                <c:pt idx="546">
                  <c:v>42887</c:v>
                </c:pt>
                <c:pt idx="547">
                  <c:v>42888</c:v>
                </c:pt>
                <c:pt idx="548">
                  <c:v>42891</c:v>
                </c:pt>
                <c:pt idx="549">
                  <c:v>42892</c:v>
                </c:pt>
                <c:pt idx="550">
                  <c:v>42893</c:v>
                </c:pt>
                <c:pt idx="551">
                  <c:v>42894</c:v>
                </c:pt>
                <c:pt idx="552">
                  <c:v>42895</c:v>
                </c:pt>
                <c:pt idx="553">
                  <c:v>42898</c:v>
                </c:pt>
                <c:pt idx="554">
                  <c:v>42899</c:v>
                </c:pt>
                <c:pt idx="555">
                  <c:v>42900</c:v>
                </c:pt>
                <c:pt idx="556">
                  <c:v>42901</c:v>
                </c:pt>
                <c:pt idx="557">
                  <c:v>42902</c:v>
                </c:pt>
                <c:pt idx="558">
                  <c:v>42905</c:v>
                </c:pt>
                <c:pt idx="559">
                  <c:v>42906</c:v>
                </c:pt>
                <c:pt idx="560">
                  <c:v>42907</c:v>
                </c:pt>
                <c:pt idx="561">
                  <c:v>42908</c:v>
                </c:pt>
                <c:pt idx="562">
                  <c:v>42909</c:v>
                </c:pt>
                <c:pt idx="563">
                  <c:v>42912</c:v>
                </c:pt>
                <c:pt idx="564">
                  <c:v>42913</c:v>
                </c:pt>
                <c:pt idx="565">
                  <c:v>42914</c:v>
                </c:pt>
                <c:pt idx="566">
                  <c:v>42915</c:v>
                </c:pt>
                <c:pt idx="567">
                  <c:v>42916</c:v>
                </c:pt>
                <c:pt idx="568">
                  <c:v>42919</c:v>
                </c:pt>
                <c:pt idx="569">
                  <c:v>42920</c:v>
                </c:pt>
                <c:pt idx="570">
                  <c:v>42921</c:v>
                </c:pt>
                <c:pt idx="571">
                  <c:v>42922</c:v>
                </c:pt>
                <c:pt idx="572">
                  <c:v>42923</c:v>
                </c:pt>
                <c:pt idx="573">
                  <c:v>42926</c:v>
                </c:pt>
                <c:pt idx="574">
                  <c:v>42927</c:v>
                </c:pt>
                <c:pt idx="575">
                  <c:v>42928</c:v>
                </c:pt>
                <c:pt idx="576">
                  <c:v>42929</c:v>
                </c:pt>
                <c:pt idx="577">
                  <c:v>42930</c:v>
                </c:pt>
                <c:pt idx="578">
                  <c:v>42933</c:v>
                </c:pt>
                <c:pt idx="579">
                  <c:v>42934</c:v>
                </c:pt>
                <c:pt idx="580">
                  <c:v>42935</c:v>
                </c:pt>
                <c:pt idx="581">
                  <c:v>42936</c:v>
                </c:pt>
                <c:pt idx="582">
                  <c:v>42937</c:v>
                </c:pt>
                <c:pt idx="583">
                  <c:v>42940</c:v>
                </c:pt>
                <c:pt idx="584">
                  <c:v>42941</c:v>
                </c:pt>
                <c:pt idx="585">
                  <c:v>42942</c:v>
                </c:pt>
                <c:pt idx="586">
                  <c:v>42943</c:v>
                </c:pt>
                <c:pt idx="587">
                  <c:v>42944</c:v>
                </c:pt>
                <c:pt idx="588">
                  <c:v>42947</c:v>
                </c:pt>
                <c:pt idx="589">
                  <c:v>42948</c:v>
                </c:pt>
                <c:pt idx="590">
                  <c:v>42949</c:v>
                </c:pt>
                <c:pt idx="591">
                  <c:v>42950</c:v>
                </c:pt>
                <c:pt idx="592">
                  <c:v>42951</c:v>
                </c:pt>
                <c:pt idx="593">
                  <c:v>42954</c:v>
                </c:pt>
                <c:pt idx="594">
                  <c:v>42955</c:v>
                </c:pt>
                <c:pt idx="595">
                  <c:v>42956</c:v>
                </c:pt>
                <c:pt idx="596">
                  <c:v>42957</c:v>
                </c:pt>
                <c:pt idx="597">
                  <c:v>42958</c:v>
                </c:pt>
                <c:pt idx="598">
                  <c:v>42961</c:v>
                </c:pt>
                <c:pt idx="599">
                  <c:v>42962</c:v>
                </c:pt>
                <c:pt idx="600">
                  <c:v>42963</c:v>
                </c:pt>
                <c:pt idx="601">
                  <c:v>42964</c:v>
                </c:pt>
                <c:pt idx="602">
                  <c:v>42965</c:v>
                </c:pt>
                <c:pt idx="603">
                  <c:v>42968</c:v>
                </c:pt>
                <c:pt idx="604">
                  <c:v>42969</c:v>
                </c:pt>
                <c:pt idx="605">
                  <c:v>42970</c:v>
                </c:pt>
                <c:pt idx="606">
                  <c:v>42971</c:v>
                </c:pt>
                <c:pt idx="607">
                  <c:v>42972</c:v>
                </c:pt>
                <c:pt idx="608">
                  <c:v>42976</c:v>
                </c:pt>
                <c:pt idx="609">
                  <c:v>42977</c:v>
                </c:pt>
                <c:pt idx="610">
                  <c:v>42978</c:v>
                </c:pt>
                <c:pt idx="611">
                  <c:v>42979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42989</c:v>
                </c:pt>
                <c:pt idx="618">
                  <c:v>42990</c:v>
                </c:pt>
                <c:pt idx="619">
                  <c:v>42991</c:v>
                </c:pt>
                <c:pt idx="620">
                  <c:v>42992</c:v>
                </c:pt>
                <c:pt idx="621">
                  <c:v>42993</c:v>
                </c:pt>
                <c:pt idx="622">
                  <c:v>42996</c:v>
                </c:pt>
                <c:pt idx="623">
                  <c:v>42997</c:v>
                </c:pt>
                <c:pt idx="624">
                  <c:v>42998</c:v>
                </c:pt>
                <c:pt idx="625">
                  <c:v>42999</c:v>
                </c:pt>
                <c:pt idx="626">
                  <c:v>43000</c:v>
                </c:pt>
                <c:pt idx="627">
                  <c:v>43003</c:v>
                </c:pt>
                <c:pt idx="628">
                  <c:v>43004</c:v>
                </c:pt>
                <c:pt idx="629">
                  <c:v>43005</c:v>
                </c:pt>
                <c:pt idx="630">
                  <c:v>43006</c:v>
                </c:pt>
                <c:pt idx="631">
                  <c:v>43007</c:v>
                </c:pt>
                <c:pt idx="632">
                  <c:v>43010</c:v>
                </c:pt>
                <c:pt idx="633">
                  <c:v>43011</c:v>
                </c:pt>
                <c:pt idx="634">
                  <c:v>43012</c:v>
                </c:pt>
                <c:pt idx="635">
                  <c:v>43013</c:v>
                </c:pt>
                <c:pt idx="636">
                  <c:v>43014</c:v>
                </c:pt>
                <c:pt idx="637">
                  <c:v>43017</c:v>
                </c:pt>
                <c:pt idx="638">
                  <c:v>43018</c:v>
                </c:pt>
                <c:pt idx="639">
                  <c:v>43019</c:v>
                </c:pt>
                <c:pt idx="640">
                  <c:v>43020</c:v>
                </c:pt>
                <c:pt idx="641">
                  <c:v>43021</c:v>
                </c:pt>
                <c:pt idx="642">
                  <c:v>43024</c:v>
                </c:pt>
                <c:pt idx="643">
                  <c:v>43025</c:v>
                </c:pt>
                <c:pt idx="644">
                  <c:v>43026</c:v>
                </c:pt>
                <c:pt idx="645">
                  <c:v>43027</c:v>
                </c:pt>
                <c:pt idx="646">
                  <c:v>43028</c:v>
                </c:pt>
                <c:pt idx="647">
                  <c:v>43031</c:v>
                </c:pt>
                <c:pt idx="648">
                  <c:v>43032</c:v>
                </c:pt>
                <c:pt idx="649">
                  <c:v>43033</c:v>
                </c:pt>
                <c:pt idx="650">
                  <c:v>43034</c:v>
                </c:pt>
                <c:pt idx="651">
                  <c:v>43035</c:v>
                </c:pt>
                <c:pt idx="652">
                  <c:v>43038</c:v>
                </c:pt>
                <c:pt idx="653">
                  <c:v>43039</c:v>
                </c:pt>
                <c:pt idx="654">
                  <c:v>43040</c:v>
                </c:pt>
                <c:pt idx="655">
                  <c:v>43041</c:v>
                </c:pt>
                <c:pt idx="656">
                  <c:v>43042</c:v>
                </c:pt>
                <c:pt idx="657">
                  <c:v>43045</c:v>
                </c:pt>
                <c:pt idx="658">
                  <c:v>43046</c:v>
                </c:pt>
                <c:pt idx="659">
                  <c:v>43047</c:v>
                </c:pt>
                <c:pt idx="660">
                  <c:v>43048</c:v>
                </c:pt>
                <c:pt idx="661">
                  <c:v>43049</c:v>
                </c:pt>
                <c:pt idx="662">
                  <c:v>43052</c:v>
                </c:pt>
                <c:pt idx="663">
                  <c:v>43053</c:v>
                </c:pt>
                <c:pt idx="664">
                  <c:v>43054</c:v>
                </c:pt>
                <c:pt idx="665">
                  <c:v>43055</c:v>
                </c:pt>
                <c:pt idx="666">
                  <c:v>43056</c:v>
                </c:pt>
                <c:pt idx="667">
                  <c:v>43059</c:v>
                </c:pt>
                <c:pt idx="668">
                  <c:v>43060</c:v>
                </c:pt>
                <c:pt idx="669">
                  <c:v>43061</c:v>
                </c:pt>
                <c:pt idx="670">
                  <c:v>43062</c:v>
                </c:pt>
                <c:pt idx="671">
                  <c:v>43063</c:v>
                </c:pt>
                <c:pt idx="672">
                  <c:v>43066</c:v>
                </c:pt>
                <c:pt idx="673">
                  <c:v>43067</c:v>
                </c:pt>
                <c:pt idx="674">
                  <c:v>43068</c:v>
                </c:pt>
                <c:pt idx="675">
                  <c:v>43069</c:v>
                </c:pt>
                <c:pt idx="676">
                  <c:v>43070</c:v>
                </c:pt>
                <c:pt idx="677">
                  <c:v>43073</c:v>
                </c:pt>
                <c:pt idx="678">
                  <c:v>43074</c:v>
                </c:pt>
                <c:pt idx="679">
                  <c:v>43075</c:v>
                </c:pt>
                <c:pt idx="680">
                  <c:v>43076</c:v>
                </c:pt>
                <c:pt idx="681">
                  <c:v>43077</c:v>
                </c:pt>
                <c:pt idx="682">
                  <c:v>43080</c:v>
                </c:pt>
                <c:pt idx="683">
                  <c:v>43081</c:v>
                </c:pt>
                <c:pt idx="684">
                  <c:v>43082</c:v>
                </c:pt>
                <c:pt idx="685">
                  <c:v>43083</c:v>
                </c:pt>
                <c:pt idx="686">
                  <c:v>43084</c:v>
                </c:pt>
                <c:pt idx="687">
                  <c:v>43087</c:v>
                </c:pt>
                <c:pt idx="688">
                  <c:v>43088</c:v>
                </c:pt>
                <c:pt idx="689">
                  <c:v>43089</c:v>
                </c:pt>
                <c:pt idx="690">
                  <c:v>43090</c:v>
                </c:pt>
                <c:pt idx="691">
                  <c:v>43091</c:v>
                </c:pt>
                <c:pt idx="692">
                  <c:v>43096</c:v>
                </c:pt>
                <c:pt idx="693">
                  <c:v>43097</c:v>
                </c:pt>
                <c:pt idx="694">
                  <c:v>43098</c:v>
                </c:pt>
                <c:pt idx="695">
                  <c:v>43102</c:v>
                </c:pt>
                <c:pt idx="696">
                  <c:v>43103</c:v>
                </c:pt>
                <c:pt idx="697">
                  <c:v>43104</c:v>
                </c:pt>
                <c:pt idx="698">
                  <c:v>43105</c:v>
                </c:pt>
                <c:pt idx="699">
                  <c:v>43108</c:v>
                </c:pt>
                <c:pt idx="700">
                  <c:v>43109</c:v>
                </c:pt>
                <c:pt idx="701">
                  <c:v>43110</c:v>
                </c:pt>
                <c:pt idx="702">
                  <c:v>43111</c:v>
                </c:pt>
                <c:pt idx="703">
                  <c:v>43112</c:v>
                </c:pt>
                <c:pt idx="704">
                  <c:v>43115</c:v>
                </c:pt>
                <c:pt idx="705">
                  <c:v>43116</c:v>
                </c:pt>
                <c:pt idx="706">
                  <c:v>43117</c:v>
                </c:pt>
                <c:pt idx="707">
                  <c:v>43118</c:v>
                </c:pt>
                <c:pt idx="708">
                  <c:v>43119</c:v>
                </c:pt>
                <c:pt idx="709">
                  <c:v>43122</c:v>
                </c:pt>
                <c:pt idx="710">
                  <c:v>43123</c:v>
                </c:pt>
                <c:pt idx="711">
                  <c:v>43124</c:v>
                </c:pt>
                <c:pt idx="712">
                  <c:v>43125</c:v>
                </c:pt>
                <c:pt idx="713">
                  <c:v>43126</c:v>
                </c:pt>
                <c:pt idx="714">
                  <c:v>43129</c:v>
                </c:pt>
                <c:pt idx="715">
                  <c:v>43130</c:v>
                </c:pt>
                <c:pt idx="716">
                  <c:v>43131</c:v>
                </c:pt>
                <c:pt idx="717">
                  <c:v>43132</c:v>
                </c:pt>
                <c:pt idx="718">
                  <c:v>43133</c:v>
                </c:pt>
                <c:pt idx="719">
                  <c:v>43136</c:v>
                </c:pt>
                <c:pt idx="720">
                  <c:v>43137</c:v>
                </c:pt>
                <c:pt idx="721">
                  <c:v>43138</c:v>
                </c:pt>
                <c:pt idx="722">
                  <c:v>43139</c:v>
                </c:pt>
                <c:pt idx="723">
                  <c:v>43140</c:v>
                </c:pt>
                <c:pt idx="724">
                  <c:v>43143</c:v>
                </c:pt>
                <c:pt idx="725">
                  <c:v>43144</c:v>
                </c:pt>
                <c:pt idx="726">
                  <c:v>43145</c:v>
                </c:pt>
                <c:pt idx="727">
                  <c:v>43146</c:v>
                </c:pt>
                <c:pt idx="728">
                  <c:v>43147</c:v>
                </c:pt>
                <c:pt idx="729">
                  <c:v>43150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43189</c:v>
                </c:pt>
                <c:pt idx="759">
                  <c:v>43192</c:v>
                </c:pt>
                <c:pt idx="760">
                  <c:v>43193</c:v>
                </c:pt>
                <c:pt idx="761">
                  <c:v>43194</c:v>
                </c:pt>
                <c:pt idx="762">
                  <c:v>43195</c:v>
                </c:pt>
                <c:pt idx="763">
                  <c:v>43196</c:v>
                </c:pt>
                <c:pt idx="764">
                  <c:v>43199</c:v>
                </c:pt>
                <c:pt idx="765">
                  <c:v>43200</c:v>
                </c:pt>
                <c:pt idx="766">
                  <c:v>43201</c:v>
                </c:pt>
                <c:pt idx="767">
                  <c:v>43202</c:v>
                </c:pt>
                <c:pt idx="768">
                  <c:v>43203</c:v>
                </c:pt>
                <c:pt idx="769">
                  <c:v>43206</c:v>
                </c:pt>
                <c:pt idx="770">
                  <c:v>43207</c:v>
                </c:pt>
                <c:pt idx="771">
                  <c:v>43208</c:v>
                </c:pt>
                <c:pt idx="772">
                  <c:v>43209</c:v>
                </c:pt>
                <c:pt idx="773">
                  <c:v>43210</c:v>
                </c:pt>
                <c:pt idx="774">
                  <c:v>43213</c:v>
                </c:pt>
                <c:pt idx="775">
                  <c:v>43214</c:v>
                </c:pt>
                <c:pt idx="776">
                  <c:v>43215</c:v>
                </c:pt>
                <c:pt idx="777">
                  <c:v>43216</c:v>
                </c:pt>
                <c:pt idx="778">
                  <c:v>43217</c:v>
                </c:pt>
                <c:pt idx="779">
                  <c:v>43220</c:v>
                </c:pt>
                <c:pt idx="780">
                  <c:v>43221</c:v>
                </c:pt>
                <c:pt idx="781">
                  <c:v>43222</c:v>
                </c:pt>
                <c:pt idx="782">
                  <c:v>43223</c:v>
                </c:pt>
                <c:pt idx="783">
                  <c:v>43224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43285</c:v>
                </c:pt>
                <c:pt idx="825">
                  <c:v>43286</c:v>
                </c:pt>
                <c:pt idx="826">
                  <c:v>43287</c:v>
                </c:pt>
                <c:pt idx="827">
                  <c:v>43290</c:v>
                </c:pt>
                <c:pt idx="828">
                  <c:v>43291</c:v>
                </c:pt>
                <c:pt idx="829">
                  <c:v>43292</c:v>
                </c:pt>
                <c:pt idx="830">
                  <c:v>43293</c:v>
                </c:pt>
                <c:pt idx="831">
                  <c:v>43294</c:v>
                </c:pt>
                <c:pt idx="832">
                  <c:v>43297</c:v>
                </c:pt>
                <c:pt idx="833">
                  <c:v>43298</c:v>
                </c:pt>
                <c:pt idx="834">
                  <c:v>43299</c:v>
                </c:pt>
                <c:pt idx="835">
                  <c:v>43300</c:v>
                </c:pt>
                <c:pt idx="836">
                  <c:v>43301</c:v>
                </c:pt>
                <c:pt idx="837">
                  <c:v>43304</c:v>
                </c:pt>
                <c:pt idx="838">
                  <c:v>43305</c:v>
                </c:pt>
                <c:pt idx="839">
                  <c:v>43306</c:v>
                </c:pt>
                <c:pt idx="840">
                  <c:v>43307</c:v>
                </c:pt>
                <c:pt idx="841">
                  <c:v>43308</c:v>
                </c:pt>
                <c:pt idx="842">
                  <c:v>43311</c:v>
                </c:pt>
                <c:pt idx="843">
                  <c:v>43312</c:v>
                </c:pt>
                <c:pt idx="844">
                  <c:v>43313</c:v>
                </c:pt>
                <c:pt idx="845">
                  <c:v>43314</c:v>
                </c:pt>
                <c:pt idx="846">
                  <c:v>43315</c:v>
                </c:pt>
                <c:pt idx="847">
                  <c:v>43318</c:v>
                </c:pt>
                <c:pt idx="848">
                  <c:v>43319</c:v>
                </c:pt>
                <c:pt idx="849">
                  <c:v>43320</c:v>
                </c:pt>
                <c:pt idx="850">
                  <c:v>43321</c:v>
                </c:pt>
                <c:pt idx="851">
                  <c:v>43322</c:v>
                </c:pt>
                <c:pt idx="852">
                  <c:v>43325</c:v>
                </c:pt>
                <c:pt idx="853">
                  <c:v>43326</c:v>
                </c:pt>
                <c:pt idx="854">
                  <c:v>43327</c:v>
                </c:pt>
                <c:pt idx="855">
                  <c:v>43328</c:v>
                </c:pt>
                <c:pt idx="856">
                  <c:v>43329</c:v>
                </c:pt>
                <c:pt idx="857">
                  <c:v>43332</c:v>
                </c:pt>
                <c:pt idx="858">
                  <c:v>43333</c:v>
                </c:pt>
                <c:pt idx="859">
                  <c:v>43334</c:v>
                </c:pt>
                <c:pt idx="860">
                  <c:v>43335</c:v>
                </c:pt>
                <c:pt idx="861">
                  <c:v>43336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43346</c:v>
                </c:pt>
                <c:pt idx="867">
                  <c:v>43347</c:v>
                </c:pt>
                <c:pt idx="868">
                  <c:v>43348</c:v>
                </c:pt>
                <c:pt idx="869">
                  <c:v>43349</c:v>
                </c:pt>
                <c:pt idx="870">
                  <c:v>43350</c:v>
                </c:pt>
                <c:pt idx="871">
                  <c:v>43353</c:v>
                </c:pt>
                <c:pt idx="872">
                  <c:v>43354</c:v>
                </c:pt>
                <c:pt idx="873">
                  <c:v>43355</c:v>
                </c:pt>
                <c:pt idx="874">
                  <c:v>43356</c:v>
                </c:pt>
                <c:pt idx="875">
                  <c:v>43357</c:v>
                </c:pt>
                <c:pt idx="876">
                  <c:v>43360</c:v>
                </c:pt>
                <c:pt idx="877">
                  <c:v>43361</c:v>
                </c:pt>
                <c:pt idx="878">
                  <c:v>43362</c:v>
                </c:pt>
                <c:pt idx="879">
                  <c:v>43363</c:v>
                </c:pt>
                <c:pt idx="880">
                  <c:v>43364</c:v>
                </c:pt>
                <c:pt idx="881">
                  <c:v>43367</c:v>
                </c:pt>
                <c:pt idx="882">
                  <c:v>43368</c:v>
                </c:pt>
                <c:pt idx="883">
                  <c:v>43369</c:v>
                </c:pt>
                <c:pt idx="884">
                  <c:v>43370</c:v>
                </c:pt>
                <c:pt idx="885">
                  <c:v>43371</c:v>
                </c:pt>
                <c:pt idx="886">
                  <c:v>43374</c:v>
                </c:pt>
                <c:pt idx="887">
                  <c:v>43375</c:v>
                </c:pt>
                <c:pt idx="888">
                  <c:v>43376</c:v>
                </c:pt>
                <c:pt idx="889">
                  <c:v>43377</c:v>
                </c:pt>
                <c:pt idx="890">
                  <c:v>43378</c:v>
                </c:pt>
                <c:pt idx="891">
                  <c:v>43381</c:v>
                </c:pt>
                <c:pt idx="892">
                  <c:v>43382</c:v>
                </c:pt>
                <c:pt idx="893">
                  <c:v>43383</c:v>
                </c:pt>
                <c:pt idx="894">
                  <c:v>43384</c:v>
                </c:pt>
                <c:pt idx="895">
                  <c:v>43385</c:v>
                </c:pt>
                <c:pt idx="896">
                  <c:v>43388</c:v>
                </c:pt>
                <c:pt idx="897">
                  <c:v>43389</c:v>
                </c:pt>
                <c:pt idx="898">
                  <c:v>43390</c:v>
                </c:pt>
                <c:pt idx="899">
                  <c:v>43391</c:v>
                </c:pt>
                <c:pt idx="900">
                  <c:v>43392</c:v>
                </c:pt>
                <c:pt idx="901">
                  <c:v>43395</c:v>
                </c:pt>
                <c:pt idx="902">
                  <c:v>43396</c:v>
                </c:pt>
                <c:pt idx="903">
                  <c:v>43397</c:v>
                </c:pt>
                <c:pt idx="904">
                  <c:v>43398</c:v>
                </c:pt>
                <c:pt idx="905">
                  <c:v>43399</c:v>
                </c:pt>
                <c:pt idx="906">
                  <c:v>43402</c:v>
                </c:pt>
                <c:pt idx="907">
                  <c:v>43403</c:v>
                </c:pt>
                <c:pt idx="908">
                  <c:v>43404</c:v>
                </c:pt>
                <c:pt idx="909">
                  <c:v>43405</c:v>
                </c:pt>
                <c:pt idx="910">
                  <c:v>43406</c:v>
                </c:pt>
                <c:pt idx="911">
                  <c:v>43409</c:v>
                </c:pt>
                <c:pt idx="912">
                  <c:v>43410</c:v>
                </c:pt>
                <c:pt idx="913">
                  <c:v>43411</c:v>
                </c:pt>
                <c:pt idx="914">
                  <c:v>43412</c:v>
                </c:pt>
                <c:pt idx="915">
                  <c:v>43413</c:v>
                </c:pt>
                <c:pt idx="916">
                  <c:v>43416</c:v>
                </c:pt>
                <c:pt idx="917">
                  <c:v>43417</c:v>
                </c:pt>
                <c:pt idx="918">
                  <c:v>43418</c:v>
                </c:pt>
                <c:pt idx="919">
                  <c:v>43419</c:v>
                </c:pt>
                <c:pt idx="920">
                  <c:v>43420</c:v>
                </c:pt>
                <c:pt idx="921">
                  <c:v>43423</c:v>
                </c:pt>
                <c:pt idx="922">
                  <c:v>43424</c:v>
                </c:pt>
                <c:pt idx="923">
                  <c:v>43425</c:v>
                </c:pt>
                <c:pt idx="924">
                  <c:v>43426</c:v>
                </c:pt>
                <c:pt idx="925">
                  <c:v>43427</c:v>
                </c:pt>
                <c:pt idx="926">
                  <c:v>43430</c:v>
                </c:pt>
                <c:pt idx="927">
                  <c:v>43431</c:v>
                </c:pt>
                <c:pt idx="928">
                  <c:v>43432</c:v>
                </c:pt>
                <c:pt idx="929">
                  <c:v>43433</c:v>
                </c:pt>
                <c:pt idx="930">
                  <c:v>43434</c:v>
                </c:pt>
                <c:pt idx="931">
                  <c:v>43437</c:v>
                </c:pt>
                <c:pt idx="932">
                  <c:v>43438</c:v>
                </c:pt>
                <c:pt idx="933">
                  <c:v>43439</c:v>
                </c:pt>
                <c:pt idx="934">
                  <c:v>43440</c:v>
                </c:pt>
                <c:pt idx="935">
                  <c:v>43441</c:v>
                </c:pt>
                <c:pt idx="936">
                  <c:v>43444</c:v>
                </c:pt>
                <c:pt idx="937">
                  <c:v>43445</c:v>
                </c:pt>
                <c:pt idx="938">
                  <c:v>43446</c:v>
                </c:pt>
                <c:pt idx="939">
                  <c:v>43447</c:v>
                </c:pt>
                <c:pt idx="940">
                  <c:v>43448</c:v>
                </c:pt>
                <c:pt idx="941">
                  <c:v>43451</c:v>
                </c:pt>
                <c:pt idx="942">
                  <c:v>43452</c:v>
                </c:pt>
                <c:pt idx="943">
                  <c:v>43453</c:v>
                </c:pt>
                <c:pt idx="944">
                  <c:v>43454</c:v>
                </c:pt>
                <c:pt idx="945">
                  <c:v>43455</c:v>
                </c:pt>
                <c:pt idx="946">
                  <c:v>43458</c:v>
                </c:pt>
                <c:pt idx="947">
                  <c:v>43461</c:v>
                </c:pt>
                <c:pt idx="948">
                  <c:v>43462</c:v>
                </c:pt>
                <c:pt idx="949">
                  <c:v>43465</c:v>
                </c:pt>
                <c:pt idx="950">
                  <c:v>43467</c:v>
                </c:pt>
                <c:pt idx="951">
                  <c:v>43468</c:v>
                </c:pt>
                <c:pt idx="952">
                  <c:v>43469</c:v>
                </c:pt>
                <c:pt idx="953">
                  <c:v>43472</c:v>
                </c:pt>
                <c:pt idx="954">
                  <c:v>43473</c:v>
                </c:pt>
                <c:pt idx="955">
                  <c:v>43474</c:v>
                </c:pt>
                <c:pt idx="956">
                  <c:v>43475</c:v>
                </c:pt>
                <c:pt idx="957">
                  <c:v>43476</c:v>
                </c:pt>
                <c:pt idx="958">
                  <c:v>43479</c:v>
                </c:pt>
                <c:pt idx="959">
                  <c:v>43480</c:v>
                </c:pt>
                <c:pt idx="960">
                  <c:v>43481</c:v>
                </c:pt>
                <c:pt idx="961">
                  <c:v>43482</c:v>
                </c:pt>
                <c:pt idx="962">
                  <c:v>43483</c:v>
                </c:pt>
                <c:pt idx="963">
                  <c:v>43486</c:v>
                </c:pt>
                <c:pt idx="964">
                  <c:v>43487</c:v>
                </c:pt>
                <c:pt idx="965">
                  <c:v>43488</c:v>
                </c:pt>
                <c:pt idx="966">
                  <c:v>43489</c:v>
                </c:pt>
                <c:pt idx="967">
                  <c:v>43490</c:v>
                </c:pt>
                <c:pt idx="968">
                  <c:v>43493</c:v>
                </c:pt>
                <c:pt idx="969">
                  <c:v>43494</c:v>
                </c:pt>
                <c:pt idx="970">
                  <c:v>43495</c:v>
                </c:pt>
                <c:pt idx="971">
                  <c:v>43496</c:v>
                </c:pt>
                <c:pt idx="972">
                  <c:v>43497</c:v>
                </c:pt>
                <c:pt idx="973">
                  <c:v>43500</c:v>
                </c:pt>
                <c:pt idx="974">
                  <c:v>43501</c:v>
                </c:pt>
                <c:pt idx="975">
                  <c:v>43502</c:v>
                </c:pt>
                <c:pt idx="976">
                  <c:v>43503</c:v>
                </c:pt>
                <c:pt idx="977">
                  <c:v>43504</c:v>
                </c:pt>
                <c:pt idx="978">
                  <c:v>43507</c:v>
                </c:pt>
                <c:pt idx="979">
                  <c:v>43508</c:v>
                </c:pt>
                <c:pt idx="980">
                  <c:v>43509</c:v>
                </c:pt>
                <c:pt idx="981">
                  <c:v>43510</c:v>
                </c:pt>
                <c:pt idx="982">
                  <c:v>43511</c:v>
                </c:pt>
                <c:pt idx="983">
                  <c:v>43514</c:v>
                </c:pt>
                <c:pt idx="984">
                  <c:v>43515</c:v>
                </c:pt>
                <c:pt idx="985">
                  <c:v>43516</c:v>
                </c:pt>
                <c:pt idx="986">
                  <c:v>43517</c:v>
                </c:pt>
                <c:pt idx="987">
                  <c:v>43518</c:v>
                </c:pt>
                <c:pt idx="988">
                  <c:v>43521</c:v>
                </c:pt>
                <c:pt idx="989">
                  <c:v>43522</c:v>
                </c:pt>
                <c:pt idx="990">
                  <c:v>43523</c:v>
                </c:pt>
                <c:pt idx="991">
                  <c:v>43524</c:v>
                </c:pt>
                <c:pt idx="992">
                  <c:v>43525</c:v>
                </c:pt>
                <c:pt idx="993">
                  <c:v>43528</c:v>
                </c:pt>
                <c:pt idx="994">
                  <c:v>43529</c:v>
                </c:pt>
                <c:pt idx="995">
                  <c:v>43530</c:v>
                </c:pt>
                <c:pt idx="996">
                  <c:v>43531</c:v>
                </c:pt>
                <c:pt idx="997">
                  <c:v>43532</c:v>
                </c:pt>
                <c:pt idx="998">
                  <c:v>43535</c:v>
                </c:pt>
                <c:pt idx="999">
                  <c:v>43536</c:v>
                </c:pt>
                <c:pt idx="1000">
                  <c:v>43537</c:v>
                </c:pt>
                <c:pt idx="1001">
                  <c:v>43538</c:v>
                </c:pt>
                <c:pt idx="1002">
                  <c:v>43539</c:v>
                </c:pt>
                <c:pt idx="1003">
                  <c:v>43542</c:v>
                </c:pt>
                <c:pt idx="1004">
                  <c:v>43543</c:v>
                </c:pt>
                <c:pt idx="1005">
                  <c:v>43544</c:v>
                </c:pt>
                <c:pt idx="1006">
                  <c:v>43545</c:v>
                </c:pt>
                <c:pt idx="1007">
                  <c:v>43546</c:v>
                </c:pt>
                <c:pt idx="1008">
                  <c:v>43549</c:v>
                </c:pt>
                <c:pt idx="1009">
                  <c:v>43550</c:v>
                </c:pt>
                <c:pt idx="1010">
                  <c:v>43551</c:v>
                </c:pt>
                <c:pt idx="1011">
                  <c:v>43552</c:v>
                </c:pt>
                <c:pt idx="1012">
                  <c:v>43553</c:v>
                </c:pt>
                <c:pt idx="1013">
                  <c:v>43556</c:v>
                </c:pt>
                <c:pt idx="1014">
                  <c:v>43557</c:v>
                </c:pt>
                <c:pt idx="1015">
                  <c:v>43558</c:v>
                </c:pt>
                <c:pt idx="1016">
                  <c:v>43559</c:v>
                </c:pt>
                <c:pt idx="1017">
                  <c:v>43560</c:v>
                </c:pt>
                <c:pt idx="1018">
                  <c:v>43563</c:v>
                </c:pt>
                <c:pt idx="1019">
                  <c:v>43564</c:v>
                </c:pt>
                <c:pt idx="1020">
                  <c:v>43565</c:v>
                </c:pt>
                <c:pt idx="1021">
                  <c:v>43566</c:v>
                </c:pt>
                <c:pt idx="1022">
                  <c:v>43567</c:v>
                </c:pt>
                <c:pt idx="1023">
                  <c:v>43570</c:v>
                </c:pt>
                <c:pt idx="1024">
                  <c:v>43571</c:v>
                </c:pt>
                <c:pt idx="1025">
                  <c:v>43572</c:v>
                </c:pt>
                <c:pt idx="1026">
                  <c:v>43573</c:v>
                </c:pt>
                <c:pt idx="1027">
                  <c:v>43578</c:v>
                </c:pt>
                <c:pt idx="1028">
                  <c:v>43579</c:v>
                </c:pt>
                <c:pt idx="1029">
                  <c:v>43580</c:v>
                </c:pt>
                <c:pt idx="1030">
                  <c:v>43581</c:v>
                </c:pt>
                <c:pt idx="1031">
                  <c:v>43584</c:v>
                </c:pt>
                <c:pt idx="1032">
                  <c:v>43585</c:v>
                </c:pt>
                <c:pt idx="1033">
                  <c:v>43586</c:v>
                </c:pt>
                <c:pt idx="1034">
                  <c:v>43587</c:v>
                </c:pt>
                <c:pt idx="1035">
                  <c:v>43588</c:v>
                </c:pt>
                <c:pt idx="1036">
                  <c:v>43592</c:v>
                </c:pt>
                <c:pt idx="1037">
                  <c:v>43593</c:v>
                </c:pt>
                <c:pt idx="1038">
                  <c:v>43594</c:v>
                </c:pt>
                <c:pt idx="1039">
                  <c:v>43595</c:v>
                </c:pt>
                <c:pt idx="1040">
                  <c:v>43598</c:v>
                </c:pt>
                <c:pt idx="1041">
                  <c:v>43599</c:v>
                </c:pt>
                <c:pt idx="1042">
                  <c:v>43600</c:v>
                </c:pt>
                <c:pt idx="1043">
                  <c:v>43601</c:v>
                </c:pt>
                <c:pt idx="1044">
                  <c:v>43602</c:v>
                </c:pt>
                <c:pt idx="1045">
                  <c:v>43605</c:v>
                </c:pt>
                <c:pt idx="1046">
                  <c:v>43606</c:v>
                </c:pt>
                <c:pt idx="1047">
                  <c:v>43607</c:v>
                </c:pt>
                <c:pt idx="1048">
                  <c:v>43608</c:v>
                </c:pt>
                <c:pt idx="1049">
                  <c:v>43609</c:v>
                </c:pt>
                <c:pt idx="1050">
                  <c:v>43613</c:v>
                </c:pt>
                <c:pt idx="1051">
                  <c:v>43614</c:v>
                </c:pt>
                <c:pt idx="1052">
                  <c:v>43615</c:v>
                </c:pt>
                <c:pt idx="1053">
                  <c:v>43616</c:v>
                </c:pt>
                <c:pt idx="1054">
                  <c:v>43619</c:v>
                </c:pt>
                <c:pt idx="1055">
                  <c:v>43620</c:v>
                </c:pt>
                <c:pt idx="1056">
                  <c:v>43621</c:v>
                </c:pt>
                <c:pt idx="1057">
                  <c:v>43622</c:v>
                </c:pt>
                <c:pt idx="1058">
                  <c:v>43623</c:v>
                </c:pt>
                <c:pt idx="1059">
                  <c:v>43626</c:v>
                </c:pt>
                <c:pt idx="1060">
                  <c:v>43627</c:v>
                </c:pt>
                <c:pt idx="1061">
                  <c:v>43628</c:v>
                </c:pt>
                <c:pt idx="1062">
                  <c:v>43629</c:v>
                </c:pt>
                <c:pt idx="1063">
                  <c:v>43630</c:v>
                </c:pt>
                <c:pt idx="1064">
                  <c:v>43633</c:v>
                </c:pt>
                <c:pt idx="1065">
                  <c:v>43634</c:v>
                </c:pt>
                <c:pt idx="1066">
                  <c:v>43635</c:v>
                </c:pt>
                <c:pt idx="1067">
                  <c:v>43636</c:v>
                </c:pt>
                <c:pt idx="1068">
                  <c:v>43637</c:v>
                </c:pt>
                <c:pt idx="1069">
                  <c:v>43640</c:v>
                </c:pt>
                <c:pt idx="1070">
                  <c:v>43641</c:v>
                </c:pt>
                <c:pt idx="1071">
                  <c:v>43642</c:v>
                </c:pt>
                <c:pt idx="1072">
                  <c:v>43643</c:v>
                </c:pt>
                <c:pt idx="1073">
                  <c:v>43644</c:v>
                </c:pt>
                <c:pt idx="1074">
                  <c:v>43647</c:v>
                </c:pt>
                <c:pt idx="1075">
                  <c:v>43648</c:v>
                </c:pt>
                <c:pt idx="1076">
                  <c:v>43649</c:v>
                </c:pt>
                <c:pt idx="1077">
                  <c:v>43650</c:v>
                </c:pt>
                <c:pt idx="1078">
                  <c:v>43651</c:v>
                </c:pt>
                <c:pt idx="1079">
                  <c:v>43654</c:v>
                </c:pt>
                <c:pt idx="1080">
                  <c:v>43655</c:v>
                </c:pt>
                <c:pt idx="1081">
                  <c:v>43656</c:v>
                </c:pt>
                <c:pt idx="1082">
                  <c:v>43657</c:v>
                </c:pt>
                <c:pt idx="1083">
                  <c:v>43658</c:v>
                </c:pt>
                <c:pt idx="1084">
                  <c:v>43661</c:v>
                </c:pt>
                <c:pt idx="1085">
                  <c:v>43662</c:v>
                </c:pt>
                <c:pt idx="1086">
                  <c:v>43663</c:v>
                </c:pt>
                <c:pt idx="1087">
                  <c:v>43664</c:v>
                </c:pt>
                <c:pt idx="1088">
                  <c:v>43665</c:v>
                </c:pt>
                <c:pt idx="1089">
                  <c:v>43668</c:v>
                </c:pt>
                <c:pt idx="1090">
                  <c:v>43669</c:v>
                </c:pt>
                <c:pt idx="1091">
                  <c:v>43670</c:v>
                </c:pt>
                <c:pt idx="1092">
                  <c:v>43671</c:v>
                </c:pt>
                <c:pt idx="1093">
                  <c:v>43672</c:v>
                </c:pt>
                <c:pt idx="1094">
                  <c:v>43675</c:v>
                </c:pt>
                <c:pt idx="1095">
                  <c:v>43676</c:v>
                </c:pt>
                <c:pt idx="1096">
                  <c:v>43677</c:v>
                </c:pt>
                <c:pt idx="1097">
                  <c:v>43678</c:v>
                </c:pt>
                <c:pt idx="1098">
                  <c:v>43679</c:v>
                </c:pt>
                <c:pt idx="1099">
                  <c:v>43682</c:v>
                </c:pt>
                <c:pt idx="1100">
                  <c:v>43683</c:v>
                </c:pt>
                <c:pt idx="1101">
                  <c:v>43684</c:v>
                </c:pt>
                <c:pt idx="1102">
                  <c:v>43685</c:v>
                </c:pt>
                <c:pt idx="1103">
                  <c:v>43686</c:v>
                </c:pt>
                <c:pt idx="1104">
                  <c:v>43689</c:v>
                </c:pt>
                <c:pt idx="1105">
                  <c:v>43690</c:v>
                </c:pt>
                <c:pt idx="1106">
                  <c:v>43691</c:v>
                </c:pt>
                <c:pt idx="1107">
                  <c:v>43692</c:v>
                </c:pt>
                <c:pt idx="1108">
                  <c:v>43693</c:v>
                </c:pt>
                <c:pt idx="1109">
                  <c:v>43696</c:v>
                </c:pt>
                <c:pt idx="1110">
                  <c:v>43697</c:v>
                </c:pt>
                <c:pt idx="1111">
                  <c:v>43698</c:v>
                </c:pt>
                <c:pt idx="1112">
                  <c:v>43699</c:v>
                </c:pt>
                <c:pt idx="1113">
                  <c:v>43700</c:v>
                </c:pt>
                <c:pt idx="1114">
                  <c:v>43704</c:v>
                </c:pt>
                <c:pt idx="1115">
                  <c:v>43705</c:v>
                </c:pt>
                <c:pt idx="1116">
                  <c:v>43706</c:v>
                </c:pt>
                <c:pt idx="1117">
                  <c:v>43707</c:v>
                </c:pt>
                <c:pt idx="1118">
                  <c:v>43710</c:v>
                </c:pt>
                <c:pt idx="1119">
                  <c:v>43711</c:v>
                </c:pt>
                <c:pt idx="1120">
                  <c:v>43712</c:v>
                </c:pt>
                <c:pt idx="1121">
                  <c:v>43713</c:v>
                </c:pt>
                <c:pt idx="1122">
                  <c:v>43714</c:v>
                </c:pt>
                <c:pt idx="1123">
                  <c:v>43717</c:v>
                </c:pt>
                <c:pt idx="1124">
                  <c:v>43718</c:v>
                </c:pt>
                <c:pt idx="1125">
                  <c:v>43719</c:v>
                </c:pt>
                <c:pt idx="1126">
                  <c:v>43720</c:v>
                </c:pt>
                <c:pt idx="1127">
                  <c:v>43721</c:v>
                </c:pt>
                <c:pt idx="1128">
                  <c:v>43724</c:v>
                </c:pt>
                <c:pt idx="1129">
                  <c:v>43725</c:v>
                </c:pt>
                <c:pt idx="1130">
                  <c:v>43726</c:v>
                </c:pt>
                <c:pt idx="1131">
                  <c:v>43727</c:v>
                </c:pt>
                <c:pt idx="1132">
                  <c:v>43728</c:v>
                </c:pt>
                <c:pt idx="1133">
                  <c:v>43731</c:v>
                </c:pt>
                <c:pt idx="1134">
                  <c:v>43732</c:v>
                </c:pt>
                <c:pt idx="1135">
                  <c:v>43733</c:v>
                </c:pt>
                <c:pt idx="1136">
                  <c:v>43734</c:v>
                </c:pt>
                <c:pt idx="1137">
                  <c:v>43735</c:v>
                </c:pt>
                <c:pt idx="1138">
                  <c:v>43738</c:v>
                </c:pt>
                <c:pt idx="1139">
                  <c:v>43739</c:v>
                </c:pt>
                <c:pt idx="1140">
                  <c:v>43740</c:v>
                </c:pt>
                <c:pt idx="1141">
                  <c:v>43741</c:v>
                </c:pt>
                <c:pt idx="1142">
                  <c:v>43742</c:v>
                </c:pt>
                <c:pt idx="1143">
                  <c:v>43745</c:v>
                </c:pt>
                <c:pt idx="1144">
                  <c:v>43746</c:v>
                </c:pt>
                <c:pt idx="1145">
                  <c:v>43747</c:v>
                </c:pt>
                <c:pt idx="1146">
                  <c:v>43748</c:v>
                </c:pt>
                <c:pt idx="1147">
                  <c:v>43749</c:v>
                </c:pt>
                <c:pt idx="1148">
                  <c:v>43752</c:v>
                </c:pt>
                <c:pt idx="1149">
                  <c:v>43753</c:v>
                </c:pt>
                <c:pt idx="1150">
                  <c:v>43754</c:v>
                </c:pt>
                <c:pt idx="1151">
                  <c:v>43755</c:v>
                </c:pt>
                <c:pt idx="1152">
                  <c:v>43756</c:v>
                </c:pt>
                <c:pt idx="1153">
                  <c:v>43759</c:v>
                </c:pt>
                <c:pt idx="1154">
                  <c:v>43760</c:v>
                </c:pt>
                <c:pt idx="1155">
                  <c:v>43761</c:v>
                </c:pt>
                <c:pt idx="1156">
                  <c:v>43762</c:v>
                </c:pt>
                <c:pt idx="1157">
                  <c:v>43763</c:v>
                </c:pt>
                <c:pt idx="1158">
                  <c:v>43766</c:v>
                </c:pt>
                <c:pt idx="1159">
                  <c:v>43767</c:v>
                </c:pt>
                <c:pt idx="1160">
                  <c:v>43768</c:v>
                </c:pt>
                <c:pt idx="1161">
                  <c:v>43769</c:v>
                </c:pt>
                <c:pt idx="1162">
                  <c:v>43770</c:v>
                </c:pt>
                <c:pt idx="1163">
                  <c:v>43773</c:v>
                </c:pt>
                <c:pt idx="1164">
                  <c:v>43774</c:v>
                </c:pt>
                <c:pt idx="1165">
                  <c:v>43775</c:v>
                </c:pt>
                <c:pt idx="1166">
                  <c:v>43776</c:v>
                </c:pt>
                <c:pt idx="1167">
                  <c:v>43777</c:v>
                </c:pt>
                <c:pt idx="1168">
                  <c:v>43780</c:v>
                </c:pt>
                <c:pt idx="1169">
                  <c:v>43781</c:v>
                </c:pt>
                <c:pt idx="1170">
                  <c:v>43782</c:v>
                </c:pt>
                <c:pt idx="1171">
                  <c:v>43783</c:v>
                </c:pt>
                <c:pt idx="1172">
                  <c:v>43784</c:v>
                </c:pt>
                <c:pt idx="1173">
                  <c:v>43787</c:v>
                </c:pt>
                <c:pt idx="1174">
                  <c:v>43788</c:v>
                </c:pt>
                <c:pt idx="1175">
                  <c:v>43789</c:v>
                </c:pt>
                <c:pt idx="1176">
                  <c:v>43790</c:v>
                </c:pt>
                <c:pt idx="1177">
                  <c:v>43791</c:v>
                </c:pt>
                <c:pt idx="1178">
                  <c:v>43794</c:v>
                </c:pt>
                <c:pt idx="1179">
                  <c:v>43795</c:v>
                </c:pt>
                <c:pt idx="1180">
                  <c:v>43796</c:v>
                </c:pt>
                <c:pt idx="1181">
                  <c:v>43797</c:v>
                </c:pt>
                <c:pt idx="1182">
                  <c:v>43798</c:v>
                </c:pt>
                <c:pt idx="1183">
                  <c:v>43801</c:v>
                </c:pt>
                <c:pt idx="1184">
                  <c:v>43802</c:v>
                </c:pt>
                <c:pt idx="1185">
                  <c:v>43803</c:v>
                </c:pt>
                <c:pt idx="1186">
                  <c:v>43804</c:v>
                </c:pt>
                <c:pt idx="1187">
                  <c:v>43805</c:v>
                </c:pt>
                <c:pt idx="1188">
                  <c:v>43808</c:v>
                </c:pt>
                <c:pt idx="1189">
                  <c:v>43809</c:v>
                </c:pt>
                <c:pt idx="1190">
                  <c:v>43810</c:v>
                </c:pt>
                <c:pt idx="1191">
                  <c:v>43811</c:v>
                </c:pt>
                <c:pt idx="1192">
                  <c:v>43812</c:v>
                </c:pt>
                <c:pt idx="1193">
                  <c:v>43815</c:v>
                </c:pt>
                <c:pt idx="1194">
                  <c:v>43816</c:v>
                </c:pt>
                <c:pt idx="1195">
                  <c:v>43817</c:v>
                </c:pt>
                <c:pt idx="1196">
                  <c:v>43818</c:v>
                </c:pt>
                <c:pt idx="1197">
                  <c:v>43819</c:v>
                </c:pt>
                <c:pt idx="1198">
                  <c:v>43822</c:v>
                </c:pt>
                <c:pt idx="1199">
                  <c:v>43823</c:v>
                </c:pt>
                <c:pt idx="1200">
                  <c:v>43826</c:v>
                </c:pt>
                <c:pt idx="1201">
                  <c:v>43829</c:v>
                </c:pt>
                <c:pt idx="1202">
                  <c:v>43830</c:v>
                </c:pt>
                <c:pt idx="1203">
                  <c:v>43832</c:v>
                </c:pt>
                <c:pt idx="1204">
                  <c:v>43833</c:v>
                </c:pt>
                <c:pt idx="1205">
                  <c:v>43836</c:v>
                </c:pt>
                <c:pt idx="1206">
                  <c:v>43837</c:v>
                </c:pt>
                <c:pt idx="1207">
                  <c:v>43838</c:v>
                </c:pt>
                <c:pt idx="1208">
                  <c:v>43839</c:v>
                </c:pt>
                <c:pt idx="1209">
                  <c:v>43840</c:v>
                </c:pt>
                <c:pt idx="1210">
                  <c:v>43843</c:v>
                </c:pt>
                <c:pt idx="1211">
                  <c:v>43844</c:v>
                </c:pt>
                <c:pt idx="1212">
                  <c:v>43845</c:v>
                </c:pt>
                <c:pt idx="1213">
                  <c:v>43846</c:v>
                </c:pt>
                <c:pt idx="1214">
                  <c:v>43847</c:v>
                </c:pt>
                <c:pt idx="1215">
                  <c:v>43850</c:v>
                </c:pt>
                <c:pt idx="1216">
                  <c:v>43851</c:v>
                </c:pt>
                <c:pt idx="1217">
                  <c:v>43852</c:v>
                </c:pt>
                <c:pt idx="1218">
                  <c:v>43853</c:v>
                </c:pt>
                <c:pt idx="1219">
                  <c:v>43854</c:v>
                </c:pt>
                <c:pt idx="1220">
                  <c:v>43857</c:v>
                </c:pt>
                <c:pt idx="1221">
                  <c:v>43858</c:v>
                </c:pt>
                <c:pt idx="1222">
                  <c:v>43859</c:v>
                </c:pt>
                <c:pt idx="1223">
                  <c:v>43860</c:v>
                </c:pt>
                <c:pt idx="1224">
                  <c:v>43861</c:v>
                </c:pt>
                <c:pt idx="1225">
                  <c:v>43864</c:v>
                </c:pt>
                <c:pt idx="1226">
                  <c:v>43865</c:v>
                </c:pt>
                <c:pt idx="1227">
                  <c:v>43866</c:v>
                </c:pt>
                <c:pt idx="1228">
                  <c:v>43867</c:v>
                </c:pt>
                <c:pt idx="1229">
                  <c:v>43868</c:v>
                </c:pt>
                <c:pt idx="1230">
                  <c:v>43871</c:v>
                </c:pt>
                <c:pt idx="1231">
                  <c:v>43872</c:v>
                </c:pt>
                <c:pt idx="1232">
                  <c:v>43873</c:v>
                </c:pt>
                <c:pt idx="1233">
                  <c:v>43874</c:v>
                </c:pt>
                <c:pt idx="1234">
                  <c:v>43875</c:v>
                </c:pt>
                <c:pt idx="1235">
                  <c:v>43878</c:v>
                </c:pt>
                <c:pt idx="1236">
                  <c:v>43879</c:v>
                </c:pt>
                <c:pt idx="1237">
                  <c:v>43880</c:v>
                </c:pt>
                <c:pt idx="1238">
                  <c:v>43881</c:v>
                </c:pt>
                <c:pt idx="1239">
                  <c:v>43882</c:v>
                </c:pt>
                <c:pt idx="1240">
                  <c:v>43885</c:v>
                </c:pt>
                <c:pt idx="1241">
                  <c:v>43886</c:v>
                </c:pt>
                <c:pt idx="1242">
                  <c:v>43887</c:v>
                </c:pt>
                <c:pt idx="1243">
                  <c:v>43888</c:v>
                </c:pt>
                <c:pt idx="1244">
                  <c:v>43889</c:v>
                </c:pt>
                <c:pt idx="1245">
                  <c:v>43892</c:v>
                </c:pt>
                <c:pt idx="1246">
                  <c:v>43893</c:v>
                </c:pt>
                <c:pt idx="1247">
                  <c:v>43894</c:v>
                </c:pt>
                <c:pt idx="1248">
                  <c:v>43895</c:v>
                </c:pt>
                <c:pt idx="1249">
                  <c:v>43896</c:v>
                </c:pt>
                <c:pt idx="1250">
                  <c:v>43899</c:v>
                </c:pt>
                <c:pt idx="1251">
                  <c:v>43900</c:v>
                </c:pt>
                <c:pt idx="1252">
                  <c:v>43901</c:v>
                </c:pt>
                <c:pt idx="1253">
                  <c:v>43902</c:v>
                </c:pt>
                <c:pt idx="1254">
                  <c:v>43903</c:v>
                </c:pt>
                <c:pt idx="1255">
                  <c:v>43906</c:v>
                </c:pt>
                <c:pt idx="1256">
                  <c:v>43907</c:v>
                </c:pt>
                <c:pt idx="1257">
                  <c:v>43908</c:v>
                </c:pt>
                <c:pt idx="1258">
                  <c:v>43909</c:v>
                </c:pt>
                <c:pt idx="1259">
                  <c:v>43910</c:v>
                </c:pt>
                <c:pt idx="1260">
                  <c:v>43913</c:v>
                </c:pt>
                <c:pt idx="1261">
                  <c:v>43914</c:v>
                </c:pt>
                <c:pt idx="1262">
                  <c:v>43915</c:v>
                </c:pt>
                <c:pt idx="1263">
                  <c:v>43916</c:v>
                </c:pt>
                <c:pt idx="1264">
                  <c:v>43917</c:v>
                </c:pt>
                <c:pt idx="1265">
                  <c:v>43920</c:v>
                </c:pt>
                <c:pt idx="1266">
                  <c:v>43921</c:v>
                </c:pt>
                <c:pt idx="1267">
                  <c:v>43922</c:v>
                </c:pt>
                <c:pt idx="1268">
                  <c:v>43923</c:v>
                </c:pt>
                <c:pt idx="1269">
                  <c:v>43924</c:v>
                </c:pt>
                <c:pt idx="1270">
                  <c:v>43927</c:v>
                </c:pt>
                <c:pt idx="1271">
                  <c:v>43928</c:v>
                </c:pt>
                <c:pt idx="1272">
                  <c:v>43929</c:v>
                </c:pt>
                <c:pt idx="1273">
                  <c:v>43930</c:v>
                </c:pt>
                <c:pt idx="1274">
                  <c:v>43935</c:v>
                </c:pt>
                <c:pt idx="1275">
                  <c:v>43936</c:v>
                </c:pt>
                <c:pt idx="1276">
                  <c:v>43937</c:v>
                </c:pt>
                <c:pt idx="1277">
                  <c:v>43938</c:v>
                </c:pt>
                <c:pt idx="1278">
                  <c:v>43941</c:v>
                </c:pt>
                <c:pt idx="1279">
                  <c:v>43942</c:v>
                </c:pt>
                <c:pt idx="1280">
                  <c:v>43943</c:v>
                </c:pt>
                <c:pt idx="1281">
                  <c:v>43944</c:v>
                </c:pt>
                <c:pt idx="1282">
                  <c:v>43945</c:v>
                </c:pt>
                <c:pt idx="1283">
                  <c:v>43948</c:v>
                </c:pt>
                <c:pt idx="1284">
                  <c:v>43949</c:v>
                </c:pt>
                <c:pt idx="1285">
                  <c:v>43950</c:v>
                </c:pt>
                <c:pt idx="1286">
                  <c:v>43951</c:v>
                </c:pt>
                <c:pt idx="1287">
                  <c:v>43952</c:v>
                </c:pt>
                <c:pt idx="1288">
                  <c:v>43955</c:v>
                </c:pt>
                <c:pt idx="1289">
                  <c:v>43956</c:v>
                </c:pt>
                <c:pt idx="1290">
                  <c:v>43957</c:v>
                </c:pt>
                <c:pt idx="1291">
                  <c:v>43958</c:v>
                </c:pt>
                <c:pt idx="1292">
                  <c:v>43962</c:v>
                </c:pt>
                <c:pt idx="1293">
                  <c:v>43963</c:v>
                </c:pt>
                <c:pt idx="1294">
                  <c:v>43964</c:v>
                </c:pt>
                <c:pt idx="1295">
                  <c:v>43965</c:v>
                </c:pt>
                <c:pt idx="1296">
                  <c:v>43966</c:v>
                </c:pt>
                <c:pt idx="1297">
                  <c:v>43969</c:v>
                </c:pt>
                <c:pt idx="1298">
                  <c:v>43970</c:v>
                </c:pt>
                <c:pt idx="1299">
                  <c:v>43971</c:v>
                </c:pt>
                <c:pt idx="1300">
                  <c:v>43972</c:v>
                </c:pt>
                <c:pt idx="1301">
                  <c:v>43973</c:v>
                </c:pt>
                <c:pt idx="1302">
                  <c:v>43977</c:v>
                </c:pt>
                <c:pt idx="1303">
                  <c:v>43978</c:v>
                </c:pt>
                <c:pt idx="1304">
                  <c:v>43979</c:v>
                </c:pt>
                <c:pt idx="1305">
                  <c:v>43980</c:v>
                </c:pt>
                <c:pt idx="1306">
                  <c:v>43983</c:v>
                </c:pt>
                <c:pt idx="1307">
                  <c:v>43984</c:v>
                </c:pt>
                <c:pt idx="1308">
                  <c:v>43985</c:v>
                </c:pt>
                <c:pt idx="1309">
                  <c:v>43986</c:v>
                </c:pt>
                <c:pt idx="1310">
                  <c:v>43987</c:v>
                </c:pt>
                <c:pt idx="1311">
                  <c:v>43990</c:v>
                </c:pt>
                <c:pt idx="1312">
                  <c:v>43991</c:v>
                </c:pt>
                <c:pt idx="1313">
                  <c:v>43992</c:v>
                </c:pt>
                <c:pt idx="1314">
                  <c:v>43993</c:v>
                </c:pt>
                <c:pt idx="1315">
                  <c:v>43994</c:v>
                </c:pt>
                <c:pt idx="1316">
                  <c:v>43997</c:v>
                </c:pt>
                <c:pt idx="1317">
                  <c:v>43998</c:v>
                </c:pt>
                <c:pt idx="1318">
                  <c:v>43999</c:v>
                </c:pt>
                <c:pt idx="1319">
                  <c:v>44000</c:v>
                </c:pt>
                <c:pt idx="1320">
                  <c:v>44001</c:v>
                </c:pt>
                <c:pt idx="1321">
                  <c:v>44004</c:v>
                </c:pt>
                <c:pt idx="1322">
                  <c:v>44005</c:v>
                </c:pt>
                <c:pt idx="1323">
                  <c:v>44006</c:v>
                </c:pt>
                <c:pt idx="1324">
                  <c:v>44007</c:v>
                </c:pt>
                <c:pt idx="1325">
                  <c:v>44008</c:v>
                </c:pt>
                <c:pt idx="1326">
                  <c:v>44011</c:v>
                </c:pt>
                <c:pt idx="1327">
                  <c:v>44012</c:v>
                </c:pt>
                <c:pt idx="1328">
                  <c:v>44013</c:v>
                </c:pt>
                <c:pt idx="1329">
                  <c:v>44014</c:v>
                </c:pt>
                <c:pt idx="1330">
                  <c:v>44015</c:v>
                </c:pt>
                <c:pt idx="1331">
                  <c:v>44018</c:v>
                </c:pt>
                <c:pt idx="1332">
                  <c:v>44019</c:v>
                </c:pt>
                <c:pt idx="1333">
                  <c:v>44020</c:v>
                </c:pt>
                <c:pt idx="1334">
                  <c:v>44021</c:v>
                </c:pt>
                <c:pt idx="1335">
                  <c:v>44022</c:v>
                </c:pt>
                <c:pt idx="1336">
                  <c:v>44025</c:v>
                </c:pt>
                <c:pt idx="1337">
                  <c:v>44026</c:v>
                </c:pt>
                <c:pt idx="1338">
                  <c:v>44027</c:v>
                </c:pt>
                <c:pt idx="1339">
                  <c:v>44028</c:v>
                </c:pt>
                <c:pt idx="1340">
                  <c:v>44029</c:v>
                </c:pt>
                <c:pt idx="1341">
                  <c:v>44032</c:v>
                </c:pt>
                <c:pt idx="1342">
                  <c:v>44033</c:v>
                </c:pt>
                <c:pt idx="1343">
                  <c:v>44034</c:v>
                </c:pt>
                <c:pt idx="1344">
                  <c:v>44035</c:v>
                </c:pt>
                <c:pt idx="1345">
                  <c:v>44036</c:v>
                </c:pt>
                <c:pt idx="1346">
                  <c:v>44039</c:v>
                </c:pt>
                <c:pt idx="1347">
                  <c:v>44040</c:v>
                </c:pt>
                <c:pt idx="1348">
                  <c:v>44041</c:v>
                </c:pt>
                <c:pt idx="1349">
                  <c:v>44042</c:v>
                </c:pt>
                <c:pt idx="1350">
                  <c:v>44043</c:v>
                </c:pt>
                <c:pt idx="1351">
                  <c:v>44046</c:v>
                </c:pt>
                <c:pt idx="1352">
                  <c:v>44047</c:v>
                </c:pt>
                <c:pt idx="1353">
                  <c:v>44048</c:v>
                </c:pt>
                <c:pt idx="1354">
                  <c:v>44049</c:v>
                </c:pt>
                <c:pt idx="1355">
                  <c:v>44050</c:v>
                </c:pt>
                <c:pt idx="1356">
                  <c:v>44053</c:v>
                </c:pt>
                <c:pt idx="1357">
                  <c:v>44054</c:v>
                </c:pt>
                <c:pt idx="1358">
                  <c:v>44055</c:v>
                </c:pt>
                <c:pt idx="1359">
                  <c:v>44056</c:v>
                </c:pt>
                <c:pt idx="1360">
                  <c:v>44057</c:v>
                </c:pt>
                <c:pt idx="1361">
                  <c:v>44060</c:v>
                </c:pt>
                <c:pt idx="1362">
                  <c:v>44061</c:v>
                </c:pt>
                <c:pt idx="1363">
                  <c:v>44062</c:v>
                </c:pt>
                <c:pt idx="1364">
                  <c:v>44063</c:v>
                </c:pt>
                <c:pt idx="1365">
                  <c:v>44064</c:v>
                </c:pt>
                <c:pt idx="1366">
                  <c:v>44067</c:v>
                </c:pt>
                <c:pt idx="1367">
                  <c:v>44068</c:v>
                </c:pt>
                <c:pt idx="1368">
                  <c:v>44069</c:v>
                </c:pt>
                <c:pt idx="1369">
                  <c:v>44070</c:v>
                </c:pt>
                <c:pt idx="1370">
                  <c:v>44071</c:v>
                </c:pt>
                <c:pt idx="1371">
                  <c:v>44074</c:v>
                </c:pt>
                <c:pt idx="1372">
                  <c:v>44075</c:v>
                </c:pt>
                <c:pt idx="1373">
                  <c:v>44076</c:v>
                </c:pt>
                <c:pt idx="1374">
                  <c:v>44077</c:v>
                </c:pt>
                <c:pt idx="1375">
                  <c:v>44078</c:v>
                </c:pt>
                <c:pt idx="1376">
                  <c:v>44081</c:v>
                </c:pt>
                <c:pt idx="1377">
                  <c:v>44082</c:v>
                </c:pt>
                <c:pt idx="1378">
                  <c:v>44083</c:v>
                </c:pt>
                <c:pt idx="1379">
                  <c:v>44084</c:v>
                </c:pt>
                <c:pt idx="1380">
                  <c:v>44085</c:v>
                </c:pt>
                <c:pt idx="1381">
                  <c:v>44088</c:v>
                </c:pt>
                <c:pt idx="1382">
                  <c:v>44089</c:v>
                </c:pt>
                <c:pt idx="1383">
                  <c:v>44090</c:v>
                </c:pt>
                <c:pt idx="1384">
                  <c:v>44091</c:v>
                </c:pt>
                <c:pt idx="1385">
                  <c:v>44092</c:v>
                </c:pt>
                <c:pt idx="1386">
                  <c:v>44095</c:v>
                </c:pt>
                <c:pt idx="1387">
                  <c:v>44096</c:v>
                </c:pt>
                <c:pt idx="1388">
                  <c:v>44097</c:v>
                </c:pt>
                <c:pt idx="1389">
                  <c:v>44098</c:v>
                </c:pt>
                <c:pt idx="1390">
                  <c:v>44099</c:v>
                </c:pt>
                <c:pt idx="1391">
                  <c:v>44102</c:v>
                </c:pt>
                <c:pt idx="1392">
                  <c:v>44103</c:v>
                </c:pt>
                <c:pt idx="1393">
                  <c:v>44104</c:v>
                </c:pt>
                <c:pt idx="1394">
                  <c:v>44105</c:v>
                </c:pt>
                <c:pt idx="1395">
                  <c:v>44106</c:v>
                </c:pt>
                <c:pt idx="1396">
                  <c:v>44109</c:v>
                </c:pt>
                <c:pt idx="1397">
                  <c:v>44110</c:v>
                </c:pt>
                <c:pt idx="1398">
                  <c:v>44111</c:v>
                </c:pt>
                <c:pt idx="1399">
                  <c:v>44112</c:v>
                </c:pt>
                <c:pt idx="1400">
                  <c:v>44113</c:v>
                </c:pt>
                <c:pt idx="1401">
                  <c:v>44116</c:v>
                </c:pt>
                <c:pt idx="1402">
                  <c:v>44117</c:v>
                </c:pt>
                <c:pt idx="1403">
                  <c:v>44118</c:v>
                </c:pt>
                <c:pt idx="1404">
                  <c:v>44119</c:v>
                </c:pt>
                <c:pt idx="1405">
                  <c:v>44120</c:v>
                </c:pt>
                <c:pt idx="1406">
                  <c:v>44123</c:v>
                </c:pt>
                <c:pt idx="1407">
                  <c:v>44124</c:v>
                </c:pt>
                <c:pt idx="1408">
                  <c:v>44125</c:v>
                </c:pt>
                <c:pt idx="1409">
                  <c:v>44126</c:v>
                </c:pt>
                <c:pt idx="1410">
                  <c:v>44127</c:v>
                </c:pt>
                <c:pt idx="1411">
                  <c:v>44130</c:v>
                </c:pt>
                <c:pt idx="1412">
                  <c:v>44131</c:v>
                </c:pt>
                <c:pt idx="1413">
                  <c:v>44132</c:v>
                </c:pt>
                <c:pt idx="1414">
                  <c:v>44133</c:v>
                </c:pt>
                <c:pt idx="1415">
                  <c:v>44134</c:v>
                </c:pt>
                <c:pt idx="1416">
                  <c:v>44137</c:v>
                </c:pt>
                <c:pt idx="1417">
                  <c:v>44138</c:v>
                </c:pt>
                <c:pt idx="1418">
                  <c:v>44139</c:v>
                </c:pt>
                <c:pt idx="1419">
                  <c:v>44140</c:v>
                </c:pt>
                <c:pt idx="1420">
                  <c:v>44141</c:v>
                </c:pt>
                <c:pt idx="1421">
                  <c:v>44144</c:v>
                </c:pt>
                <c:pt idx="1422">
                  <c:v>44145</c:v>
                </c:pt>
                <c:pt idx="1423">
                  <c:v>44146</c:v>
                </c:pt>
                <c:pt idx="1424">
                  <c:v>44147</c:v>
                </c:pt>
                <c:pt idx="1425">
                  <c:v>44148</c:v>
                </c:pt>
                <c:pt idx="1426">
                  <c:v>44151</c:v>
                </c:pt>
                <c:pt idx="1427">
                  <c:v>44152</c:v>
                </c:pt>
                <c:pt idx="1428">
                  <c:v>44153</c:v>
                </c:pt>
                <c:pt idx="1429">
                  <c:v>44154</c:v>
                </c:pt>
                <c:pt idx="1430">
                  <c:v>44155</c:v>
                </c:pt>
                <c:pt idx="1431">
                  <c:v>44158</c:v>
                </c:pt>
                <c:pt idx="1432">
                  <c:v>44159</c:v>
                </c:pt>
                <c:pt idx="1433">
                  <c:v>44160</c:v>
                </c:pt>
                <c:pt idx="1434">
                  <c:v>44161</c:v>
                </c:pt>
                <c:pt idx="1435">
                  <c:v>44162</c:v>
                </c:pt>
                <c:pt idx="1436">
                  <c:v>44165</c:v>
                </c:pt>
                <c:pt idx="1437">
                  <c:v>44166</c:v>
                </c:pt>
                <c:pt idx="1438">
                  <c:v>44167</c:v>
                </c:pt>
                <c:pt idx="1439">
                  <c:v>44168</c:v>
                </c:pt>
                <c:pt idx="1440">
                  <c:v>44169</c:v>
                </c:pt>
                <c:pt idx="1441">
                  <c:v>44172</c:v>
                </c:pt>
                <c:pt idx="1442">
                  <c:v>44173</c:v>
                </c:pt>
                <c:pt idx="1443">
                  <c:v>44174</c:v>
                </c:pt>
                <c:pt idx="1444">
                  <c:v>44175</c:v>
                </c:pt>
                <c:pt idx="1445">
                  <c:v>44176</c:v>
                </c:pt>
                <c:pt idx="1446">
                  <c:v>44179</c:v>
                </c:pt>
                <c:pt idx="1447">
                  <c:v>44180</c:v>
                </c:pt>
                <c:pt idx="1448">
                  <c:v>44181</c:v>
                </c:pt>
                <c:pt idx="1449">
                  <c:v>44182</c:v>
                </c:pt>
                <c:pt idx="1450">
                  <c:v>44183</c:v>
                </c:pt>
                <c:pt idx="1451">
                  <c:v>44186</c:v>
                </c:pt>
                <c:pt idx="1452">
                  <c:v>44187</c:v>
                </c:pt>
                <c:pt idx="1453">
                  <c:v>44188</c:v>
                </c:pt>
                <c:pt idx="1454">
                  <c:v>44189</c:v>
                </c:pt>
                <c:pt idx="1455">
                  <c:v>44194</c:v>
                </c:pt>
                <c:pt idx="1456">
                  <c:v>44195</c:v>
                </c:pt>
                <c:pt idx="1457">
                  <c:v>44196</c:v>
                </c:pt>
                <c:pt idx="1458">
                  <c:v>44200</c:v>
                </c:pt>
                <c:pt idx="1459">
                  <c:v>44201</c:v>
                </c:pt>
                <c:pt idx="1460">
                  <c:v>44202</c:v>
                </c:pt>
                <c:pt idx="1461">
                  <c:v>44203</c:v>
                </c:pt>
                <c:pt idx="1462">
                  <c:v>44204</c:v>
                </c:pt>
                <c:pt idx="1463">
                  <c:v>44207</c:v>
                </c:pt>
                <c:pt idx="1464">
                  <c:v>44208</c:v>
                </c:pt>
                <c:pt idx="1465">
                  <c:v>44209</c:v>
                </c:pt>
                <c:pt idx="1466">
                  <c:v>44210</c:v>
                </c:pt>
                <c:pt idx="1467">
                  <c:v>44211</c:v>
                </c:pt>
                <c:pt idx="1468">
                  <c:v>44214</c:v>
                </c:pt>
                <c:pt idx="1469">
                  <c:v>44215</c:v>
                </c:pt>
                <c:pt idx="1470">
                  <c:v>44216</c:v>
                </c:pt>
                <c:pt idx="1471">
                  <c:v>44217</c:v>
                </c:pt>
                <c:pt idx="1472">
                  <c:v>44218</c:v>
                </c:pt>
                <c:pt idx="1473">
                  <c:v>44221</c:v>
                </c:pt>
                <c:pt idx="1474">
                  <c:v>44222</c:v>
                </c:pt>
                <c:pt idx="1475">
                  <c:v>44223</c:v>
                </c:pt>
                <c:pt idx="1476">
                  <c:v>44224</c:v>
                </c:pt>
                <c:pt idx="1477">
                  <c:v>44225</c:v>
                </c:pt>
                <c:pt idx="1478">
                  <c:v>44228</c:v>
                </c:pt>
                <c:pt idx="1479">
                  <c:v>44229</c:v>
                </c:pt>
                <c:pt idx="1480">
                  <c:v>44230</c:v>
                </c:pt>
                <c:pt idx="1481">
                  <c:v>44231</c:v>
                </c:pt>
                <c:pt idx="1482">
                  <c:v>44232</c:v>
                </c:pt>
                <c:pt idx="1483">
                  <c:v>44235</c:v>
                </c:pt>
                <c:pt idx="1484">
                  <c:v>44236</c:v>
                </c:pt>
                <c:pt idx="1485">
                  <c:v>44237</c:v>
                </c:pt>
                <c:pt idx="1486">
                  <c:v>44238</c:v>
                </c:pt>
                <c:pt idx="1487">
                  <c:v>44239</c:v>
                </c:pt>
                <c:pt idx="1488">
                  <c:v>44242</c:v>
                </c:pt>
                <c:pt idx="1489">
                  <c:v>44243</c:v>
                </c:pt>
                <c:pt idx="1490">
                  <c:v>44244</c:v>
                </c:pt>
                <c:pt idx="1491">
                  <c:v>44245</c:v>
                </c:pt>
                <c:pt idx="1492">
                  <c:v>44246</c:v>
                </c:pt>
                <c:pt idx="1493">
                  <c:v>44249</c:v>
                </c:pt>
                <c:pt idx="1494">
                  <c:v>44250</c:v>
                </c:pt>
                <c:pt idx="1495">
                  <c:v>44251</c:v>
                </c:pt>
                <c:pt idx="1496">
                  <c:v>44252</c:v>
                </c:pt>
                <c:pt idx="1497">
                  <c:v>44253</c:v>
                </c:pt>
                <c:pt idx="1498">
                  <c:v>44256</c:v>
                </c:pt>
                <c:pt idx="1499">
                  <c:v>44257</c:v>
                </c:pt>
                <c:pt idx="1500">
                  <c:v>44258</c:v>
                </c:pt>
                <c:pt idx="1501">
                  <c:v>44259</c:v>
                </c:pt>
                <c:pt idx="1502">
                  <c:v>44260</c:v>
                </c:pt>
                <c:pt idx="1503">
                  <c:v>44263</c:v>
                </c:pt>
                <c:pt idx="1504">
                  <c:v>44264</c:v>
                </c:pt>
                <c:pt idx="1505">
                  <c:v>44265</c:v>
                </c:pt>
                <c:pt idx="1506">
                  <c:v>44266</c:v>
                </c:pt>
                <c:pt idx="1507">
                  <c:v>44267</c:v>
                </c:pt>
                <c:pt idx="1508">
                  <c:v>44270</c:v>
                </c:pt>
                <c:pt idx="1509">
                  <c:v>44271</c:v>
                </c:pt>
                <c:pt idx="1510">
                  <c:v>44272</c:v>
                </c:pt>
                <c:pt idx="1511">
                  <c:v>44273</c:v>
                </c:pt>
                <c:pt idx="1512">
                  <c:v>44274</c:v>
                </c:pt>
                <c:pt idx="1513">
                  <c:v>44277</c:v>
                </c:pt>
                <c:pt idx="1514">
                  <c:v>44278</c:v>
                </c:pt>
                <c:pt idx="1515">
                  <c:v>44279</c:v>
                </c:pt>
                <c:pt idx="1516">
                  <c:v>44280</c:v>
                </c:pt>
                <c:pt idx="1517">
                  <c:v>44281</c:v>
                </c:pt>
                <c:pt idx="1518">
                  <c:v>44284</c:v>
                </c:pt>
                <c:pt idx="1519">
                  <c:v>44285</c:v>
                </c:pt>
                <c:pt idx="1520">
                  <c:v>44286</c:v>
                </c:pt>
                <c:pt idx="1521">
                  <c:v>44287</c:v>
                </c:pt>
                <c:pt idx="1522">
                  <c:v>44292</c:v>
                </c:pt>
                <c:pt idx="1523">
                  <c:v>44293</c:v>
                </c:pt>
                <c:pt idx="1524">
                  <c:v>44294</c:v>
                </c:pt>
                <c:pt idx="1525">
                  <c:v>44295</c:v>
                </c:pt>
                <c:pt idx="1526">
                  <c:v>44298</c:v>
                </c:pt>
                <c:pt idx="1527">
                  <c:v>44299</c:v>
                </c:pt>
                <c:pt idx="1528">
                  <c:v>44300</c:v>
                </c:pt>
                <c:pt idx="1529">
                  <c:v>44301</c:v>
                </c:pt>
                <c:pt idx="1530">
                  <c:v>44302</c:v>
                </c:pt>
                <c:pt idx="1531">
                  <c:v>44305</c:v>
                </c:pt>
                <c:pt idx="1532">
                  <c:v>44306</c:v>
                </c:pt>
                <c:pt idx="1533">
                  <c:v>44307</c:v>
                </c:pt>
                <c:pt idx="1534">
                  <c:v>44308</c:v>
                </c:pt>
                <c:pt idx="1535">
                  <c:v>44309</c:v>
                </c:pt>
                <c:pt idx="1536">
                  <c:v>44312</c:v>
                </c:pt>
                <c:pt idx="1537">
                  <c:v>44313</c:v>
                </c:pt>
                <c:pt idx="1538">
                  <c:v>44314</c:v>
                </c:pt>
                <c:pt idx="1539">
                  <c:v>44315</c:v>
                </c:pt>
                <c:pt idx="1540">
                  <c:v>44316</c:v>
                </c:pt>
                <c:pt idx="1541">
                  <c:v>44319</c:v>
                </c:pt>
                <c:pt idx="1542">
                  <c:v>44320</c:v>
                </c:pt>
                <c:pt idx="1543">
                  <c:v>44321</c:v>
                </c:pt>
                <c:pt idx="1544">
                  <c:v>44322</c:v>
                </c:pt>
                <c:pt idx="1545">
                  <c:v>44323</c:v>
                </c:pt>
                <c:pt idx="1546">
                  <c:v>44326</c:v>
                </c:pt>
                <c:pt idx="1547">
                  <c:v>44327</c:v>
                </c:pt>
                <c:pt idx="1548">
                  <c:v>44328</c:v>
                </c:pt>
                <c:pt idx="1549">
                  <c:v>44329</c:v>
                </c:pt>
                <c:pt idx="1550">
                  <c:v>44330</c:v>
                </c:pt>
                <c:pt idx="1551">
                  <c:v>44333</c:v>
                </c:pt>
                <c:pt idx="1552">
                  <c:v>44334</c:v>
                </c:pt>
                <c:pt idx="1553">
                  <c:v>44335</c:v>
                </c:pt>
                <c:pt idx="1554">
                  <c:v>44336</c:v>
                </c:pt>
                <c:pt idx="1555">
                  <c:v>44337</c:v>
                </c:pt>
                <c:pt idx="1556">
                  <c:v>44340</c:v>
                </c:pt>
                <c:pt idx="1557">
                  <c:v>44341</c:v>
                </c:pt>
                <c:pt idx="1558">
                  <c:v>44342</c:v>
                </c:pt>
                <c:pt idx="1559">
                  <c:v>44343</c:v>
                </c:pt>
                <c:pt idx="1560">
                  <c:v>44344</c:v>
                </c:pt>
                <c:pt idx="1561">
                  <c:v>44347</c:v>
                </c:pt>
                <c:pt idx="1562">
                  <c:v>44348</c:v>
                </c:pt>
                <c:pt idx="1563">
                  <c:v>44349</c:v>
                </c:pt>
                <c:pt idx="1564">
                  <c:v>44350</c:v>
                </c:pt>
                <c:pt idx="1565">
                  <c:v>44351</c:v>
                </c:pt>
                <c:pt idx="1566">
                  <c:v>44354</c:v>
                </c:pt>
                <c:pt idx="1567">
                  <c:v>44355</c:v>
                </c:pt>
                <c:pt idx="1568">
                  <c:v>44356</c:v>
                </c:pt>
                <c:pt idx="1569">
                  <c:v>44357</c:v>
                </c:pt>
                <c:pt idx="1570">
                  <c:v>44358</c:v>
                </c:pt>
                <c:pt idx="1571">
                  <c:v>44361</c:v>
                </c:pt>
                <c:pt idx="1572">
                  <c:v>44362</c:v>
                </c:pt>
                <c:pt idx="1573">
                  <c:v>44363</c:v>
                </c:pt>
                <c:pt idx="1574">
                  <c:v>44364</c:v>
                </c:pt>
                <c:pt idx="1575">
                  <c:v>44365</c:v>
                </c:pt>
                <c:pt idx="1576">
                  <c:v>44368</c:v>
                </c:pt>
                <c:pt idx="1577">
                  <c:v>44369</c:v>
                </c:pt>
                <c:pt idx="1578">
                  <c:v>44370</c:v>
                </c:pt>
                <c:pt idx="1579">
                  <c:v>44371</c:v>
                </c:pt>
                <c:pt idx="1580">
                  <c:v>44372</c:v>
                </c:pt>
                <c:pt idx="1581">
                  <c:v>44375</c:v>
                </c:pt>
                <c:pt idx="1582">
                  <c:v>44376</c:v>
                </c:pt>
                <c:pt idx="1583">
                  <c:v>44377</c:v>
                </c:pt>
                <c:pt idx="1584">
                  <c:v>44378</c:v>
                </c:pt>
                <c:pt idx="1585">
                  <c:v>44379</c:v>
                </c:pt>
                <c:pt idx="1586">
                  <c:v>44382</c:v>
                </c:pt>
                <c:pt idx="1587">
                  <c:v>44383</c:v>
                </c:pt>
                <c:pt idx="1588">
                  <c:v>44384</c:v>
                </c:pt>
                <c:pt idx="1589">
                  <c:v>44385</c:v>
                </c:pt>
                <c:pt idx="1590">
                  <c:v>44386</c:v>
                </c:pt>
                <c:pt idx="1591">
                  <c:v>44389</c:v>
                </c:pt>
                <c:pt idx="1592">
                  <c:v>44390</c:v>
                </c:pt>
                <c:pt idx="1593">
                  <c:v>44391</c:v>
                </c:pt>
                <c:pt idx="1594">
                  <c:v>44392</c:v>
                </c:pt>
                <c:pt idx="1595">
                  <c:v>44393</c:v>
                </c:pt>
                <c:pt idx="1596">
                  <c:v>44396</c:v>
                </c:pt>
                <c:pt idx="1597">
                  <c:v>44397</c:v>
                </c:pt>
                <c:pt idx="1598">
                  <c:v>44398</c:v>
                </c:pt>
                <c:pt idx="1599">
                  <c:v>44399</c:v>
                </c:pt>
                <c:pt idx="1600">
                  <c:v>44400</c:v>
                </c:pt>
                <c:pt idx="1601">
                  <c:v>44403</c:v>
                </c:pt>
                <c:pt idx="1602">
                  <c:v>44404</c:v>
                </c:pt>
                <c:pt idx="1603">
                  <c:v>44405</c:v>
                </c:pt>
                <c:pt idx="1604">
                  <c:v>44406</c:v>
                </c:pt>
                <c:pt idx="1605">
                  <c:v>44407</c:v>
                </c:pt>
                <c:pt idx="1606">
                  <c:v>44410</c:v>
                </c:pt>
                <c:pt idx="1607">
                  <c:v>44411</c:v>
                </c:pt>
                <c:pt idx="1608">
                  <c:v>44412</c:v>
                </c:pt>
                <c:pt idx="1609">
                  <c:v>44413</c:v>
                </c:pt>
                <c:pt idx="1610">
                  <c:v>44414</c:v>
                </c:pt>
                <c:pt idx="1611">
                  <c:v>44417</c:v>
                </c:pt>
                <c:pt idx="1612">
                  <c:v>44418</c:v>
                </c:pt>
                <c:pt idx="1613">
                  <c:v>44419</c:v>
                </c:pt>
                <c:pt idx="1614">
                  <c:v>44420</c:v>
                </c:pt>
                <c:pt idx="1615">
                  <c:v>44421</c:v>
                </c:pt>
                <c:pt idx="1616">
                  <c:v>44424</c:v>
                </c:pt>
                <c:pt idx="1617">
                  <c:v>44425</c:v>
                </c:pt>
                <c:pt idx="1618">
                  <c:v>44426</c:v>
                </c:pt>
                <c:pt idx="1619">
                  <c:v>44427</c:v>
                </c:pt>
                <c:pt idx="1620">
                  <c:v>44428</c:v>
                </c:pt>
                <c:pt idx="1621">
                  <c:v>44431</c:v>
                </c:pt>
                <c:pt idx="1622">
                  <c:v>44432</c:v>
                </c:pt>
                <c:pt idx="1623">
                  <c:v>44433</c:v>
                </c:pt>
                <c:pt idx="1624">
                  <c:v>44434</c:v>
                </c:pt>
                <c:pt idx="1625">
                  <c:v>44435</c:v>
                </c:pt>
                <c:pt idx="1626">
                  <c:v>44439</c:v>
                </c:pt>
                <c:pt idx="1627">
                  <c:v>44440</c:v>
                </c:pt>
                <c:pt idx="1628">
                  <c:v>44441</c:v>
                </c:pt>
                <c:pt idx="1629">
                  <c:v>44442</c:v>
                </c:pt>
                <c:pt idx="1630">
                  <c:v>44445</c:v>
                </c:pt>
                <c:pt idx="1631">
                  <c:v>44446</c:v>
                </c:pt>
                <c:pt idx="1632">
                  <c:v>44447</c:v>
                </c:pt>
                <c:pt idx="1633">
                  <c:v>44448</c:v>
                </c:pt>
                <c:pt idx="1634">
                  <c:v>44449</c:v>
                </c:pt>
                <c:pt idx="1635">
                  <c:v>44452</c:v>
                </c:pt>
                <c:pt idx="1636">
                  <c:v>44453</c:v>
                </c:pt>
                <c:pt idx="1637">
                  <c:v>44454</c:v>
                </c:pt>
                <c:pt idx="1638">
                  <c:v>44455</c:v>
                </c:pt>
                <c:pt idx="1639">
                  <c:v>44456</c:v>
                </c:pt>
                <c:pt idx="1640">
                  <c:v>44459</c:v>
                </c:pt>
                <c:pt idx="1641">
                  <c:v>44460</c:v>
                </c:pt>
                <c:pt idx="1642">
                  <c:v>44461</c:v>
                </c:pt>
                <c:pt idx="1643">
                  <c:v>44462</c:v>
                </c:pt>
                <c:pt idx="1644">
                  <c:v>44463</c:v>
                </c:pt>
                <c:pt idx="1645">
                  <c:v>44466</c:v>
                </c:pt>
                <c:pt idx="1646">
                  <c:v>44467</c:v>
                </c:pt>
                <c:pt idx="1647">
                  <c:v>44468</c:v>
                </c:pt>
                <c:pt idx="1648">
                  <c:v>44469</c:v>
                </c:pt>
                <c:pt idx="1649">
                  <c:v>44470</c:v>
                </c:pt>
                <c:pt idx="1650">
                  <c:v>44473</c:v>
                </c:pt>
                <c:pt idx="1651">
                  <c:v>44474</c:v>
                </c:pt>
                <c:pt idx="1652">
                  <c:v>44475</c:v>
                </c:pt>
                <c:pt idx="1653">
                  <c:v>44476</c:v>
                </c:pt>
                <c:pt idx="1654">
                  <c:v>44477</c:v>
                </c:pt>
                <c:pt idx="1655">
                  <c:v>44480</c:v>
                </c:pt>
                <c:pt idx="1656">
                  <c:v>44481</c:v>
                </c:pt>
                <c:pt idx="1657">
                  <c:v>44482</c:v>
                </c:pt>
                <c:pt idx="1658">
                  <c:v>44483</c:v>
                </c:pt>
                <c:pt idx="1659">
                  <c:v>44484</c:v>
                </c:pt>
                <c:pt idx="1660">
                  <c:v>44487</c:v>
                </c:pt>
                <c:pt idx="1661">
                  <c:v>44488</c:v>
                </c:pt>
                <c:pt idx="1662">
                  <c:v>44489</c:v>
                </c:pt>
                <c:pt idx="1663">
                  <c:v>44490</c:v>
                </c:pt>
                <c:pt idx="1664">
                  <c:v>44491</c:v>
                </c:pt>
                <c:pt idx="1665">
                  <c:v>44494</c:v>
                </c:pt>
                <c:pt idx="1666">
                  <c:v>44495</c:v>
                </c:pt>
                <c:pt idx="1667">
                  <c:v>44496</c:v>
                </c:pt>
                <c:pt idx="1668">
                  <c:v>44497</c:v>
                </c:pt>
                <c:pt idx="1669">
                  <c:v>44498</c:v>
                </c:pt>
                <c:pt idx="1670">
                  <c:v>44501</c:v>
                </c:pt>
                <c:pt idx="1671">
                  <c:v>44502</c:v>
                </c:pt>
                <c:pt idx="1672">
                  <c:v>44503</c:v>
                </c:pt>
                <c:pt idx="1673">
                  <c:v>44504</c:v>
                </c:pt>
                <c:pt idx="1674">
                  <c:v>44505</c:v>
                </c:pt>
                <c:pt idx="1675">
                  <c:v>44508</c:v>
                </c:pt>
                <c:pt idx="1676">
                  <c:v>44509</c:v>
                </c:pt>
                <c:pt idx="1677">
                  <c:v>44510</c:v>
                </c:pt>
                <c:pt idx="1678">
                  <c:v>44511</c:v>
                </c:pt>
                <c:pt idx="1679">
                  <c:v>44512</c:v>
                </c:pt>
                <c:pt idx="1680">
                  <c:v>44515</c:v>
                </c:pt>
                <c:pt idx="1681">
                  <c:v>44516</c:v>
                </c:pt>
                <c:pt idx="1682">
                  <c:v>44517</c:v>
                </c:pt>
                <c:pt idx="1683">
                  <c:v>44518</c:v>
                </c:pt>
                <c:pt idx="1684">
                  <c:v>44519</c:v>
                </c:pt>
                <c:pt idx="1685">
                  <c:v>44522</c:v>
                </c:pt>
                <c:pt idx="1686">
                  <c:v>44523</c:v>
                </c:pt>
                <c:pt idx="1687">
                  <c:v>44524</c:v>
                </c:pt>
                <c:pt idx="1688">
                  <c:v>44525</c:v>
                </c:pt>
                <c:pt idx="1689">
                  <c:v>44526</c:v>
                </c:pt>
                <c:pt idx="1690">
                  <c:v>44529</c:v>
                </c:pt>
                <c:pt idx="1691">
                  <c:v>44530</c:v>
                </c:pt>
                <c:pt idx="1692">
                  <c:v>44531</c:v>
                </c:pt>
                <c:pt idx="1693">
                  <c:v>44532</c:v>
                </c:pt>
                <c:pt idx="1694">
                  <c:v>44533</c:v>
                </c:pt>
                <c:pt idx="1695">
                  <c:v>44536</c:v>
                </c:pt>
                <c:pt idx="1696">
                  <c:v>44537</c:v>
                </c:pt>
                <c:pt idx="1697">
                  <c:v>44538</c:v>
                </c:pt>
                <c:pt idx="1698">
                  <c:v>44539</c:v>
                </c:pt>
                <c:pt idx="1699">
                  <c:v>44540</c:v>
                </c:pt>
                <c:pt idx="1700">
                  <c:v>44543</c:v>
                </c:pt>
                <c:pt idx="1701">
                  <c:v>44544</c:v>
                </c:pt>
                <c:pt idx="1702">
                  <c:v>44545</c:v>
                </c:pt>
                <c:pt idx="1703">
                  <c:v>44546</c:v>
                </c:pt>
                <c:pt idx="1704">
                  <c:v>44547</c:v>
                </c:pt>
                <c:pt idx="1705">
                  <c:v>44550</c:v>
                </c:pt>
                <c:pt idx="1706">
                  <c:v>44551</c:v>
                </c:pt>
                <c:pt idx="1707">
                  <c:v>44552</c:v>
                </c:pt>
                <c:pt idx="1708">
                  <c:v>44553</c:v>
                </c:pt>
                <c:pt idx="1709">
                  <c:v>44554</c:v>
                </c:pt>
                <c:pt idx="1710">
                  <c:v>44557</c:v>
                </c:pt>
                <c:pt idx="1711">
                  <c:v>44558</c:v>
                </c:pt>
                <c:pt idx="1712">
                  <c:v>44559</c:v>
                </c:pt>
                <c:pt idx="1713">
                  <c:v>44560</c:v>
                </c:pt>
                <c:pt idx="1714">
                  <c:v>44561</c:v>
                </c:pt>
                <c:pt idx="1715">
                  <c:v>44564</c:v>
                </c:pt>
                <c:pt idx="1716">
                  <c:v>44565</c:v>
                </c:pt>
                <c:pt idx="1717">
                  <c:v>44566</c:v>
                </c:pt>
                <c:pt idx="1718">
                  <c:v>44567</c:v>
                </c:pt>
                <c:pt idx="1719">
                  <c:v>44568</c:v>
                </c:pt>
                <c:pt idx="1720">
                  <c:v>44571</c:v>
                </c:pt>
                <c:pt idx="1721">
                  <c:v>44572</c:v>
                </c:pt>
                <c:pt idx="1722">
                  <c:v>44573</c:v>
                </c:pt>
                <c:pt idx="1723">
                  <c:v>44574</c:v>
                </c:pt>
                <c:pt idx="1724">
                  <c:v>44575</c:v>
                </c:pt>
                <c:pt idx="1725">
                  <c:v>44578</c:v>
                </c:pt>
                <c:pt idx="1726">
                  <c:v>44579</c:v>
                </c:pt>
                <c:pt idx="1727">
                  <c:v>44580</c:v>
                </c:pt>
                <c:pt idx="1728">
                  <c:v>44581</c:v>
                </c:pt>
                <c:pt idx="1729">
                  <c:v>44582</c:v>
                </c:pt>
                <c:pt idx="1730">
                  <c:v>44585</c:v>
                </c:pt>
                <c:pt idx="1731">
                  <c:v>44586</c:v>
                </c:pt>
                <c:pt idx="1732">
                  <c:v>44587</c:v>
                </c:pt>
                <c:pt idx="1733">
                  <c:v>44588</c:v>
                </c:pt>
                <c:pt idx="1734">
                  <c:v>44589</c:v>
                </c:pt>
                <c:pt idx="1735">
                  <c:v>44592</c:v>
                </c:pt>
                <c:pt idx="1736">
                  <c:v>44593</c:v>
                </c:pt>
                <c:pt idx="1737">
                  <c:v>44594</c:v>
                </c:pt>
                <c:pt idx="1738">
                  <c:v>44595</c:v>
                </c:pt>
                <c:pt idx="1739">
                  <c:v>44596</c:v>
                </c:pt>
                <c:pt idx="1740">
                  <c:v>44599</c:v>
                </c:pt>
                <c:pt idx="1741">
                  <c:v>44600</c:v>
                </c:pt>
                <c:pt idx="1742">
                  <c:v>44601</c:v>
                </c:pt>
                <c:pt idx="1743">
                  <c:v>44602</c:v>
                </c:pt>
                <c:pt idx="1744">
                  <c:v>44603</c:v>
                </c:pt>
                <c:pt idx="1745">
                  <c:v>44606</c:v>
                </c:pt>
                <c:pt idx="1746">
                  <c:v>44607</c:v>
                </c:pt>
                <c:pt idx="1747">
                  <c:v>44608</c:v>
                </c:pt>
                <c:pt idx="1748">
                  <c:v>44609</c:v>
                </c:pt>
                <c:pt idx="1749">
                  <c:v>44610</c:v>
                </c:pt>
                <c:pt idx="1750">
                  <c:v>44613</c:v>
                </c:pt>
                <c:pt idx="1751">
                  <c:v>44614</c:v>
                </c:pt>
                <c:pt idx="1752">
                  <c:v>44615</c:v>
                </c:pt>
                <c:pt idx="1753">
                  <c:v>44616</c:v>
                </c:pt>
                <c:pt idx="1754">
                  <c:v>44617</c:v>
                </c:pt>
                <c:pt idx="1755">
                  <c:v>44620</c:v>
                </c:pt>
                <c:pt idx="1756">
                  <c:v>44621</c:v>
                </c:pt>
                <c:pt idx="1757">
                  <c:v>44622</c:v>
                </c:pt>
                <c:pt idx="1758">
                  <c:v>44623</c:v>
                </c:pt>
                <c:pt idx="1759">
                  <c:v>44624</c:v>
                </c:pt>
                <c:pt idx="1760">
                  <c:v>44627</c:v>
                </c:pt>
                <c:pt idx="1761">
                  <c:v>44628</c:v>
                </c:pt>
                <c:pt idx="1762">
                  <c:v>44629</c:v>
                </c:pt>
                <c:pt idx="1763">
                  <c:v>44630</c:v>
                </c:pt>
                <c:pt idx="1764">
                  <c:v>44631</c:v>
                </c:pt>
                <c:pt idx="1765">
                  <c:v>44634</c:v>
                </c:pt>
                <c:pt idx="1766">
                  <c:v>44635</c:v>
                </c:pt>
                <c:pt idx="1767">
                  <c:v>44636</c:v>
                </c:pt>
                <c:pt idx="1768">
                  <c:v>44637</c:v>
                </c:pt>
                <c:pt idx="1769">
                  <c:v>44638</c:v>
                </c:pt>
                <c:pt idx="1770">
                  <c:v>44641</c:v>
                </c:pt>
                <c:pt idx="1771">
                  <c:v>44642</c:v>
                </c:pt>
                <c:pt idx="1772">
                  <c:v>44643</c:v>
                </c:pt>
                <c:pt idx="1773">
                  <c:v>44644</c:v>
                </c:pt>
                <c:pt idx="1774">
                  <c:v>44645</c:v>
                </c:pt>
                <c:pt idx="1775">
                  <c:v>44648</c:v>
                </c:pt>
                <c:pt idx="1776">
                  <c:v>44649</c:v>
                </c:pt>
                <c:pt idx="1777">
                  <c:v>44650</c:v>
                </c:pt>
                <c:pt idx="1778">
                  <c:v>44651</c:v>
                </c:pt>
                <c:pt idx="1779">
                  <c:v>44652</c:v>
                </c:pt>
                <c:pt idx="1780">
                  <c:v>44655</c:v>
                </c:pt>
                <c:pt idx="1781">
                  <c:v>44656</c:v>
                </c:pt>
                <c:pt idx="1782">
                  <c:v>44657</c:v>
                </c:pt>
                <c:pt idx="1783">
                  <c:v>44658</c:v>
                </c:pt>
                <c:pt idx="1784">
                  <c:v>44659</c:v>
                </c:pt>
                <c:pt idx="1785">
                  <c:v>44662</c:v>
                </c:pt>
                <c:pt idx="1786">
                  <c:v>44663</c:v>
                </c:pt>
                <c:pt idx="1787">
                  <c:v>44664</c:v>
                </c:pt>
                <c:pt idx="1788">
                  <c:v>44665</c:v>
                </c:pt>
                <c:pt idx="1789">
                  <c:v>44670</c:v>
                </c:pt>
                <c:pt idx="1790">
                  <c:v>44671</c:v>
                </c:pt>
                <c:pt idx="1791">
                  <c:v>44672</c:v>
                </c:pt>
                <c:pt idx="1792">
                  <c:v>44673</c:v>
                </c:pt>
                <c:pt idx="1793">
                  <c:v>44676</c:v>
                </c:pt>
                <c:pt idx="1794">
                  <c:v>44677</c:v>
                </c:pt>
                <c:pt idx="1795">
                  <c:v>44678</c:v>
                </c:pt>
                <c:pt idx="1796">
                  <c:v>44679</c:v>
                </c:pt>
                <c:pt idx="1797">
                  <c:v>44680</c:v>
                </c:pt>
                <c:pt idx="1798">
                  <c:v>44683</c:v>
                </c:pt>
                <c:pt idx="1799">
                  <c:v>44684</c:v>
                </c:pt>
                <c:pt idx="1800">
                  <c:v>44685</c:v>
                </c:pt>
                <c:pt idx="1801">
                  <c:v>44686</c:v>
                </c:pt>
                <c:pt idx="1802">
                  <c:v>44687</c:v>
                </c:pt>
                <c:pt idx="1803">
                  <c:v>44690</c:v>
                </c:pt>
                <c:pt idx="1804">
                  <c:v>44691</c:v>
                </c:pt>
                <c:pt idx="1805">
                  <c:v>44692</c:v>
                </c:pt>
                <c:pt idx="1806">
                  <c:v>44693</c:v>
                </c:pt>
                <c:pt idx="1807">
                  <c:v>44694</c:v>
                </c:pt>
                <c:pt idx="1808">
                  <c:v>44697</c:v>
                </c:pt>
                <c:pt idx="1809">
                  <c:v>44698</c:v>
                </c:pt>
                <c:pt idx="1810">
                  <c:v>44699</c:v>
                </c:pt>
                <c:pt idx="1811">
                  <c:v>44700</c:v>
                </c:pt>
                <c:pt idx="1812">
                  <c:v>44701</c:v>
                </c:pt>
                <c:pt idx="1813">
                  <c:v>44704</c:v>
                </c:pt>
                <c:pt idx="1814">
                  <c:v>44705</c:v>
                </c:pt>
                <c:pt idx="1815">
                  <c:v>44706</c:v>
                </c:pt>
                <c:pt idx="1816">
                  <c:v>44707</c:v>
                </c:pt>
                <c:pt idx="1817">
                  <c:v>44708</c:v>
                </c:pt>
                <c:pt idx="1818">
                  <c:v>44711</c:v>
                </c:pt>
                <c:pt idx="1819">
                  <c:v>44712</c:v>
                </c:pt>
                <c:pt idx="1820">
                  <c:v>44713</c:v>
                </c:pt>
                <c:pt idx="1821">
                  <c:v>44718</c:v>
                </c:pt>
                <c:pt idx="1822">
                  <c:v>44719</c:v>
                </c:pt>
                <c:pt idx="1823">
                  <c:v>44720</c:v>
                </c:pt>
                <c:pt idx="1824">
                  <c:v>44721</c:v>
                </c:pt>
                <c:pt idx="1825">
                  <c:v>44722</c:v>
                </c:pt>
                <c:pt idx="1826">
                  <c:v>44725</c:v>
                </c:pt>
                <c:pt idx="1827">
                  <c:v>44726</c:v>
                </c:pt>
                <c:pt idx="1828">
                  <c:v>44727</c:v>
                </c:pt>
                <c:pt idx="1829">
                  <c:v>44728</c:v>
                </c:pt>
                <c:pt idx="1830">
                  <c:v>44729</c:v>
                </c:pt>
                <c:pt idx="1831">
                  <c:v>44732</c:v>
                </c:pt>
                <c:pt idx="1832">
                  <c:v>44733</c:v>
                </c:pt>
                <c:pt idx="1833">
                  <c:v>44734</c:v>
                </c:pt>
                <c:pt idx="1834">
                  <c:v>44735</c:v>
                </c:pt>
                <c:pt idx="1835">
                  <c:v>44736</c:v>
                </c:pt>
                <c:pt idx="1836">
                  <c:v>44739</c:v>
                </c:pt>
                <c:pt idx="1837">
                  <c:v>44740</c:v>
                </c:pt>
                <c:pt idx="1838">
                  <c:v>44741</c:v>
                </c:pt>
                <c:pt idx="1839">
                  <c:v>44742</c:v>
                </c:pt>
                <c:pt idx="1840">
                  <c:v>44743</c:v>
                </c:pt>
                <c:pt idx="1841">
                  <c:v>44746</c:v>
                </c:pt>
                <c:pt idx="1842">
                  <c:v>44747</c:v>
                </c:pt>
                <c:pt idx="1843">
                  <c:v>44748</c:v>
                </c:pt>
                <c:pt idx="1844">
                  <c:v>44749</c:v>
                </c:pt>
                <c:pt idx="1845">
                  <c:v>44750</c:v>
                </c:pt>
                <c:pt idx="1846">
                  <c:v>44753</c:v>
                </c:pt>
                <c:pt idx="1847">
                  <c:v>44754</c:v>
                </c:pt>
                <c:pt idx="1848">
                  <c:v>44755</c:v>
                </c:pt>
                <c:pt idx="1849">
                  <c:v>44756</c:v>
                </c:pt>
                <c:pt idx="1850">
                  <c:v>44757</c:v>
                </c:pt>
                <c:pt idx="1851">
                  <c:v>44760</c:v>
                </c:pt>
                <c:pt idx="1852">
                  <c:v>44761</c:v>
                </c:pt>
                <c:pt idx="1853">
                  <c:v>44762</c:v>
                </c:pt>
                <c:pt idx="1854">
                  <c:v>44763</c:v>
                </c:pt>
                <c:pt idx="1855">
                  <c:v>44764</c:v>
                </c:pt>
                <c:pt idx="1856">
                  <c:v>44767</c:v>
                </c:pt>
                <c:pt idx="1857">
                  <c:v>44768</c:v>
                </c:pt>
                <c:pt idx="1858">
                  <c:v>44769</c:v>
                </c:pt>
                <c:pt idx="1859">
                  <c:v>44770</c:v>
                </c:pt>
                <c:pt idx="1860">
                  <c:v>44771</c:v>
                </c:pt>
                <c:pt idx="1861">
                  <c:v>44774</c:v>
                </c:pt>
                <c:pt idx="1862">
                  <c:v>44775</c:v>
                </c:pt>
                <c:pt idx="1863">
                  <c:v>44776</c:v>
                </c:pt>
                <c:pt idx="1864">
                  <c:v>44777</c:v>
                </c:pt>
                <c:pt idx="1865">
                  <c:v>44778</c:v>
                </c:pt>
                <c:pt idx="1866">
                  <c:v>44781</c:v>
                </c:pt>
                <c:pt idx="1867">
                  <c:v>44782</c:v>
                </c:pt>
                <c:pt idx="1868">
                  <c:v>44783</c:v>
                </c:pt>
                <c:pt idx="1869">
                  <c:v>44784</c:v>
                </c:pt>
                <c:pt idx="1870">
                  <c:v>44785</c:v>
                </c:pt>
                <c:pt idx="1871">
                  <c:v>44788</c:v>
                </c:pt>
                <c:pt idx="1872">
                  <c:v>44789</c:v>
                </c:pt>
                <c:pt idx="1873">
                  <c:v>44790</c:v>
                </c:pt>
                <c:pt idx="1874">
                  <c:v>44791</c:v>
                </c:pt>
                <c:pt idx="1875">
                  <c:v>44792</c:v>
                </c:pt>
                <c:pt idx="1876">
                  <c:v>44795</c:v>
                </c:pt>
                <c:pt idx="1877">
                  <c:v>44796</c:v>
                </c:pt>
                <c:pt idx="1878">
                  <c:v>44797</c:v>
                </c:pt>
                <c:pt idx="1879">
                  <c:v>44798</c:v>
                </c:pt>
                <c:pt idx="1880">
                  <c:v>44799</c:v>
                </c:pt>
                <c:pt idx="1881">
                  <c:v>44803</c:v>
                </c:pt>
                <c:pt idx="1882">
                  <c:v>44804</c:v>
                </c:pt>
                <c:pt idx="1883">
                  <c:v>44805</c:v>
                </c:pt>
                <c:pt idx="1884">
                  <c:v>44806</c:v>
                </c:pt>
                <c:pt idx="1885">
                  <c:v>44809</c:v>
                </c:pt>
                <c:pt idx="1886">
                  <c:v>44810</c:v>
                </c:pt>
                <c:pt idx="1887">
                  <c:v>44811</c:v>
                </c:pt>
                <c:pt idx="1888">
                  <c:v>44812</c:v>
                </c:pt>
                <c:pt idx="1889">
                  <c:v>44813</c:v>
                </c:pt>
                <c:pt idx="1890">
                  <c:v>44816</c:v>
                </c:pt>
                <c:pt idx="1891">
                  <c:v>44817</c:v>
                </c:pt>
                <c:pt idx="1892">
                  <c:v>44818</c:v>
                </c:pt>
                <c:pt idx="1893">
                  <c:v>44819</c:v>
                </c:pt>
                <c:pt idx="1894">
                  <c:v>44820</c:v>
                </c:pt>
                <c:pt idx="1895">
                  <c:v>44824</c:v>
                </c:pt>
                <c:pt idx="1896">
                  <c:v>44825</c:v>
                </c:pt>
                <c:pt idx="1897">
                  <c:v>44826</c:v>
                </c:pt>
                <c:pt idx="1898">
                  <c:v>44827</c:v>
                </c:pt>
                <c:pt idx="1899">
                  <c:v>44830</c:v>
                </c:pt>
                <c:pt idx="1900">
                  <c:v>44831</c:v>
                </c:pt>
                <c:pt idx="1901">
                  <c:v>44832</c:v>
                </c:pt>
                <c:pt idx="1902">
                  <c:v>44833</c:v>
                </c:pt>
                <c:pt idx="1903">
                  <c:v>44834</c:v>
                </c:pt>
                <c:pt idx="1904">
                  <c:v>44837</c:v>
                </c:pt>
                <c:pt idx="1905">
                  <c:v>44838</c:v>
                </c:pt>
                <c:pt idx="1906">
                  <c:v>44839</c:v>
                </c:pt>
                <c:pt idx="1907">
                  <c:v>44840</c:v>
                </c:pt>
                <c:pt idx="1908">
                  <c:v>44841</c:v>
                </c:pt>
                <c:pt idx="1909">
                  <c:v>44844</c:v>
                </c:pt>
                <c:pt idx="1910">
                  <c:v>44845</c:v>
                </c:pt>
                <c:pt idx="1911">
                  <c:v>44846</c:v>
                </c:pt>
                <c:pt idx="1912">
                  <c:v>44847</c:v>
                </c:pt>
                <c:pt idx="1913">
                  <c:v>44848</c:v>
                </c:pt>
                <c:pt idx="1914">
                  <c:v>44851</c:v>
                </c:pt>
                <c:pt idx="1915">
                  <c:v>44852</c:v>
                </c:pt>
                <c:pt idx="1916">
                  <c:v>44853</c:v>
                </c:pt>
                <c:pt idx="1917">
                  <c:v>44854</c:v>
                </c:pt>
                <c:pt idx="1918">
                  <c:v>44855</c:v>
                </c:pt>
                <c:pt idx="1919">
                  <c:v>44858</c:v>
                </c:pt>
                <c:pt idx="1920">
                  <c:v>44859</c:v>
                </c:pt>
                <c:pt idx="1921">
                  <c:v>44860</c:v>
                </c:pt>
                <c:pt idx="1922">
                  <c:v>44861</c:v>
                </c:pt>
                <c:pt idx="1923">
                  <c:v>44862</c:v>
                </c:pt>
                <c:pt idx="1924">
                  <c:v>44865</c:v>
                </c:pt>
                <c:pt idx="1925">
                  <c:v>44866</c:v>
                </c:pt>
                <c:pt idx="1926">
                  <c:v>44867</c:v>
                </c:pt>
                <c:pt idx="1927">
                  <c:v>44868</c:v>
                </c:pt>
                <c:pt idx="1928">
                  <c:v>44869</c:v>
                </c:pt>
                <c:pt idx="1929">
                  <c:v>44872</c:v>
                </c:pt>
                <c:pt idx="1930">
                  <c:v>44873</c:v>
                </c:pt>
                <c:pt idx="1931">
                  <c:v>44874</c:v>
                </c:pt>
                <c:pt idx="1932">
                  <c:v>44875</c:v>
                </c:pt>
                <c:pt idx="1933">
                  <c:v>44876</c:v>
                </c:pt>
                <c:pt idx="1934">
                  <c:v>44879</c:v>
                </c:pt>
                <c:pt idx="1935">
                  <c:v>44880</c:v>
                </c:pt>
                <c:pt idx="1936">
                  <c:v>44881</c:v>
                </c:pt>
                <c:pt idx="1937">
                  <c:v>44882</c:v>
                </c:pt>
                <c:pt idx="1938">
                  <c:v>44883</c:v>
                </c:pt>
                <c:pt idx="1939">
                  <c:v>44886</c:v>
                </c:pt>
                <c:pt idx="1940">
                  <c:v>44887</c:v>
                </c:pt>
                <c:pt idx="1941">
                  <c:v>44888</c:v>
                </c:pt>
                <c:pt idx="1942">
                  <c:v>44889</c:v>
                </c:pt>
                <c:pt idx="1943">
                  <c:v>44890</c:v>
                </c:pt>
                <c:pt idx="1944">
                  <c:v>44893</c:v>
                </c:pt>
                <c:pt idx="1945">
                  <c:v>44894</c:v>
                </c:pt>
                <c:pt idx="1946">
                  <c:v>44895</c:v>
                </c:pt>
                <c:pt idx="1947">
                  <c:v>44896</c:v>
                </c:pt>
                <c:pt idx="1948">
                  <c:v>44897</c:v>
                </c:pt>
                <c:pt idx="1949">
                  <c:v>44900</c:v>
                </c:pt>
                <c:pt idx="1950">
                  <c:v>44901</c:v>
                </c:pt>
                <c:pt idx="1951">
                  <c:v>44902</c:v>
                </c:pt>
                <c:pt idx="1952">
                  <c:v>44903</c:v>
                </c:pt>
                <c:pt idx="1953">
                  <c:v>44904</c:v>
                </c:pt>
                <c:pt idx="1954">
                  <c:v>44907</c:v>
                </c:pt>
                <c:pt idx="1955">
                  <c:v>44908</c:v>
                </c:pt>
                <c:pt idx="1956">
                  <c:v>44909</c:v>
                </c:pt>
                <c:pt idx="1957">
                  <c:v>44910</c:v>
                </c:pt>
                <c:pt idx="1958">
                  <c:v>44911</c:v>
                </c:pt>
                <c:pt idx="1959">
                  <c:v>44914</c:v>
                </c:pt>
                <c:pt idx="1960">
                  <c:v>44915</c:v>
                </c:pt>
                <c:pt idx="1961">
                  <c:v>44916</c:v>
                </c:pt>
                <c:pt idx="1962">
                  <c:v>44917</c:v>
                </c:pt>
                <c:pt idx="1963">
                  <c:v>44918</c:v>
                </c:pt>
                <c:pt idx="1964">
                  <c:v>44923</c:v>
                </c:pt>
                <c:pt idx="1965">
                  <c:v>44924</c:v>
                </c:pt>
                <c:pt idx="1966">
                  <c:v>44925</c:v>
                </c:pt>
                <c:pt idx="1967">
                  <c:v>44929</c:v>
                </c:pt>
                <c:pt idx="1968">
                  <c:v>44930</c:v>
                </c:pt>
                <c:pt idx="1969">
                  <c:v>44931</c:v>
                </c:pt>
                <c:pt idx="1970">
                  <c:v>44932</c:v>
                </c:pt>
                <c:pt idx="1971">
                  <c:v>44935</c:v>
                </c:pt>
                <c:pt idx="1972">
                  <c:v>44936</c:v>
                </c:pt>
                <c:pt idx="1973">
                  <c:v>44937</c:v>
                </c:pt>
                <c:pt idx="1974">
                  <c:v>44938</c:v>
                </c:pt>
                <c:pt idx="1975">
                  <c:v>44939</c:v>
                </c:pt>
                <c:pt idx="1976">
                  <c:v>44942</c:v>
                </c:pt>
                <c:pt idx="1977">
                  <c:v>44943</c:v>
                </c:pt>
                <c:pt idx="1978">
                  <c:v>44944</c:v>
                </c:pt>
                <c:pt idx="1979">
                  <c:v>44945</c:v>
                </c:pt>
                <c:pt idx="1980">
                  <c:v>44946</c:v>
                </c:pt>
                <c:pt idx="1981">
                  <c:v>44949</c:v>
                </c:pt>
                <c:pt idx="1982">
                  <c:v>44950</c:v>
                </c:pt>
                <c:pt idx="1983">
                  <c:v>44951</c:v>
                </c:pt>
                <c:pt idx="1984">
                  <c:v>44952</c:v>
                </c:pt>
                <c:pt idx="1985">
                  <c:v>44953</c:v>
                </c:pt>
                <c:pt idx="1986">
                  <c:v>44956</c:v>
                </c:pt>
                <c:pt idx="1987">
                  <c:v>44957</c:v>
                </c:pt>
                <c:pt idx="1988">
                  <c:v>44958</c:v>
                </c:pt>
                <c:pt idx="1989">
                  <c:v>44959</c:v>
                </c:pt>
                <c:pt idx="1990">
                  <c:v>44960</c:v>
                </c:pt>
                <c:pt idx="1991">
                  <c:v>44963</c:v>
                </c:pt>
                <c:pt idx="1992">
                  <c:v>44964</c:v>
                </c:pt>
                <c:pt idx="1993">
                  <c:v>44965</c:v>
                </c:pt>
                <c:pt idx="1994">
                  <c:v>44966</c:v>
                </c:pt>
                <c:pt idx="1995">
                  <c:v>44967</c:v>
                </c:pt>
                <c:pt idx="1996">
                  <c:v>44970</c:v>
                </c:pt>
                <c:pt idx="1997">
                  <c:v>44971</c:v>
                </c:pt>
                <c:pt idx="1998">
                  <c:v>44972</c:v>
                </c:pt>
                <c:pt idx="1999">
                  <c:v>44973</c:v>
                </c:pt>
                <c:pt idx="2000">
                  <c:v>44974</c:v>
                </c:pt>
                <c:pt idx="2001">
                  <c:v>44977</c:v>
                </c:pt>
                <c:pt idx="2002">
                  <c:v>44978</c:v>
                </c:pt>
                <c:pt idx="2003">
                  <c:v>44979</c:v>
                </c:pt>
                <c:pt idx="2004">
                  <c:v>44980</c:v>
                </c:pt>
                <c:pt idx="2005">
                  <c:v>44981</c:v>
                </c:pt>
                <c:pt idx="2006">
                  <c:v>44984</c:v>
                </c:pt>
                <c:pt idx="2007">
                  <c:v>44985</c:v>
                </c:pt>
                <c:pt idx="2008">
                  <c:v>44986</c:v>
                </c:pt>
                <c:pt idx="2009">
                  <c:v>44987</c:v>
                </c:pt>
                <c:pt idx="2010">
                  <c:v>44988</c:v>
                </c:pt>
                <c:pt idx="2011">
                  <c:v>44991</c:v>
                </c:pt>
                <c:pt idx="2012">
                  <c:v>44992</c:v>
                </c:pt>
                <c:pt idx="2013">
                  <c:v>44993</c:v>
                </c:pt>
                <c:pt idx="2014">
                  <c:v>44994</c:v>
                </c:pt>
                <c:pt idx="2015">
                  <c:v>44995</c:v>
                </c:pt>
                <c:pt idx="2016">
                  <c:v>44998</c:v>
                </c:pt>
                <c:pt idx="2017">
                  <c:v>44999</c:v>
                </c:pt>
                <c:pt idx="2018">
                  <c:v>45000</c:v>
                </c:pt>
                <c:pt idx="2019">
                  <c:v>45001</c:v>
                </c:pt>
                <c:pt idx="2020">
                  <c:v>45002</c:v>
                </c:pt>
                <c:pt idx="2021">
                  <c:v>45005</c:v>
                </c:pt>
                <c:pt idx="2022">
                  <c:v>45006</c:v>
                </c:pt>
                <c:pt idx="2023">
                  <c:v>45007</c:v>
                </c:pt>
                <c:pt idx="2024">
                  <c:v>45008</c:v>
                </c:pt>
                <c:pt idx="2025">
                  <c:v>45009</c:v>
                </c:pt>
                <c:pt idx="2026">
                  <c:v>45012</c:v>
                </c:pt>
                <c:pt idx="2027">
                  <c:v>45013</c:v>
                </c:pt>
                <c:pt idx="2028">
                  <c:v>45014</c:v>
                </c:pt>
                <c:pt idx="2029">
                  <c:v>45015</c:v>
                </c:pt>
                <c:pt idx="2030">
                  <c:v>45016</c:v>
                </c:pt>
                <c:pt idx="2031">
                  <c:v>45019</c:v>
                </c:pt>
                <c:pt idx="2032">
                  <c:v>45020</c:v>
                </c:pt>
                <c:pt idx="2033">
                  <c:v>45021</c:v>
                </c:pt>
                <c:pt idx="2034">
                  <c:v>45022</c:v>
                </c:pt>
                <c:pt idx="2035">
                  <c:v>45027</c:v>
                </c:pt>
                <c:pt idx="2036">
                  <c:v>45028</c:v>
                </c:pt>
                <c:pt idx="2037">
                  <c:v>45029</c:v>
                </c:pt>
                <c:pt idx="2038">
                  <c:v>45030</c:v>
                </c:pt>
                <c:pt idx="2039">
                  <c:v>45033</c:v>
                </c:pt>
                <c:pt idx="2040">
                  <c:v>45034</c:v>
                </c:pt>
                <c:pt idx="2041">
                  <c:v>45035</c:v>
                </c:pt>
                <c:pt idx="2042">
                  <c:v>45036</c:v>
                </c:pt>
                <c:pt idx="2043">
                  <c:v>45037</c:v>
                </c:pt>
                <c:pt idx="2044">
                  <c:v>45040</c:v>
                </c:pt>
                <c:pt idx="2045">
                  <c:v>45041</c:v>
                </c:pt>
                <c:pt idx="2046">
                  <c:v>45042</c:v>
                </c:pt>
                <c:pt idx="2047">
                  <c:v>45043</c:v>
                </c:pt>
                <c:pt idx="2048">
                  <c:v>45044</c:v>
                </c:pt>
                <c:pt idx="2049">
                  <c:v>45047</c:v>
                </c:pt>
                <c:pt idx="2050">
                  <c:v>45048</c:v>
                </c:pt>
                <c:pt idx="2051">
                  <c:v>45049</c:v>
                </c:pt>
                <c:pt idx="2052">
                  <c:v>45050</c:v>
                </c:pt>
                <c:pt idx="2053">
                  <c:v>45051</c:v>
                </c:pt>
                <c:pt idx="2054">
                  <c:v>45054</c:v>
                </c:pt>
                <c:pt idx="2055">
                  <c:v>45055</c:v>
                </c:pt>
                <c:pt idx="2056">
                  <c:v>45056</c:v>
                </c:pt>
                <c:pt idx="2057">
                  <c:v>45057</c:v>
                </c:pt>
                <c:pt idx="2058">
                  <c:v>45058</c:v>
                </c:pt>
                <c:pt idx="2059">
                  <c:v>45061</c:v>
                </c:pt>
                <c:pt idx="2060">
                  <c:v>45062</c:v>
                </c:pt>
                <c:pt idx="2061">
                  <c:v>45063</c:v>
                </c:pt>
                <c:pt idx="2062">
                  <c:v>45064</c:v>
                </c:pt>
                <c:pt idx="2063">
                  <c:v>45065</c:v>
                </c:pt>
                <c:pt idx="2064">
                  <c:v>45068</c:v>
                </c:pt>
                <c:pt idx="2065">
                  <c:v>45069</c:v>
                </c:pt>
                <c:pt idx="2066">
                  <c:v>45070</c:v>
                </c:pt>
                <c:pt idx="2067">
                  <c:v>45071</c:v>
                </c:pt>
                <c:pt idx="2068">
                  <c:v>45072</c:v>
                </c:pt>
                <c:pt idx="2069">
                  <c:v>45075</c:v>
                </c:pt>
                <c:pt idx="2070">
                  <c:v>45076</c:v>
                </c:pt>
                <c:pt idx="2071">
                  <c:v>45077</c:v>
                </c:pt>
                <c:pt idx="2072">
                  <c:v>45078</c:v>
                </c:pt>
                <c:pt idx="2073">
                  <c:v>45079</c:v>
                </c:pt>
                <c:pt idx="2074">
                  <c:v>45082</c:v>
                </c:pt>
                <c:pt idx="2075">
                  <c:v>45083</c:v>
                </c:pt>
                <c:pt idx="2076">
                  <c:v>45084</c:v>
                </c:pt>
                <c:pt idx="2077">
                  <c:v>45085</c:v>
                </c:pt>
                <c:pt idx="2078">
                  <c:v>45086</c:v>
                </c:pt>
                <c:pt idx="2079">
                  <c:v>45089</c:v>
                </c:pt>
                <c:pt idx="2080">
                  <c:v>45090</c:v>
                </c:pt>
                <c:pt idx="2081">
                  <c:v>45091</c:v>
                </c:pt>
                <c:pt idx="2082">
                  <c:v>45092</c:v>
                </c:pt>
                <c:pt idx="2083">
                  <c:v>45093</c:v>
                </c:pt>
                <c:pt idx="2084">
                  <c:v>45096</c:v>
                </c:pt>
                <c:pt idx="2085">
                  <c:v>45097</c:v>
                </c:pt>
                <c:pt idx="2086">
                  <c:v>45098</c:v>
                </c:pt>
                <c:pt idx="2087">
                  <c:v>45099</c:v>
                </c:pt>
                <c:pt idx="2088">
                  <c:v>45100</c:v>
                </c:pt>
                <c:pt idx="2089">
                  <c:v>45103</c:v>
                </c:pt>
                <c:pt idx="2090">
                  <c:v>45104</c:v>
                </c:pt>
                <c:pt idx="2091">
                  <c:v>45105</c:v>
                </c:pt>
                <c:pt idx="2092">
                  <c:v>45106</c:v>
                </c:pt>
                <c:pt idx="2093">
                  <c:v>45107</c:v>
                </c:pt>
                <c:pt idx="2094">
                  <c:v>45110</c:v>
                </c:pt>
                <c:pt idx="2095">
                  <c:v>45111</c:v>
                </c:pt>
                <c:pt idx="2096">
                  <c:v>45112</c:v>
                </c:pt>
                <c:pt idx="2097">
                  <c:v>45113</c:v>
                </c:pt>
                <c:pt idx="2098">
                  <c:v>45114</c:v>
                </c:pt>
                <c:pt idx="2099">
                  <c:v>45117</c:v>
                </c:pt>
                <c:pt idx="2100">
                  <c:v>45118</c:v>
                </c:pt>
                <c:pt idx="2101">
                  <c:v>45119</c:v>
                </c:pt>
                <c:pt idx="2102">
                  <c:v>45120</c:v>
                </c:pt>
                <c:pt idx="2103">
                  <c:v>45121</c:v>
                </c:pt>
                <c:pt idx="2104">
                  <c:v>45124</c:v>
                </c:pt>
                <c:pt idx="2105">
                  <c:v>45125</c:v>
                </c:pt>
                <c:pt idx="2106">
                  <c:v>45126</c:v>
                </c:pt>
                <c:pt idx="2107">
                  <c:v>45127</c:v>
                </c:pt>
                <c:pt idx="2108">
                  <c:v>45128</c:v>
                </c:pt>
                <c:pt idx="2109">
                  <c:v>45131</c:v>
                </c:pt>
                <c:pt idx="2110">
                  <c:v>45132</c:v>
                </c:pt>
                <c:pt idx="2111">
                  <c:v>45133</c:v>
                </c:pt>
                <c:pt idx="2112">
                  <c:v>45134</c:v>
                </c:pt>
                <c:pt idx="2113">
                  <c:v>45135</c:v>
                </c:pt>
                <c:pt idx="2114">
                  <c:v>45138</c:v>
                </c:pt>
                <c:pt idx="2115">
                  <c:v>45139</c:v>
                </c:pt>
                <c:pt idx="2116">
                  <c:v>45140</c:v>
                </c:pt>
                <c:pt idx="2117">
                  <c:v>45141</c:v>
                </c:pt>
                <c:pt idx="2118">
                  <c:v>45142</c:v>
                </c:pt>
                <c:pt idx="2119">
                  <c:v>45145</c:v>
                </c:pt>
                <c:pt idx="2120">
                  <c:v>45146</c:v>
                </c:pt>
                <c:pt idx="2121">
                  <c:v>45147</c:v>
                </c:pt>
                <c:pt idx="2122">
                  <c:v>45148</c:v>
                </c:pt>
                <c:pt idx="2123">
                  <c:v>45149</c:v>
                </c:pt>
                <c:pt idx="2124">
                  <c:v>45152</c:v>
                </c:pt>
                <c:pt idx="2125">
                  <c:v>45153</c:v>
                </c:pt>
                <c:pt idx="2126">
                  <c:v>45154</c:v>
                </c:pt>
                <c:pt idx="2127">
                  <c:v>45155</c:v>
                </c:pt>
                <c:pt idx="2128">
                  <c:v>45156</c:v>
                </c:pt>
                <c:pt idx="2129">
                  <c:v>45159</c:v>
                </c:pt>
                <c:pt idx="2130">
                  <c:v>45160</c:v>
                </c:pt>
                <c:pt idx="2131">
                  <c:v>45161</c:v>
                </c:pt>
                <c:pt idx="2132">
                  <c:v>45162</c:v>
                </c:pt>
                <c:pt idx="2133">
                  <c:v>45163</c:v>
                </c:pt>
                <c:pt idx="2134">
                  <c:v>45166</c:v>
                </c:pt>
                <c:pt idx="2135">
                  <c:v>45167</c:v>
                </c:pt>
                <c:pt idx="2136">
                  <c:v>45168</c:v>
                </c:pt>
                <c:pt idx="2137">
                  <c:v>45169</c:v>
                </c:pt>
                <c:pt idx="2138">
                  <c:v>45170</c:v>
                </c:pt>
                <c:pt idx="2139">
                  <c:v>45173</c:v>
                </c:pt>
                <c:pt idx="2140">
                  <c:v>45174</c:v>
                </c:pt>
                <c:pt idx="2141">
                  <c:v>45175</c:v>
                </c:pt>
                <c:pt idx="2142">
                  <c:v>45176</c:v>
                </c:pt>
                <c:pt idx="2143">
                  <c:v>45177</c:v>
                </c:pt>
                <c:pt idx="2144">
                  <c:v>45180</c:v>
                </c:pt>
                <c:pt idx="2145">
                  <c:v>45181</c:v>
                </c:pt>
                <c:pt idx="2146">
                  <c:v>45182</c:v>
                </c:pt>
                <c:pt idx="2147">
                  <c:v>45183</c:v>
                </c:pt>
                <c:pt idx="2148">
                  <c:v>45184</c:v>
                </c:pt>
                <c:pt idx="2149">
                  <c:v>45187</c:v>
                </c:pt>
                <c:pt idx="2150">
                  <c:v>45188</c:v>
                </c:pt>
                <c:pt idx="2151">
                  <c:v>45189</c:v>
                </c:pt>
                <c:pt idx="2152">
                  <c:v>45190</c:v>
                </c:pt>
                <c:pt idx="2153">
                  <c:v>45191</c:v>
                </c:pt>
                <c:pt idx="2154">
                  <c:v>45194</c:v>
                </c:pt>
                <c:pt idx="2155">
                  <c:v>45195</c:v>
                </c:pt>
                <c:pt idx="2156">
                  <c:v>45196</c:v>
                </c:pt>
                <c:pt idx="2157">
                  <c:v>45197</c:v>
                </c:pt>
                <c:pt idx="2158">
                  <c:v>45198</c:v>
                </c:pt>
                <c:pt idx="2159">
                  <c:v>45201</c:v>
                </c:pt>
                <c:pt idx="2160">
                  <c:v>45202</c:v>
                </c:pt>
                <c:pt idx="2161">
                  <c:v>45203</c:v>
                </c:pt>
                <c:pt idx="2162">
                  <c:v>45204</c:v>
                </c:pt>
                <c:pt idx="2163">
                  <c:v>45205</c:v>
                </c:pt>
                <c:pt idx="2164">
                  <c:v>45208</c:v>
                </c:pt>
                <c:pt idx="2165">
                  <c:v>45209</c:v>
                </c:pt>
                <c:pt idx="2166">
                  <c:v>45210</c:v>
                </c:pt>
                <c:pt idx="2167">
                  <c:v>45211</c:v>
                </c:pt>
                <c:pt idx="2168">
                  <c:v>45212</c:v>
                </c:pt>
                <c:pt idx="2169">
                  <c:v>45215</c:v>
                </c:pt>
                <c:pt idx="2170">
                  <c:v>45216</c:v>
                </c:pt>
                <c:pt idx="2171">
                  <c:v>45217</c:v>
                </c:pt>
                <c:pt idx="2172">
                  <c:v>45218</c:v>
                </c:pt>
                <c:pt idx="2173">
                  <c:v>45219</c:v>
                </c:pt>
                <c:pt idx="2174">
                  <c:v>45222</c:v>
                </c:pt>
                <c:pt idx="2175">
                  <c:v>45223</c:v>
                </c:pt>
                <c:pt idx="2176">
                  <c:v>45224</c:v>
                </c:pt>
                <c:pt idx="2177">
                  <c:v>45225</c:v>
                </c:pt>
                <c:pt idx="2178">
                  <c:v>45226</c:v>
                </c:pt>
                <c:pt idx="2179">
                  <c:v>45229</c:v>
                </c:pt>
                <c:pt idx="2180">
                  <c:v>45230</c:v>
                </c:pt>
                <c:pt idx="2181">
                  <c:v>45231</c:v>
                </c:pt>
                <c:pt idx="2182">
                  <c:v>45232</c:v>
                </c:pt>
                <c:pt idx="2183">
                  <c:v>45233</c:v>
                </c:pt>
                <c:pt idx="2184">
                  <c:v>45236</c:v>
                </c:pt>
                <c:pt idx="2185">
                  <c:v>45237</c:v>
                </c:pt>
                <c:pt idx="2186">
                  <c:v>45238</c:v>
                </c:pt>
                <c:pt idx="2187">
                  <c:v>45239</c:v>
                </c:pt>
                <c:pt idx="2188">
                  <c:v>45240</c:v>
                </c:pt>
                <c:pt idx="2189">
                  <c:v>45243</c:v>
                </c:pt>
                <c:pt idx="2190">
                  <c:v>45244</c:v>
                </c:pt>
                <c:pt idx="2191">
                  <c:v>45245</c:v>
                </c:pt>
                <c:pt idx="2192">
                  <c:v>45246</c:v>
                </c:pt>
                <c:pt idx="2193">
                  <c:v>45247</c:v>
                </c:pt>
                <c:pt idx="2194">
                  <c:v>45250</c:v>
                </c:pt>
                <c:pt idx="2195">
                  <c:v>45251</c:v>
                </c:pt>
                <c:pt idx="2196">
                  <c:v>45252</c:v>
                </c:pt>
                <c:pt idx="2197">
                  <c:v>45253</c:v>
                </c:pt>
                <c:pt idx="2198">
                  <c:v>45254</c:v>
                </c:pt>
                <c:pt idx="2199">
                  <c:v>45257</c:v>
                </c:pt>
                <c:pt idx="2200">
                  <c:v>45258</c:v>
                </c:pt>
                <c:pt idx="2201">
                  <c:v>45259</c:v>
                </c:pt>
                <c:pt idx="2202">
                  <c:v>45260</c:v>
                </c:pt>
                <c:pt idx="2203">
                  <c:v>45261</c:v>
                </c:pt>
                <c:pt idx="2204">
                  <c:v>45264</c:v>
                </c:pt>
                <c:pt idx="2205">
                  <c:v>45265</c:v>
                </c:pt>
                <c:pt idx="2206">
                  <c:v>45266</c:v>
                </c:pt>
                <c:pt idx="2207">
                  <c:v>45267</c:v>
                </c:pt>
                <c:pt idx="2208">
                  <c:v>45268</c:v>
                </c:pt>
                <c:pt idx="2209">
                  <c:v>45271</c:v>
                </c:pt>
                <c:pt idx="2210">
                  <c:v>45272</c:v>
                </c:pt>
                <c:pt idx="2211">
                  <c:v>45273</c:v>
                </c:pt>
                <c:pt idx="2212">
                  <c:v>45274</c:v>
                </c:pt>
                <c:pt idx="2213">
                  <c:v>45275</c:v>
                </c:pt>
                <c:pt idx="2214">
                  <c:v>45278</c:v>
                </c:pt>
                <c:pt idx="2215">
                  <c:v>45279</c:v>
                </c:pt>
                <c:pt idx="2216">
                  <c:v>45280</c:v>
                </c:pt>
                <c:pt idx="2217">
                  <c:v>45281</c:v>
                </c:pt>
                <c:pt idx="2218">
                  <c:v>45282</c:v>
                </c:pt>
                <c:pt idx="2219">
                  <c:v>45287</c:v>
                </c:pt>
                <c:pt idx="2220">
                  <c:v>45288</c:v>
                </c:pt>
                <c:pt idx="2221">
                  <c:v>45289</c:v>
                </c:pt>
                <c:pt idx="2222">
                  <c:v>45293</c:v>
                </c:pt>
                <c:pt idx="2223">
                  <c:v>45294</c:v>
                </c:pt>
                <c:pt idx="2224">
                  <c:v>45295</c:v>
                </c:pt>
                <c:pt idx="2225">
                  <c:v>45296</c:v>
                </c:pt>
                <c:pt idx="2226">
                  <c:v>45299</c:v>
                </c:pt>
                <c:pt idx="2227">
                  <c:v>45300</c:v>
                </c:pt>
                <c:pt idx="2228">
                  <c:v>45301</c:v>
                </c:pt>
                <c:pt idx="2229">
                  <c:v>45302</c:v>
                </c:pt>
                <c:pt idx="2230">
                  <c:v>45303</c:v>
                </c:pt>
                <c:pt idx="2231">
                  <c:v>45306</c:v>
                </c:pt>
                <c:pt idx="2232">
                  <c:v>45307</c:v>
                </c:pt>
                <c:pt idx="2233">
                  <c:v>45308</c:v>
                </c:pt>
                <c:pt idx="2234">
                  <c:v>45309</c:v>
                </c:pt>
                <c:pt idx="2235">
                  <c:v>45310</c:v>
                </c:pt>
                <c:pt idx="2236">
                  <c:v>45313</c:v>
                </c:pt>
                <c:pt idx="2237">
                  <c:v>45314</c:v>
                </c:pt>
                <c:pt idx="2238">
                  <c:v>45315</c:v>
                </c:pt>
                <c:pt idx="2239">
                  <c:v>45316</c:v>
                </c:pt>
                <c:pt idx="2240">
                  <c:v>45317</c:v>
                </c:pt>
                <c:pt idx="2241">
                  <c:v>45320</c:v>
                </c:pt>
                <c:pt idx="2242">
                  <c:v>45321</c:v>
                </c:pt>
                <c:pt idx="2243">
                  <c:v>45322</c:v>
                </c:pt>
                <c:pt idx="2244">
                  <c:v>45323</c:v>
                </c:pt>
                <c:pt idx="2245">
                  <c:v>45324</c:v>
                </c:pt>
                <c:pt idx="2246">
                  <c:v>45327</c:v>
                </c:pt>
                <c:pt idx="2247">
                  <c:v>45328</c:v>
                </c:pt>
                <c:pt idx="2248">
                  <c:v>45329</c:v>
                </c:pt>
                <c:pt idx="2249">
                  <c:v>45330</c:v>
                </c:pt>
                <c:pt idx="2250">
                  <c:v>45331</c:v>
                </c:pt>
                <c:pt idx="2251">
                  <c:v>45334</c:v>
                </c:pt>
                <c:pt idx="2252">
                  <c:v>45335</c:v>
                </c:pt>
                <c:pt idx="2253">
                  <c:v>45336</c:v>
                </c:pt>
                <c:pt idx="2254">
                  <c:v>45337</c:v>
                </c:pt>
                <c:pt idx="2255">
                  <c:v>45338</c:v>
                </c:pt>
                <c:pt idx="2256">
                  <c:v>45341</c:v>
                </c:pt>
                <c:pt idx="2257">
                  <c:v>45342</c:v>
                </c:pt>
                <c:pt idx="2258">
                  <c:v>45343</c:v>
                </c:pt>
                <c:pt idx="2259">
                  <c:v>45344</c:v>
                </c:pt>
                <c:pt idx="2260">
                  <c:v>45345</c:v>
                </c:pt>
                <c:pt idx="2261">
                  <c:v>45348</c:v>
                </c:pt>
                <c:pt idx="2262">
                  <c:v>45349</c:v>
                </c:pt>
                <c:pt idx="2263">
                  <c:v>45350</c:v>
                </c:pt>
                <c:pt idx="2264">
                  <c:v>45351</c:v>
                </c:pt>
                <c:pt idx="2265">
                  <c:v>45352</c:v>
                </c:pt>
                <c:pt idx="2266">
                  <c:v>45355</c:v>
                </c:pt>
                <c:pt idx="2267">
                  <c:v>45356</c:v>
                </c:pt>
                <c:pt idx="2268">
                  <c:v>45357</c:v>
                </c:pt>
                <c:pt idx="2269">
                  <c:v>45358</c:v>
                </c:pt>
                <c:pt idx="2270">
                  <c:v>45359</c:v>
                </c:pt>
                <c:pt idx="2271">
                  <c:v>45362</c:v>
                </c:pt>
                <c:pt idx="2272">
                  <c:v>45363</c:v>
                </c:pt>
                <c:pt idx="2273">
                  <c:v>45364</c:v>
                </c:pt>
                <c:pt idx="2274">
                  <c:v>45365</c:v>
                </c:pt>
                <c:pt idx="2275">
                  <c:v>45366</c:v>
                </c:pt>
                <c:pt idx="2276">
                  <c:v>45369</c:v>
                </c:pt>
                <c:pt idx="2277">
                  <c:v>45370</c:v>
                </c:pt>
                <c:pt idx="2278">
                  <c:v>45371</c:v>
                </c:pt>
                <c:pt idx="2279">
                  <c:v>45372</c:v>
                </c:pt>
                <c:pt idx="2280">
                  <c:v>45373</c:v>
                </c:pt>
                <c:pt idx="2281">
                  <c:v>45376</c:v>
                </c:pt>
                <c:pt idx="2282">
                  <c:v>45377</c:v>
                </c:pt>
                <c:pt idx="2283">
                  <c:v>45378</c:v>
                </c:pt>
                <c:pt idx="2284">
                  <c:v>45379</c:v>
                </c:pt>
                <c:pt idx="2285">
                  <c:v>45380</c:v>
                </c:pt>
                <c:pt idx="2286">
                  <c:v>45383</c:v>
                </c:pt>
                <c:pt idx="2287">
                  <c:v>45384</c:v>
                </c:pt>
                <c:pt idx="2288">
                  <c:v>45385</c:v>
                </c:pt>
                <c:pt idx="2289">
                  <c:v>45386</c:v>
                </c:pt>
                <c:pt idx="2290">
                  <c:v>45387</c:v>
                </c:pt>
                <c:pt idx="2291">
                  <c:v>45390</c:v>
                </c:pt>
                <c:pt idx="2292">
                  <c:v>45391</c:v>
                </c:pt>
                <c:pt idx="2293">
                  <c:v>45392</c:v>
                </c:pt>
                <c:pt idx="2294">
                  <c:v>45393</c:v>
                </c:pt>
                <c:pt idx="2295">
                  <c:v>45394</c:v>
                </c:pt>
                <c:pt idx="2296">
                  <c:v>45397</c:v>
                </c:pt>
                <c:pt idx="2297">
                  <c:v>45398</c:v>
                </c:pt>
                <c:pt idx="2298">
                  <c:v>45399</c:v>
                </c:pt>
                <c:pt idx="2299">
                  <c:v>45400</c:v>
                </c:pt>
                <c:pt idx="2300">
                  <c:v>45401</c:v>
                </c:pt>
                <c:pt idx="2301">
                  <c:v>45404</c:v>
                </c:pt>
                <c:pt idx="2302">
                  <c:v>45405</c:v>
                </c:pt>
                <c:pt idx="2303">
                  <c:v>45406</c:v>
                </c:pt>
                <c:pt idx="2304">
                  <c:v>45407</c:v>
                </c:pt>
                <c:pt idx="2305">
                  <c:v>45408</c:v>
                </c:pt>
                <c:pt idx="2306">
                  <c:v>45411</c:v>
                </c:pt>
                <c:pt idx="2307">
                  <c:v>45412</c:v>
                </c:pt>
                <c:pt idx="2308">
                  <c:v>45413</c:v>
                </c:pt>
                <c:pt idx="2309">
                  <c:v>45414</c:v>
                </c:pt>
                <c:pt idx="2310">
                  <c:v>45415</c:v>
                </c:pt>
                <c:pt idx="2311">
                  <c:v>45418</c:v>
                </c:pt>
                <c:pt idx="2312">
                  <c:v>45419</c:v>
                </c:pt>
                <c:pt idx="2313">
                  <c:v>45420</c:v>
                </c:pt>
                <c:pt idx="2314">
                  <c:v>45421</c:v>
                </c:pt>
                <c:pt idx="2315">
                  <c:v>45422</c:v>
                </c:pt>
                <c:pt idx="2316">
                  <c:v>45425</c:v>
                </c:pt>
                <c:pt idx="2317">
                  <c:v>45426</c:v>
                </c:pt>
                <c:pt idx="2318">
                  <c:v>45427</c:v>
                </c:pt>
                <c:pt idx="2319">
                  <c:v>45428</c:v>
                </c:pt>
                <c:pt idx="2320">
                  <c:v>45429</c:v>
                </c:pt>
                <c:pt idx="2321">
                  <c:v>45432</c:v>
                </c:pt>
                <c:pt idx="2322">
                  <c:v>45433</c:v>
                </c:pt>
                <c:pt idx="2323">
                  <c:v>45434</c:v>
                </c:pt>
                <c:pt idx="2324">
                  <c:v>45435</c:v>
                </c:pt>
                <c:pt idx="2325">
                  <c:v>45436</c:v>
                </c:pt>
                <c:pt idx="2326">
                  <c:v>45439</c:v>
                </c:pt>
                <c:pt idx="2327">
                  <c:v>45440</c:v>
                </c:pt>
                <c:pt idx="2328">
                  <c:v>45441</c:v>
                </c:pt>
                <c:pt idx="2329">
                  <c:v>45442</c:v>
                </c:pt>
                <c:pt idx="2330">
                  <c:v>45443</c:v>
                </c:pt>
                <c:pt idx="2331">
                  <c:v>45446</c:v>
                </c:pt>
                <c:pt idx="2332">
                  <c:v>45447</c:v>
                </c:pt>
                <c:pt idx="2333">
                  <c:v>45448</c:v>
                </c:pt>
                <c:pt idx="2334">
                  <c:v>45449</c:v>
                </c:pt>
                <c:pt idx="2335">
                  <c:v>45450</c:v>
                </c:pt>
                <c:pt idx="2336">
                  <c:v>45453</c:v>
                </c:pt>
                <c:pt idx="2337">
                  <c:v>45454</c:v>
                </c:pt>
                <c:pt idx="2338">
                  <c:v>45455</c:v>
                </c:pt>
                <c:pt idx="2339">
                  <c:v>45456</c:v>
                </c:pt>
                <c:pt idx="2340">
                  <c:v>45457</c:v>
                </c:pt>
                <c:pt idx="2341">
                  <c:v>45460</c:v>
                </c:pt>
                <c:pt idx="2342">
                  <c:v>45461</c:v>
                </c:pt>
                <c:pt idx="2343">
                  <c:v>45462</c:v>
                </c:pt>
                <c:pt idx="2344">
                  <c:v>45463</c:v>
                </c:pt>
                <c:pt idx="2345">
                  <c:v>45464</c:v>
                </c:pt>
                <c:pt idx="2346">
                  <c:v>45467</c:v>
                </c:pt>
                <c:pt idx="2347">
                  <c:v>45468</c:v>
                </c:pt>
                <c:pt idx="2348">
                  <c:v>45469</c:v>
                </c:pt>
                <c:pt idx="2349">
                  <c:v>45470</c:v>
                </c:pt>
                <c:pt idx="2350">
                  <c:v>45471</c:v>
                </c:pt>
                <c:pt idx="2351">
                  <c:v>45474</c:v>
                </c:pt>
                <c:pt idx="2352">
                  <c:v>45475</c:v>
                </c:pt>
                <c:pt idx="2353">
                  <c:v>45476</c:v>
                </c:pt>
                <c:pt idx="2354">
                  <c:v>45477</c:v>
                </c:pt>
                <c:pt idx="2355">
                  <c:v>45478</c:v>
                </c:pt>
                <c:pt idx="2356">
                  <c:v>45481</c:v>
                </c:pt>
                <c:pt idx="2357">
                  <c:v>45482</c:v>
                </c:pt>
                <c:pt idx="2358">
                  <c:v>45483</c:v>
                </c:pt>
                <c:pt idx="2359">
                  <c:v>45484</c:v>
                </c:pt>
                <c:pt idx="2360">
                  <c:v>45485</c:v>
                </c:pt>
                <c:pt idx="2361">
                  <c:v>45488</c:v>
                </c:pt>
                <c:pt idx="2362">
                  <c:v>45489</c:v>
                </c:pt>
                <c:pt idx="2363">
                  <c:v>45490</c:v>
                </c:pt>
                <c:pt idx="2364">
                  <c:v>45491</c:v>
                </c:pt>
                <c:pt idx="2365">
                  <c:v>45492</c:v>
                </c:pt>
                <c:pt idx="2366">
                  <c:v>45495</c:v>
                </c:pt>
                <c:pt idx="2367">
                  <c:v>45496</c:v>
                </c:pt>
                <c:pt idx="2368">
                  <c:v>45497</c:v>
                </c:pt>
                <c:pt idx="2369">
                  <c:v>45498</c:v>
                </c:pt>
                <c:pt idx="2370">
                  <c:v>45499</c:v>
                </c:pt>
                <c:pt idx="2371">
                  <c:v>45502</c:v>
                </c:pt>
                <c:pt idx="2372">
                  <c:v>45503</c:v>
                </c:pt>
                <c:pt idx="2373">
                  <c:v>45504</c:v>
                </c:pt>
                <c:pt idx="2374">
                  <c:v>45505</c:v>
                </c:pt>
                <c:pt idx="2375">
                  <c:v>45506</c:v>
                </c:pt>
                <c:pt idx="2376">
                  <c:v>45509</c:v>
                </c:pt>
                <c:pt idx="2377">
                  <c:v>45510</c:v>
                </c:pt>
                <c:pt idx="2378">
                  <c:v>45511</c:v>
                </c:pt>
                <c:pt idx="2379">
                  <c:v>45512</c:v>
                </c:pt>
                <c:pt idx="2380">
                  <c:v>45513</c:v>
                </c:pt>
                <c:pt idx="2381">
                  <c:v>45516</c:v>
                </c:pt>
                <c:pt idx="2382">
                  <c:v>45517</c:v>
                </c:pt>
                <c:pt idx="2383">
                  <c:v>45518</c:v>
                </c:pt>
                <c:pt idx="2384">
                  <c:v>45519</c:v>
                </c:pt>
                <c:pt idx="2385">
                  <c:v>45520</c:v>
                </c:pt>
                <c:pt idx="2386">
                  <c:v>45523</c:v>
                </c:pt>
                <c:pt idx="2387">
                  <c:v>45524</c:v>
                </c:pt>
                <c:pt idx="2388">
                  <c:v>45525</c:v>
                </c:pt>
                <c:pt idx="2389">
                  <c:v>45526</c:v>
                </c:pt>
                <c:pt idx="2390">
                  <c:v>45527</c:v>
                </c:pt>
                <c:pt idx="2391">
                  <c:v>45530</c:v>
                </c:pt>
                <c:pt idx="2392">
                  <c:v>45531</c:v>
                </c:pt>
                <c:pt idx="2393">
                  <c:v>45532</c:v>
                </c:pt>
                <c:pt idx="2394">
                  <c:v>45533</c:v>
                </c:pt>
                <c:pt idx="2395">
                  <c:v>45534</c:v>
                </c:pt>
                <c:pt idx="2396">
                  <c:v>45537</c:v>
                </c:pt>
                <c:pt idx="2397">
                  <c:v>45538</c:v>
                </c:pt>
                <c:pt idx="2398">
                  <c:v>45539</c:v>
                </c:pt>
                <c:pt idx="2399">
                  <c:v>45540</c:v>
                </c:pt>
                <c:pt idx="2400">
                  <c:v>45541</c:v>
                </c:pt>
                <c:pt idx="2401">
                  <c:v>45544</c:v>
                </c:pt>
                <c:pt idx="2402">
                  <c:v>45545</c:v>
                </c:pt>
                <c:pt idx="2403">
                  <c:v>45546</c:v>
                </c:pt>
                <c:pt idx="2404">
                  <c:v>45547</c:v>
                </c:pt>
                <c:pt idx="2405">
                  <c:v>45548</c:v>
                </c:pt>
                <c:pt idx="2406">
                  <c:v>45551</c:v>
                </c:pt>
                <c:pt idx="2407">
                  <c:v>45552</c:v>
                </c:pt>
                <c:pt idx="2408">
                  <c:v>45553</c:v>
                </c:pt>
                <c:pt idx="2409">
                  <c:v>45554</c:v>
                </c:pt>
                <c:pt idx="2410">
                  <c:v>45555</c:v>
                </c:pt>
                <c:pt idx="2411">
                  <c:v>45558</c:v>
                </c:pt>
                <c:pt idx="2412">
                  <c:v>45559</c:v>
                </c:pt>
                <c:pt idx="2413">
                  <c:v>45560</c:v>
                </c:pt>
                <c:pt idx="2414">
                  <c:v>45561</c:v>
                </c:pt>
                <c:pt idx="2415">
                  <c:v>45562</c:v>
                </c:pt>
                <c:pt idx="2416">
                  <c:v>45565</c:v>
                </c:pt>
                <c:pt idx="2417">
                  <c:v>45566</c:v>
                </c:pt>
                <c:pt idx="2418">
                  <c:v>45567</c:v>
                </c:pt>
                <c:pt idx="2419">
                  <c:v>45568</c:v>
                </c:pt>
                <c:pt idx="2420">
                  <c:v>45569</c:v>
                </c:pt>
                <c:pt idx="2421">
                  <c:v>45572</c:v>
                </c:pt>
                <c:pt idx="2422">
                  <c:v>45573</c:v>
                </c:pt>
                <c:pt idx="2423">
                  <c:v>45574</c:v>
                </c:pt>
                <c:pt idx="2424">
                  <c:v>45575</c:v>
                </c:pt>
                <c:pt idx="2425">
                  <c:v>45576</c:v>
                </c:pt>
                <c:pt idx="2426">
                  <c:v>45579</c:v>
                </c:pt>
                <c:pt idx="2427">
                  <c:v>45580</c:v>
                </c:pt>
                <c:pt idx="2428">
                  <c:v>45581</c:v>
                </c:pt>
                <c:pt idx="2429">
                  <c:v>45582</c:v>
                </c:pt>
                <c:pt idx="2430">
                  <c:v>45583</c:v>
                </c:pt>
                <c:pt idx="2431">
                  <c:v>45586</c:v>
                </c:pt>
                <c:pt idx="2432">
                  <c:v>45587</c:v>
                </c:pt>
                <c:pt idx="2433">
                  <c:v>45588</c:v>
                </c:pt>
                <c:pt idx="2434">
                  <c:v>45589</c:v>
                </c:pt>
                <c:pt idx="2435">
                  <c:v>45590</c:v>
                </c:pt>
                <c:pt idx="2436">
                  <c:v>45593</c:v>
                </c:pt>
                <c:pt idx="2437">
                  <c:v>45594</c:v>
                </c:pt>
                <c:pt idx="2438">
                  <c:v>45595</c:v>
                </c:pt>
                <c:pt idx="2439">
                  <c:v>45596</c:v>
                </c:pt>
                <c:pt idx="2440">
                  <c:v>45597</c:v>
                </c:pt>
                <c:pt idx="2441">
                  <c:v>45600</c:v>
                </c:pt>
                <c:pt idx="2442">
                  <c:v>45601</c:v>
                </c:pt>
                <c:pt idx="2443">
                  <c:v>45602</c:v>
                </c:pt>
                <c:pt idx="2444">
                  <c:v>45603</c:v>
                </c:pt>
                <c:pt idx="2445">
                  <c:v>45604</c:v>
                </c:pt>
                <c:pt idx="2446">
                  <c:v>45607</c:v>
                </c:pt>
                <c:pt idx="2447">
                  <c:v>45608</c:v>
                </c:pt>
                <c:pt idx="2448">
                  <c:v>45609</c:v>
                </c:pt>
                <c:pt idx="2449">
                  <c:v>45610</c:v>
                </c:pt>
                <c:pt idx="2450">
                  <c:v>45611</c:v>
                </c:pt>
                <c:pt idx="2451">
                  <c:v>45614</c:v>
                </c:pt>
                <c:pt idx="2452">
                  <c:v>45615</c:v>
                </c:pt>
                <c:pt idx="2453">
                  <c:v>45616</c:v>
                </c:pt>
                <c:pt idx="2454">
                  <c:v>45617</c:v>
                </c:pt>
                <c:pt idx="2455">
                  <c:v>45618</c:v>
                </c:pt>
                <c:pt idx="2456">
                  <c:v>45621</c:v>
                </c:pt>
                <c:pt idx="2457">
                  <c:v>45622</c:v>
                </c:pt>
                <c:pt idx="2458">
                  <c:v>45623</c:v>
                </c:pt>
                <c:pt idx="2459">
                  <c:v>45624</c:v>
                </c:pt>
                <c:pt idx="2460">
                  <c:v>45625</c:v>
                </c:pt>
                <c:pt idx="2461">
                  <c:v>45628</c:v>
                </c:pt>
                <c:pt idx="2462">
                  <c:v>45629</c:v>
                </c:pt>
                <c:pt idx="2463">
                  <c:v>45630</c:v>
                </c:pt>
                <c:pt idx="2464">
                  <c:v>45631</c:v>
                </c:pt>
                <c:pt idx="2465">
                  <c:v>45632</c:v>
                </c:pt>
                <c:pt idx="2466">
                  <c:v>45635</c:v>
                </c:pt>
                <c:pt idx="2467">
                  <c:v>45636</c:v>
                </c:pt>
                <c:pt idx="2468">
                  <c:v>45637</c:v>
                </c:pt>
                <c:pt idx="2469">
                  <c:v>45638</c:v>
                </c:pt>
                <c:pt idx="2470">
                  <c:v>45639</c:v>
                </c:pt>
                <c:pt idx="2471">
                  <c:v>45642</c:v>
                </c:pt>
                <c:pt idx="2472">
                  <c:v>45643</c:v>
                </c:pt>
                <c:pt idx="2473">
                  <c:v>45644</c:v>
                </c:pt>
                <c:pt idx="2474">
                  <c:v>45645</c:v>
                </c:pt>
                <c:pt idx="2475">
                  <c:v>45646</c:v>
                </c:pt>
                <c:pt idx="2476">
                  <c:v>45649</c:v>
                </c:pt>
                <c:pt idx="2477">
                  <c:v>45650</c:v>
                </c:pt>
                <c:pt idx="2478">
                  <c:v>45651</c:v>
                </c:pt>
                <c:pt idx="2479">
                  <c:v>45652</c:v>
                </c:pt>
                <c:pt idx="2480">
                  <c:v>45653</c:v>
                </c:pt>
                <c:pt idx="2481">
                  <c:v>45656</c:v>
                </c:pt>
                <c:pt idx="2482">
                  <c:v>45657</c:v>
                </c:pt>
                <c:pt idx="2483">
                  <c:v>45659</c:v>
                </c:pt>
                <c:pt idx="2484">
                  <c:v>45660</c:v>
                </c:pt>
                <c:pt idx="2485">
                  <c:v>45663</c:v>
                </c:pt>
                <c:pt idx="2486">
                  <c:v>45664</c:v>
                </c:pt>
                <c:pt idx="2487">
                  <c:v>45665</c:v>
                </c:pt>
                <c:pt idx="2488">
                  <c:v>45666</c:v>
                </c:pt>
                <c:pt idx="2489">
                  <c:v>45667</c:v>
                </c:pt>
                <c:pt idx="2490">
                  <c:v>45670</c:v>
                </c:pt>
                <c:pt idx="2491">
                  <c:v>45671</c:v>
                </c:pt>
                <c:pt idx="2492">
                  <c:v>45672</c:v>
                </c:pt>
                <c:pt idx="2493">
                  <c:v>45673</c:v>
                </c:pt>
                <c:pt idx="2494">
                  <c:v>45674</c:v>
                </c:pt>
                <c:pt idx="2495">
                  <c:v>45677</c:v>
                </c:pt>
                <c:pt idx="2496">
                  <c:v>45678</c:v>
                </c:pt>
                <c:pt idx="2497">
                  <c:v>45679</c:v>
                </c:pt>
                <c:pt idx="2498">
                  <c:v>45680</c:v>
                </c:pt>
                <c:pt idx="2499">
                  <c:v>45681</c:v>
                </c:pt>
                <c:pt idx="2500">
                  <c:v>45684</c:v>
                </c:pt>
                <c:pt idx="2501">
                  <c:v>45685</c:v>
                </c:pt>
                <c:pt idx="2502">
                  <c:v>45686</c:v>
                </c:pt>
                <c:pt idx="2503">
                  <c:v>45687</c:v>
                </c:pt>
                <c:pt idx="2504">
                  <c:v>45688</c:v>
                </c:pt>
                <c:pt idx="2505">
                  <c:v>45691</c:v>
                </c:pt>
                <c:pt idx="2506">
                  <c:v>45692</c:v>
                </c:pt>
                <c:pt idx="2507">
                  <c:v>45693</c:v>
                </c:pt>
                <c:pt idx="2508">
                  <c:v>45694</c:v>
                </c:pt>
                <c:pt idx="2509">
                  <c:v>45695</c:v>
                </c:pt>
                <c:pt idx="2510">
                  <c:v>45698</c:v>
                </c:pt>
                <c:pt idx="2511">
                  <c:v>45699</c:v>
                </c:pt>
                <c:pt idx="2512">
                  <c:v>45700</c:v>
                </c:pt>
                <c:pt idx="2513">
                  <c:v>45701</c:v>
                </c:pt>
                <c:pt idx="2514">
                  <c:v>45702</c:v>
                </c:pt>
                <c:pt idx="2515">
                  <c:v>45705</c:v>
                </c:pt>
              </c:numCache>
            </c:numRef>
          </c:cat>
          <c:val>
            <c:numRef>
              <c:f>'Rendement hist'!$E$2:$E$2517</c:f>
              <c:numCache>
                <c:formatCode>0.00%</c:formatCode>
                <c:ptCount val="2516"/>
                <c:pt idx="0">
                  <c:v>-1.0908980577828409E-4</c:v>
                </c:pt>
                <c:pt idx="1">
                  <c:v>-1.0919630811279113E-4</c:v>
                </c:pt>
                <c:pt idx="2">
                  <c:v>-1.0919653772056837E-4</c:v>
                </c:pt>
                <c:pt idx="3">
                  <c:v>-1.088931043649044E-4</c:v>
                </c:pt>
                <c:pt idx="4">
                  <c:v>-1.1278750975141083E-4</c:v>
                </c:pt>
                <c:pt idx="5">
                  <c:v>-1.1089777537354184E-4</c:v>
                </c:pt>
                <c:pt idx="6">
                  <c:v>-1.1169502645447249E-4</c:v>
                </c:pt>
                <c:pt idx="7">
                  <c:v>-1.1189260750943397E-4</c:v>
                </c:pt>
                <c:pt idx="8">
                  <c:v>-1.1259120109308185E-4</c:v>
                </c:pt>
                <c:pt idx="9">
                  <c:v>-1.1679689236776536E-4</c:v>
                </c:pt>
                <c:pt idx="10">
                  <c:v>-1.122961140047618E-4</c:v>
                </c:pt>
                <c:pt idx="11">
                  <c:v>-1.1249372000510238E-4</c:v>
                </c:pt>
                <c:pt idx="12">
                  <c:v>-1.1239528207629412E-4</c:v>
                </c:pt>
                <c:pt idx="13">
                  <c:v>-1.1269155353177407E-4</c:v>
                </c:pt>
                <c:pt idx="14">
                  <c:v>-1.1839267205526749E-4</c:v>
                </c:pt>
                <c:pt idx="15">
                  <c:v>-1.1899256905645306E-4</c:v>
                </c:pt>
                <c:pt idx="16">
                  <c:v>-1.2029077847530711E-4</c:v>
                </c:pt>
                <c:pt idx="17">
                  <c:v>-1.2179390396005463E-4</c:v>
                </c:pt>
                <c:pt idx="18">
                  <c:v>-1.2398787297929204E-4</c:v>
                </c:pt>
                <c:pt idx="19">
                  <c:v>-1.2549104034509373E-4</c:v>
                </c:pt>
                <c:pt idx="20">
                  <c:v>-1.3509300602343455E-4</c:v>
                </c:pt>
                <c:pt idx="21">
                  <c:v>-1.3679353049489418E-4</c:v>
                </c:pt>
                <c:pt idx="22">
                  <c:v>-1.3838780874908529E-4</c:v>
                </c:pt>
                <c:pt idx="23">
                  <c:v>-1.4458997336763701E-4</c:v>
                </c:pt>
                <c:pt idx="24">
                  <c:v>-1.4638919593057409E-4</c:v>
                </c:pt>
                <c:pt idx="25">
                  <c:v>-1.4578994064584627E-4</c:v>
                </c:pt>
                <c:pt idx="26">
                  <c:v>-1.4838632584512901E-4</c:v>
                </c:pt>
                <c:pt idx="27">
                  <c:v>-1.5128635303862659E-4</c:v>
                </c:pt>
                <c:pt idx="28">
                  <c:v>-1.5918906826428714E-4</c:v>
                </c:pt>
                <c:pt idx="29">
                  <c:v>-1.6088970717542672E-4</c:v>
                </c:pt>
                <c:pt idx="30">
                  <c:v>-1.5998695265595497E-4</c:v>
                </c:pt>
                <c:pt idx="31">
                  <c:v>-1.6149025849288012E-4</c:v>
                </c:pt>
                <c:pt idx="32">
                  <c:v>-1.6328958227740387E-4</c:v>
                </c:pt>
                <c:pt idx="33">
                  <c:v>-1.7788791228967593E-4</c:v>
                </c:pt>
                <c:pt idx="34">
                  <c:v>-1.7998328521684481E-4</c:v>
                </c:pt>
                <c:pt idx="35">
                  <c:v>-1.795815899261477E-4</c:v>
                </c:pt>
                <c:pt idx="36">
                  <c:v>-1.8128227558000809E-4</c:v>
                </c:pt>
                <c:pt idx="37">
                  <c:v>-1.8667999270238766E-4</c:v>
                </c:pt>
                <c:pt idx="38">
                  <c:v>-1.8828202144682837E-4</c:v>
                </c:pt>
                <c:pt idx="39">
                  <c:v>-1.8998281917925741E-4</c:v>
                </c:pt>
                <c:pt idx="40">
                  <c:v>-1.9928124989965212E-4</c:v>
                </c:pt>
                <c:pt idx="41">
                  <c:v>-2.0157414887955749E-4</c:v>
                </c:pt>
                <c:pt idx="42">
                  <c:v>-2.0947714091146263E-4</c:v>
                </c:pt>
                <c:pt idx="43">
                  <c:v>-2.112766624055018E-4</c:v>
                </c:pt>
                <c:pt idx="44">
                  <c:v>-2.1318244734869207E-4</c:v>
                </c:pt>
                <c:pt idx="45">
                  <c:v>-2.1108074060394166E-4</c:v>
                </c:pt>
                <c:pt idx="46">
                  <c:v>-2.1257664368456997E-4</c:v>
                </c:pt>
                <c:pt idx="47">
                  <c:v>-2.2117059780801807E-4</c:v>
                </c:pt>
                <c:pt idx="48">
                  <c:v>-2.2297770694357233E-4</c:v>
                </c:pt>
                <c:pt idx="49">
                  <c:v>-2.2497461112014339E-4</c:v>
                </c:pt>
                <c:pt idx="50">
                  <c:v>-2.2477038241774938E-4</c:v>
                </c:pt>
                <c:pt idx="51">
                  <c:v>-2.26478840478328E-4</c:v>
                </c:pt>
                <c:pt idx="52">
                  <c:v>-2.3537640125559367E-4</c:v>
                </c:pt>
                <c:pt idx="53">
                  <c:v>-2.3727467199974317E-4</c:v>
                </c:pt>
                <c:pt idx="54">
                  <c:v>-2.3956759131549266E-4</c:v>
                </c:pt>
                <c:pt idx="55">
                  <c:v>-2.3807314467905183E-4</c:v>
                </c:pt>
                <c:pt idx="56">
                  <c:v>-2.3997136073539149E-4</c:v>
                </c:pt>
                <c:pt idx="57">
                  <c:v>-2.4856548177920601E-4</c:v>
                </c:pt>
                <c:pt idx="58">
                  <c:v>-2.5016774326802604E-4</c:v>
                </c:pt>
                <c:pt idx="59">
                  <c:v>-2.5026683564510765E-4</c:v>
                </c:pt>
                <c:pt idx="60">
                  <c:v>-2.4927342320080204E-4</c:v>
                </c:pt>
                <c:pt idx="61">
                  <c:v>-2.5126280112119925E-4</c:v>
                </c:pt>
                <c:pt idx="62">
                  <c:v>-2.6236910326871143E-4</c:v>
                </c:pt>
                <c:pt idx="63">
                  <c:v>-2.6386516868703858E-4</c:v>
                </c:pt>
                <c:pt idx="64">
                  <c:v>-2.5616998967692428E-4</c:v>
                </c:pt>
                <c:pt idx="65">
                  <c:v>-2.5727136658504346E-4</c:v>
                </c:pt>
                <c:pt idx="66">
                  <c:v>-2.5856251857303558E-4</c:v>
                </c:pt>
                <c:pt idx="67">
                  <c:v>-2.6696709910856153E-4</c:v>
                </c:pt>
                <c:pt idx="68">
                  <c:v>-2.644709172977544E-4</c:v>
                </c:pt>
                <c:pt idx="69">
                  <c:v>-2.6556468104521613E-4</c:v>
                </c:pt>
                <c:pt idx="70">
                  <c:v>-2.664687827786949E-4</c:v>
                </c:pt>
                <c:pt idx="71">
                  <c:v>-2.6775997218386749E-4</c:v>
                </c:pt>
                <c:pt idx="72">
                  <c:v>-2.7536780650383452E-4</c:v>
                </c:pt>
                <c:pt idx="73">
                  <c:v>-2.7246175075590351E-4</c:v>
                </c:pt>
                <c:pt idx="74">
                  <c:v>-2.7366188951349901E-4</c:v>
                </c:pt>
                <c:pt idx="75">
                  <c:v>-2.7466466566938852E-4</c:v>
                </c:pt>
                <c:pt idx="76">
                  <c:v>-2.7576609077284431E-4</c:v>
                </c:pt>
                <c:pt idx="77">
                  <c:v>-2.8306267559108367E-4</c:v>
                </c:pt>
                <c:pt idx="78">
                  <c:v>-2.7956460411315831E-4</c:v>
                </c:pt>
                <c:pt idx="79">
                  <c:v>-2.8055978943652971E-4</c:v>
                </c:pt>
                <c:pt idx="80">
                  <c:v>-2.8146387331118294E-4</c:v>
                </c:pt>
                <c:pt idx="81">
                  <c:v>-2.8266399782728158E-4</c:v>
                </c:pt>
                <c:pt idx="82">
                  <c:v>-2.8816159145461651E-4</c:v>
                </c:pt>
                <c:pt idx="83">
                  <c:v>-2.8886073748779495E-4</c:v>
                </c:pt>
                <c:pt idx="84">
                  <c:v>-2.8955232528937724E-4</c:v>
                </c:pt>
                <c:pt idx="85">
                  <c:v>-2.9015280728261761E-4</c:v>
                </c:pt>
                <c:pt idx="86">
                  <c:v>-2.9085961254249337E-4</c:v>
                </c:pt>
                <c:pt idx="87">
                  <c:v>-2.9355697893107546E-4</c:v>
                </c:pt>
                <c:pt idx="88">
                  <c:v>-2.946510109739231E-4</c:v>
                </c:pt>
                <c:pt idx="89">
                  <c:v>-2.9535783609346833E-4</c:v>
                </c:pt>
                <c:pt idx="90">
                  <c:v>-2.9495656092903833E-4</c:v>
                </c:pt>
                <c:pt idx="91">
                  <c:v>-2.9455534310052212E-4</c:v>
                </c:pt>
                <c:pt idx="92">
                  <c:v>-2.9616006799082495E-4</c:v>
                </c:pt>
                <c:pt idx="93">
                  <c:v>-2.9665443992099583E-4</c:v>
                </c:pt>
                <c:pt idx="94">
                  <c:v>-2.9725511012690387E-4</c:v>
                </c:pt>
                <c:pt idx="95">
                  <c:v>-2.9765837748596535E-4</c:v>
                </c:pt>
                <c:pt idx="96">
                  <c:v>-2.9805405461125201E-4</c:v>
                </c:pt>
                <c:pt idx="97">
                  <c:v>-2.9225791753628716E-4</c:v>
                </c:pt>
                <c:pt idx="98">
                  <c:v>-2.927523205425997E-4</c:v>
                </c:pt>
                <c:pt idx="99">
                  <c:v>-2.9326196988355147E-4</c:v>
                </c:pt>
                <c:pt idx="100">
                  <c:v>-2.9396135452941508E-4</c:v>
                </c:pt>
                <c:pt idx="101">
                  <c:v>-2.9075915633380855E-4</c:v>
                </c:pt>
                <c:pt idx="102">
                  <c:v>-2.9836042688236031E-4</c:v>
                </c:pt>
                <c:pt idx="103">
                  <c:v>-2.9805772737723224E-4</c:v>
                </c:pt>
                <c:pt idx="104">
                  <c:v>-2.9755778926254806E-4</c:v>
                </c:pt>
                <c:pt idx="105">
                  <c:v>-2.9726279507158448E-4</c:v>
                </c:pt>
                <c:pt idx="106">
                  <c:v>-2.9105458258238404E-4</c:v>
                </c:pt>
                <c:pt idx="107">
                  <c:v>-2.9865621332691994E-4</c:v>
                </c:pt>
                <c:pt idx="108">
                  <c:v>-2.9895338751628753E-4</c:v>
                </c:pt>
                <c:pt idx="109">
                  <c:v>-2.9945548578025338E-4</c:v>
                </c:pt>
                <c:pt idx="110">
                  <c:v>-2.99752605579795E-4</c:v>
                </c:pt>
                <c:pt idx="111">
                  <c:v>-2.930585422462606E-4</c:v>
                </c:pt>
                <c:pt idx="112">
                  <c:v>-3.0055399751127698E-4</c:v>
                </c:pt>
                <c:pt idx="113">
                  <c:v>-3.0095749054226406E-4</c:v>
                </c:pt>
                <c:pt idx="114">
                  <c:v>-3.0175571406410029E-4</c:v>
                </c:pt>
                <c:pt idx="115">
                  <c:v>-3.0225027359909173E-4</c:v>
                </c:pt>
                <c:pt idx="116">
                  <c:v>-2.9605712264568762E-4</c:v>
                </c:pt>
                <c:pt idx="117">
                  <c:v>-3.0425141232415243E-4</c:v>
                </c:pt>
                <c:pt idx="118">
                  <c:v>-3.0485991721762584E-4</c:v>
                </c:pt>
                <c:pt idx="119">
                  <c:v>-3.0565058032028247E-4</c:v>
                </c:pt>
                <c:pt idx="120">
                  <c:v>-3.064564631583E-4</c:v>
                </c:pt>
                <c:pt idx="121">
                  <c:v>-3.0025567635383332E-4</c:v>
                </c:pt>
                <c:pt idx="122">
                  <c:v>-3.0885256983737008E-4</c:v>
                </c:pt>
                <c:pt idx="123">
                  <c:v>-3.1125266192433276E-4</c:v>
                </c:pt>
                <c:pt idx="124">
                  <c:v>-3.115498708511355E-4</c:v>
                </c:pt>
                <c:pt idx="125">
                  <c:v>-3.1155852197695122E-4</c:v>
                </c:pt>
                <c:pt idx="126">
                  <c:v>-3.0575237200147765E-4</c:v>
                </c:pt>
                <c:pt idx="127">
                  <c:v>-3.1395462389738338E-4</c:v>
                </c:pt>
                <c:pt idx="128">
                  <c:v>-3.1465428522248207E-4</c:v>
                </c:pt>
                <c:pt idx="129">
                  <c:v>-3.1505020049427124E-4</c:v>
                </c:pt>
                <c:pt idx="130">
                  <c:v>-3.1555246022441086E-4</c:v>
                </c:pt>
                <c:pt idx="131">
                  <c:v>-3.0935142545163163E-4</c:v>
                </c:pt>
                <c:pt idx="132">
                  <c:v>-3.1785001438777716E-4</c:v>
                </c:pt>
                <c:pt idx="133">
                  <c:v>-3.1845091864890485E-4</c:v>
                </c:pt>
                <c:pt idx="134">
                  <c:v>-3.1884688708516684E-4</c:v>
                </c:pt>
                <c:pt idx="135">
                  <c:v>-3.1915172816554538E-4</c:v>
                </c:pt>
                <c:pt idx="136">
                  <c:v>-3.1295064969505404E-4</c:v>
                </c:pt>
                <c:pt idx="137">
                  <c:v>-3.2154813817197869E-4</c:v>
                </c:pt>
                <c:pt idx="138">
                  <c:v>-3.2205044249478121E-4</c:v>
                </c:pt>
                <c:pt idx="139">
                  <c:v>-3.2265143952137088E-4</c:v>
                </c:pt>
                <c:pt idx="140">
                  <c:v>-3.2324481690604312E-4</c:v>
                </c:pt>
                <c:pt idx="141">
                  <c:v>-3.1765094920710446E-4</c:v>
                </c:pt>
                <c:pt idx="142">
                  <c:v>-3.2564870188156458E-4</c:v>
                </c:pt>
                <c:pt idx="143">
                  <c:v>-3.2644714102703087E-4</c:v>
                </c:pt>
                <c:pt idx="144">
                  <c:v>-3.27146829683711E-4</c:v>
                </c:pt>
                <c:pt idx="145">
                  <c:v>-3.2794527865120937E-4</c:v>
                </c:pt>
                <c:pt idx="146">
                  <c:v>-3.234521932363732E-4</c:v>
                </c:pt>
                <c:pt idx="147">
                  <c:v>-3.3114629246389082E-4</c:v>
                </c:pt>
                <c:pt idx="148">
                  <c:v>-3.3164855059542031E-4</c:v>
                </c:pt>
                <c:pt idx="149">
                  <c:v>-3.3234823469618924E-4</c:v>
                </c:pt>
                <c:pt idx="150">
                  <c:v>-3.3274421239115615E-4</c:v>
                </c:pt>
                <c:pt idx="151">
                  <c:v>-3.2645162523092797E-4</c:v>
                </c:pt>
                <c:pt idx="152">
                  <c:v>-3.3435115825641848E-4</c:v>
                </c:pt>
                <c:pt idx="153">
                  <c:v>-3.3514206814211356E-4</c:v>
                </c:pt>
                <c:pt idx="154">
                  <c:v>-3.3565204575525254E-4</c:v>
                </c:pt>
                <c:pt idx="155">
                  <c:v>-3.3564565940524815E-4</c:v>
                </c:pt>
                <c:pt idx="156">
                  <c:v>-3.2864694171375053E-4</c:v>
                </c:pt>
                <c:pt idx="157">
                  <c:v>-3.3624281760680219E-4</c:v>
                </c:pt>
                <c:pt idx="158">
                  <c:v>-3.36547786330188E-4</c:v>
                </c:pt>
                <c:pt idx="159">
                  <c:v>-3.3683750104840371E-4</c:v>
                </c:pt>
                <c:pt idx="160">
                  <c:v>-3.3714240479421065E-4</c:v>
                </c:pt>
                <c:pt idx="161">
                  <c:v>-3.3103943443202333E-4</c:v>
                </c:pt>
                <c:pt idx="162">
                  <c:v>-3.3865071950311965E-4</c:v>
                </c:pt>
                <c:pt idx="163">
                  <c:v>-3.387431142606312E-4</c:v>
                </c:pt>
                <c:pt idx="164">
                  <c:v>-3.3904053851685489E-4</c:v>
                </c:pt>
                <c:pt idx="165">
                  <c:v>-3.3924678858399115E-4</c:v>
                </c:pt>
                <c:pt idx="166">
                  <c:v>-3.32642614644163E-4</c:v>
                </c:pt>
                <c:pt idx="167">
                  <c:v>-3.4104385257516245E-4</c:v>
                </c:pt>
                <c:pt idx="168">
                  <c:v>-3.4104504669374425E-4</c:v>
                </c:pt>
                <c:pt idx="169">
                  <c:v>-3.4113738294716534E-4</c:v>
                </c:pt>
                <c:pt idx="170">
                  <c:v>-3.4144234924604611E-4</c:v>
                </c:pt>
                <c:pt idx="171">
                  <c:v>-3.3414706962919816E-4</c:v>
                </c:pt>
                <c:pt idx="172">
                  <c:v>-3.4184239386314541E-4</c:v>
                </c:pt>
                <c:pt idx="173">
                  <c:v>-3.4204113726576946E-4</c:v>
                </c:pt>
                <c:pt idx="174">
                  <c:v>-3.425436632090717E-4</c:v>
                </c:pt>
                <c:pt idx="175">
                  <c:v>-3.4534763274673974E-4</c:v>
                </c:pt>
                <c:pt idx="176">
                  <c:v>-3.4094598337197635E-4</c:v>
                </c:pt>
                <c:pt idx="177">
                  <c:v>-3.5623707884813172E-4</c:v>
                </c:pt>
                <c:pt idx="178">
                  <c:v>-3.5873739990921472E-4</c:v>
                </c:pt>
                <c:pt idx="179">
                  <c:v>-3.6154152757783553E-4</c:v>
                </c:pt>
                <c:pt idx="180">
                  <c:v>-3.6443682649778264E-4</c:v>
                </c:pt>
                <c:pt idx="181">
                  <c:v>-3.5933678740129871E-4</c:v>
                </c:pt>
                <c:pt idx="182">
                  <c:v>-3.7503097913571537E-4</c:v>
                </c:pt>
                <c:pt idx="183">
                  <c:v>-3.7753144143870543E-4</c:v>
                </c:pt>
                <c:pt idx="184">
                  <c:v>-3.7992562274946629E-4</c:v>
                </c:pt>
                <c:pt idx="185">
                  <c:v>-3.8243375744917429E-4</c:v>
                </c:pt>
                <c:pt idx="186">
                  <c:v>-4.0422334704148799E-4</c:v>
                </c:pt>
                <c:pt idx="187">
                  <c:v>-4.0632148173580518E-4</c:v>
                </c:pt>
                <c:pt idx="188">
                  <c:v>-4.065204797206734E-4</c:v>
                </c:pt>
                <c:pt idx="189">
                  <c:v>-4.1720941237188836E-4</c:v>
                </c:pt>
                <c:pt idx="190">
                  <c:v>-4.2001396709334671E-4</c:v>
                </c:pt>
                <c:pt idx="191">
                  <c:v>-4.1541560140201383E-4</c:v>
                </c:pt>
                <c:pt idx="192">
                  <c:v>-4.1841014036836377E-4</c:v>
                </c:pt>
                <c:pt idx="193">
                  <c:v>-4.2121467126621237E-4</c:v>
                </c:pt>
                <c:pt idx="194">
                  <c:v>-4.3691004050594451E-4</c:v>
                </c:pt>
                <c:pt idx="195">
                  <c:v>-4.3970710834895232E-4</c:v>
                </c:pt>
                <c:pt idx="196">
                  <c:v>-4.34410075834335E-4</c:v>
                </c:pt>
                <c:pt idx="197">
                  <c:v>-4.3730588702062256E-4</c:v>
                </c:pt>
                <c:pt idx="198">
                  <c:v>-4.4020935946931239E-4</c:v>
                </c:pt>
                <c:pt idx="199">
                  <c:v>-4.5639890198378996E-4</c:v>
                </c:pt>
                <c:pt idx="200">
                  <c:v>-4.5909745948713443E-4</c:v>
                </c:pt>
                <c:pt idx="201">
                  <c:v>-4.5389926405048353E-4</c:v>
                </c:pt>
                <c:pt idx="202">
                  <c:v>-4.5659780909457215E-4</c:v>
                </c:pt>
                <c:pt idx="203">
                  <c:v>-4.5939512716663966E-4</c:v>
                </c:pt>
                <c:pt idx="204">
                  <c:v>-4.7569158205540418E-4</c:v>
                </c:pt>
                <c:pt idx="205">
                  <c:v>-4.7838264686395071E-4</c:v>
                </c:pt>
                <c:pt idx="206">
                  <c:v>-4.7379199033570352E-4</c:v>
                </c:pt>
                <c:pt idx="207">
                  <c:v>-4.7639197084670126E-4</c:v>
                </c:pt>
                <c:pt idx="208">
                  <c:v>-4.7918180055084303E-4</c:v>
                </c:pt>
                <c:pt idx="209">
                  <c:v>-4.9417980984334253E-4</c:v>
                </c:pt>
                <c:pt idx="210">
                  <c:v>-4.9677990627106094E-4</c:v>
                </c:pt>
                <c:pt idx="211">
                  <c:v>-4.9248536480450689E-4</c:v>
                </c:pt>
                <c:pt idx="212">
                  <c:v>-4.9578421224849567E-4</c:v>
                </c:pt>
                <c:pt idx="213">
                  <c:v>-4.9848297188270774E-4</c:v>
                </c:pt>
                <c:pt idx="214">
                  <c:v>-5.1456761639012694E-4</c:v>
                </c:pt>
                <c:pt idx="215">
                  <c:v>-5.176690565977804E-4</c:v>
                </c:pt>
                <c:pt idx="216">
                  <c:v>-5.1276727457649773E-4</c:v>
                </c:pt>
                <c:pt idx="217">
                  <c:v>-5.1536754734582413E-4</c:v>
                </c:pt>
                <c:pt idx="218">
                  <c:v>-5.1806655695085801E-4</c:v>
                </c:pt>
                <c:pt idx="219">
                  <c:v>-5.3446318115424329E-4</c:v>
                </c:pt>
                <c:pt idx="220">
                  <c:v>-5.3735216329364732E-4</c:v>
                </c:pt>
                <c:pt idx="221">
                  <c:v>-5.3306558775478852E-4</c:v>
                </c:pt>
                <c:pt idx="222">
                  <c:v>-5.3605337279771792E-4</c:v>
                </c:pt>
                <c:pt idx="223">
                  <c:v>-5.3926138967463899E-4</c:v>
                </c:pt>
                <c:pt idx="224">
                  <c:v>-5.5584845214340373E-4</c:v>
                </c:pt>
                <c:pt idx="225">
                  <c:v>-5.5875278082906377E-4</c:v>
                </c:pt>
                <c:pt idx="226">
                  <c:v>-5.5444360064771381E-4</c:v>
                </c:pt>
                <c:pt idx="227">
                  <c:v>-5.5754550334108366E-4</c:v>
                </c:pt>
                <c:pt idx="228">
                  <c:v>-5.6054871656496807E-4</c:v>
                </c:pt>
                <c:pt idx="229">
                  <c:v>-5.7703757857152649E-4</c:v>
                </c:pt>
                <c:pt idx="230">
                  <c:v>-5.7944067799220456E-4</c:v>
                </c:pt>
                <c:pt idx="231">
                  <c:v>-5.7453921928007912E-4</c:v>
                </c:pt>
                <c:pt idx="232">
                  <c:v>-5.7753474188959597E-4</c:v>
                </c:pt>
                <c:pt idx="233">
                  <c:v>-5.8053793618118021E-4</c:v>
                </c:pt>
                <c:pt idx="234">
                  <c:v>-5.9652584949909659E-4</c:v>
                </c:pt>
                <c:pt idx="235">
                  <c:v>-5.9932412018393055E-4</c:v>
                </c:pt>
                <c:pt idx="236">
                  <c:v>-5.9433158275901121E-4</c:v>
                </c:pt>
                <c:pt idx="237">
                  <c:v>-5.9703116909470832E-4</c:v>
                </c:pt>
                <c:pt idx="238">
                  <c:v>-5.9962452786821441E-4</c:v>
                </c:pt>
                <c:pt idx="239">
                  <c:v>-6.1331246834972486E-4</c:v>
                </c:pt>
                <c:pt idx="240">
                  <c:v>-6.1361271688131769E-4</c:v>
                </c:pt>
                <c:pt idx="241">
                  <c:v>-6.0132298350668023E-4</c:v>
                </c:pt>
                <c:pt idx="242">
                  <c:v>-6.0432054771453192E-4</c:v>
                </c:pt>
                <c:pt idx="243">
                  <c:v>-6.0731827487237044E-4</c:v>
                </c:pt>
                <c:pt idx="244">
                  <c:v>-6.2930442314435009E-4</c:v>
                </c:pt>
                <c:pt idx="245">
                  <c:v>-6.3230235035105498E-4</c:v>
                </c:pt>
                <c:pt idx="246">
                  <c:v>-6.2220871365747943E-4</c:v>
                </c:pt>
                <c:pt idx="247">
                  <c:v>-6.2541171202701307E-4</c:v>
                </c:pt>
                <c:pt idx="248">
                  <c:v>-6.6748192235832615E-4</c:v>
                </c:pt>
                <c:pt idx="249">
                  <c:v>-6.705789407257523E-4</c:v>
                </c:pt>
                <c:pt idx="250">
                  <c:v>-6.464900070689561E-4</c:v>
                </c:pt>
                <c:pt idx="251">
                  <c:v>-6.4869013189050584E-4</c:v>
                </c:pt>
                <c:pt idx="252">
                  <c:v>-6.7267525351921709E-4</c:v>
                </c:pt>
                <c:pt idx="253">
                  <c:v>-6.6778328133010323E-4</c:v>
                </c:pt>
                <c:pt idx="254">
                  <c:v>-6.7028029645654907E-4</c:v>
                </c:pt>
                <c:pt idx="255">
                  <c:v>-6.7257996372849238E-4</c:v>
                </c:pt>
                <c:pt idx="256">
                  <c:v>-6.7478087214034588E-4</c:v>
                </c:pt>
                <c:pt idx="257">
                  <c:v>-6.9606347247752609E-4</c:v>
                </c:pt>
                <c:pt idx="258">
                  <c:v>-6.8566578607587303E-4</c:v>
                </c:pt>
                <c:pt idx="259">
                  <c:v>-6.8857334096827927E-4</c:v>
                </c:pt>
                <c:pt idx="260">
                  <c:v>-6.9146567194056097E-4</c:v>
                </c:pt>
                <c:pt idx="261">
                  <c:v>-6.9426690795104662E-4</c:v>
                </c:pt>
                <c:pt idx="262">
                  <c:v>-7.1594593620571967E-4</c:v>
                </c:pt>
                <c:pt idx="263">
                  <c:v>-7.057611664391672E-4</c:v>
                </c:pt>
                <c:pt idx="264">
                  <c:v>-7.0845626635529513E-4</c:v>
                </c:pt>
                <c:pt idx="265">
                  <c:v>-7.1135652573495189E-4</c:v>
                </c:pt>
                <c:pt idx="266">
                  <c:v>-7.1424922879415043E-4</c:v>
                </c:pt>
                <c:pt idx="267">
                  <c:v>-7.3583819281419771E-4</c:v>
                </c:pt>
                <c:pt idx="268">
                  <c:v>-7.252430824822298E-4</c:v>
                </c:pt>
                <c:pt idx="269">
                  <c:v>-7.2814356861572449E-4</c:v>
                </c:pt>
                <c:pt idx="270">
                  <c:v>-7.3093769413579146E-4</c:v>
                </c:pt>
                <c:pt idx="271">
                  <c:v>-7.3373945135535301E-4</c:v>
                </c:pt>
                <c:pt idx="272">
                  <c:v>-7.6421436515072827E-4</c:v>
                </c:pt>
                <c:pt idx="273">
                  <c:v>-7.5442416160209635E-4</c:v>
                </c:pt>
                <c:pt idx="274">
                  <c:v>-7.5711976116321633E-4</c:v>
                </c:pt>
                <c:pt idx="275">
                  <c:v>-7.6021807541859499E-4</c:v>
                </c:pt>
                <c:pt idx="276">
                  <c:v>-7.8069964305427231E-4</c:v>
                </c:pt>
                <c:pt idx="277">
                  <c:v>-7.8339530905768839E-4</c:v>
                </c:pt>
                <c:pt idx="278">
                  <c:v>-7.729138785573797E-4</c:v>
                </c:pt>
                <c:pt idx="279">
                  <c:v>-7.7550338741450009E-4</c:v>
                </c:pt>
                <c:pt idx="280">
                  <c:v>-7.7840448970512011E-4</c:v>
                </c:pt>
                <c:pt idx="281">
                  <c:v>-8.0019427099997653E-4</c:v>
                </c:pt>
                <c:pt idx="282">
                  <c:v>-8.0317919282302253E-4</c:v>
                </c:pt>
                <c:pt idx="283">
                  <c:v>-7.9249267458503247E-4</c:v>
                </c:pt>
                <c:pt idx="284">
                  <c:v>-7.9519644882353191E-4</c:v>
                </c:pt>
                <c:pt idx="285">
                  <c:v>-7.9788506260658476E-4</c:v>
                </c:pt>
                <c:pt idx="286">
                  <c:v>-8.1897681943665646E-4</c:v>
                </c:pt>
                <c:pt idx="287">
                  <c:v>-8.2156689103674019E-4</c:v>
                </c:pt>
                <c:pt idx="288">
                  <c:v>-8.1078157743152968E-4</c:v>
                </c:pt>
                <c:pt idx="289">
                  <c:v>-8.1357682804616971E-4</c:v>
                </c:pt>
                <c:pt idx="290">
                  <c:v>-8.1667625966541646E-4</c:v>
                </c:pt>
                <c:pt idx="291">
                  <c:v>-8.481456589598535E-4</c:v>
                </c:pt>
                <c:pt idx="292">
                  <c:v>-8.5024201683980838E-4</c:v>
                </c:pt>
                <c:pt idx="293">
                  <c:v>-8.3925151648567287E-4</c:v>
                </c:pt>
                <c:pt idx="294">
                  <c:v>-8.4215317997027306E-4</c:v>
                </c:pt>
                <c:pt idx="295">
                  <c:v>-8.6373344810863895E-4</c:v>
                </c:pt>
                <c:pt idx="296">
                  <c:v>-8.6643021704069234E-4</c:v>
                </c:pt>
                <c:pt idx="297">
                  <c:v>-8.6902827855261933E-4</c:v>
                </c:pt>
                <c:pt idx="298">
                  <c:v>-8.587442362822939E-4</c:v>
                </c:pt>
                <c:pt idx="299">
                  <c:v>-8.6133471956195695E-4</c:v>
                </c:pt>
                <c:pt idx="300">
                  <c:v>-8.8221659603393565E-4</c:v>
                </c:pt>
                <c:pt idx="301">
                  <c:v>-8.8471603182715963E-4</c:v>
                </c:pt>
                <c:pt idx="302">
                  <c:v>-8.8721558829440994E-4</c:v>
                </c:pt>
                <c:pt idx="303">
                  <c:v>-8.7632365527323675E-4</c:v>
                </c:pt>
                <c:pt idx="304">
                  <c:v>-8.7892205834827486E-4</c:v>
                </c:pt>
                <c:pt idx="305">
                  <c:v>-9.0039840443578711E-4</c:v>
                </c:pt>
                <c:pt idx="306">
                  <c:v>-9.0050570279986974E-4</c:v>
                </c:pt>
                <c:pt idx="307">
                  <c:v>-9.0020262960399666E-4</c:v>
                </c:pt>
                <c:pt idx="308">
                  <c:v>-8.8091645967725007E-4</c:v>
                </c:pt>
                <c:pt idx="309">
                  <c:v>-8.8092491230906678E-4</c:v>
                </c:pt>
                <c:pt idx="310">
                  <c:v>-8.9820806601237368E-4</c:v>
                </c:pt>
                <c:pt idx="311">
                  <c:v>-8.9790495332420228E-4</c:v>
                </c:pt>
                <c:pt idx="312">
                  <c:v>-8.5884246254619434E-4</c:v>
                </c:pt>
                <c:pt idx="313">
                  <c:v>-8.5863780376738141E-4</c:v>
                </c:pt>
                <c:pt idx="314">
                  <c:v>-8.5714047386753478E-4</c:v>
                </c:pt>
                <c:pt idx="315">
                  <c:v>-8.7542757201763965E-4</c:v>
                </c:pt>
                <c:pt idx="316">
                  <c:v>-8.5624388221372527E-4</c:v>
                </c:pt>
                <c:pt idx="317">
                  <c:v>-8.5603884211415959E-4</c:v>
                </c:pt>
                <c:pt idx="318">
                  <c:v>-8.5594025847246513E-4</c:v>
                </c:pt>
                <c:pt idx="319">
                  <c:v>-8.5574290077428117E-4</c:v>
                </c:pt>
                <c:pt idx="320">
                  <c:v>-8.7322578461002109E-4</c:v>
                </c:pt>
                <c:pt idx="321">
                  <c:v>-8.545350082390657E-4</c:v>
                </c:pt>
                <c:pt idx="322">
                  <c:v>-8.5434514209881129E-4</c:v>
                </c:pt>
                <c:pt idx="323">
                  <c:v>-8.5394260448645731E-4</c:v>
                </c:pt>
                <c:pt idx="324">
                  <c:v>-8.5373769491492446E-4</c:v>
                </c:pt>
                <c:pt idx="325">
                  <c:v>-8.7202799439067835E-4</c:v>
                </c:pt>
                <c:pt idx="326">
                  <c:v>-8.5294100222321756E-4</c:v>
                </c:pt>
                <c:pt idx="327">
                  <c:v>-8.5253859701384105E-4</c:v>
                </c:pt>
                <c:pt idx="328">
                  <c:v>-8.523412678851372E-4</c:v>
                </c:pt>
                <c:pt idx="329">
                  <c:v>-8.5214401929811778E-4</c:v>
                </c:pt>
                <c:pt idx="330">
                  <c:v>-8.7052686973021487E-4</c:v>
                </c:pt>
                <c:pt idx="331">
                  <c:v>-8.5154496063399865E-4</c:v>
                </c:pt>
                <c:pt idx="332">
                  <c:v>-8.5134008941956107E-4</c:v>
                </c:pt>
                <c:pt idx="333">
                  <c:v>-8.5104394465296274E-4</c:v>
                </c:pt>
                <c:pt idx="334">
                  <c:v>-8.5094546292963091E-4</c:v>
                </c:pt>
                <c:pt idx="335">
                  <c:v>-8.6822657054275165E-4</c:v>
                </c:pt>
                <c:pt idx="336">
                  <c:v>-8.4035912572233418E-4</c:v>
                </c:pt>
                <c:pt idx="337">
                  <c:v>-8.4035164747087165E-4</c:v>
                </c:pt>
                <c:pt idx="338">
                  <c:v>-8.4025297572642987E-4</c:v>
                </c:pt>
                <c:pt idx="339">
                  <c:v>-8.4015446830110196E-4</c:v>
                </c:pt>
                <c:pt idx="340">
                  <c:v>-8.4095336628908779E-4</c:v>
                </c:pt>
                <c:pt idx="341">
                  <c:v>-8.4135656645933921E-4</c:v>
                </c:pt>
                <c:pt idx="342">
                  <c:v>-8.4154687346693624E-4</c:v>
                </c:pt>
                <c:pt idx="343">
                  <c:v>-8.4145580693784083E-4</c:v>
                </c:pt>
                <c:pt idx="344">
                  <c:v>-8.4155508486571939E-4</c:v>
                </c:pt>
                <c:pt idx="345">
                  <c:v>-8.420506326114463E-4</c:v>
                </c:pt>
                <c:pt idx="346">
                  <c:v>-8.4205871015707867E-4</c:v>
                </c:pt>
                <c:pt idx="347">
                  <c:v>-8.4205132984849218E-4</c:v>
                </c:pt>
                <c:pt idx="348">
                  <c:v>-8.4205164004214073E-4</c:v>
                </c:pt>
                <c:pt idx="349">
                  <c:v>-8.4205194383601967E-4</c:v>
                </c:pt>
                <c:pt idx="350">
                  <c:v>-8.4265362249025255E-4</c:v>
                </c:pt>
                <c:pt idx="351">
                  <c:v>-8.4275283231638465E-4</c:v>
                </c:pt>
                <c:pt idx="352">
                  <c:v>-8.4275314912374277E-4</c:v>
                </c:pt>
                <c:pt idx="353">
                  <c:v>-8.42647039188682E-4</c:v>
                </c:pt>
                <c:pt idx="354">
                  <c:v>-8.4225215885513904E-4</c:v>
                </c:pt>
                <c:pt idx="355">
                  <c:v>-8.4205625333233503E-4</c:v>
                </c:pt>
                <c:pt idx="356">
                  <c:v>-8.4255076356742897E-4</c:v>
                </c:pt>
                <c:pt idx="357">
                  <c:v>-8.4245199660559766E-4</c:v>
                </c:pt>
                <c:pt idx="358">
                  <c:v>-8.4264996340144283E-4</c:v>
                </c:pt>
                <c:pt idx="359">
                  <c:v>-8.4265089820656502E-4</c:v>
                </c:pt>
                <c:pt idx="360">
                  <c:v>-8.4285647655013562E-4</c:v>
                </c:pt>
                <c:pt idx="361">
                  <c:v>-8.4315336421236786E-4</c:v>
                </c:pt>
                <c:pt idx="362">
                  <c:v>-8.4354934587516084E-4</c:v>
                </c:pt>
                <c:pt idx="363">
                  <c:v>-8.4374732926340013E-4</c:v>
                </c:pt>
                <c:pt idx="364">
                  <c:v>-8.448509469370924E-4</c:v>
                </c:pt>
                <c:pt idx="365">
                  <c:v>-8.4534562529836599E-4</c:v>
                </c:pt>
                <c:pt idx="366">
                  <c:v>-8.4574908492640599E-4</c:v>
                </c:pt>
                <c:pt idx="367">
                  <c:v>-8.4594718310371242E-4</c:v>
                </c:pt>
                <c:pt idx="368">
                  <c:v>-8.4625181692143947E-4</c:v>
                </c:pt>
                <c:pt idx="369">
                  <c:v>-8.4664872221873466E-4</c:v>
                </c:pt>
                <c:pt idx="370">
                  <c:v>-8.4674808578610872E-4</c:v>
                </c:pt>
                <c:pt idx="371">
                  <c:v>-8.4704513164679529E-4</c:v>
                </c:pt>
                <c:pt idx="372">
                  <c:v>-8.472509485838442E-4</c:v>
                </c:pt>
                <c:pt idx="373">
                  <c:v>-8.4714493641468991E-4</c:v>
                </c:pt>
                <c:pt idx="374">
                  <c:v>-8.4894088737852424E-4</c:v>
                </c:pt>
                <c:pt idx="375">
                  <c:v>-8.4924558023480312E-4</c:v>
                </c:pt>
                <c:pt idx="376">
                  <c:v>-8.4934488534715857E-4</c:v>
                </c:pt>
                <c:pt idx="377">
                  <c:v>-8.4954312684792921E-4</c:v>
                </c:pt>
                <c:pt idx="378">
                  <c:v>-8.5095032134008264E-4</c:v>
                </c:pt>
                <c:pt idx="379">
                  <c:v>-8.5164278042870745E-4</c:v>
                </c:pt>
                <c:pt idx="380">
                  <c:v>-8.5184045584674184E-4</c:v>
                </c:pt>
                <c:pt idx="381">
                  <c:v>-8.5244936796202708E-4</c:v>
                </c:pt>
                <c:pt idx="382">
                  <c:v>-8.5284527906170915E-4</c:v>
                </c:pt>
                <c:pt idx="383">
                  <c:v>-8.5334013888604954E-4</c:v>
                </c:pt>
                <c:pt idx="384">
                  <c:v>-8.5573758261647814E-4</c:v>
                </c:pt>
                <c:pt idx="385">
                  <c:v>-8.5624770228631686E-4</c:v>
                </c:pt>
                <c:pt idx="386">
                  <c:v>-8.5694042242900892E-4</c:v>
                </c:pt>
                <c:pt idx="387">
                  <c:v>-8.5743534620619233E-4</c:v>
                </c:pt>
                <c:pt idx="388">
                  <c:v>-8.5793796872069006E-4</c:v>
                </c:pt>
                <c:pt idx="389">
                  <c:v>-8.5943838481294943E-4</c:v>
                </c:pt>
                <c:pt idx="390">
                  <c:v>-8.5994112938503342E-4</c:v>
                </c:pt>
                <c:pt idx="391">
                  <c:v>-8.6033732579127165E-4</c:v>
                </c:pt>
                <c:pt idx="392">
                  <c:v>-8.6083239764789266E-4</c:v>
                </c:pt>
                <c:pt idx="393">
                  <c:v>-8.6123622153533308E-4</c:v>
                </c:pt>
                <c:pt idx="394">
                  <c:v>-8.6233355063269901E-4</c:v>
                </c:pt>
                <c:pt idx="395">
                  <c:v>-8.6272979136381434E-4</c:v>
                </c:pt>
                <c:pt idx="396">
                  <c:v>-8.6324021609651691E-4</c:v>
                </c:pt>
                <c:pt idx="397">
                  <c:v>-8.6373534684924813E-4</c:v>
                </c:pt>
                <c:pt idx="398">
                  <c:v>-8.6423057224038757E-4</c:v>
                </c:pt>
                <c:pt idx="399">
                  <c:v>-8.6673533853209861E-4</c:v>
                </c:pt>
                <c:pt idx="400">
                  <c:v>-8.667280904204322E-4</c:v>
                </c:pt>
                <c:pt idx="401">
                  <c:v>-8.672308863095779E-4</c:v>
                </c:pt>
                <c:pt idx="402">
                  <c:v>-8.675281533278012E-4</c:v>
                </c:pt>
                <c:pt idx="403">
                  <c:v>-8.6762766377246336E-4</c:v>
                </c:pt>
                <c:pt idx="404">
                  <c:v>-8.6803278247971072E-4</c:v>
                </c:pt>
                <c:pt idx="405">
                  <c:v>-8.6812477420417089E-4</c:v>
                </c:pt>
                <c:pt idx="406">
                  <c:v>-8.683308731032291E-4</c:v>
                </c:pt>
                <c:pt idx="407">
                  <c:v>-8.6903167296736861E-4</c:v>
                </c:pt>
                <c:pt idx="408">
                  <c:v>-8.6923034955999068E-4</c:v>
                </c:pt>
                <c:pt idx="409">
                  <c:v>-8.6952955944441523E-4</c:v>
                </c:pt>
                <c:pt idx="410">
                  <c:v>-8.6953029398340043E-4</c:v>
                </c:pt>
                <c:pt idx="411">
                  <c:v>-8.6992667636887067E-4</c:v>
                </c:pt>
                <c:pt idx="412">
                  <c:v>-8.7042975176288007E-4</c:v>
                </c:pt>
                <c:pt idx="413">
                  <c:v>-8.7073486994215799E-4</c:v>
                </c:pt>
                <c:pt idx="414">
                  <c:v>-8.7142211568058681E-4</c:v>
                </c:pt>
                <c:pt idx="415">
                  <c:v>-8.7162835725207444E-4</c:v>
                </c:pt>
                <c:pt idx="416">
                  <c:v>-8.7192589358575656E-4</c:v>
                </c:pt>
                <c:pt idx="417">
                  <c:v>-8.7223104315437006E-4</c:v>
                </c:pt>
                <c:pt idx="418">
                  <c:v>-8.7252867711828941E-4</c:v>
                </c:pt>
                <c:pt idx="419">
                  <c:v>-8.6353104273173553E-4</c:v>
                </c:pt>
                <c:pt idx="420">
                  <c:v>-8.6383621635499619E-4</c:v>
                </c:pt>
                <c:pt idx="421">
                  <c:v>-8.644380302230692E-4</c:v>
                </c:pt>
                <c:pt idx="422">
                  <c:v>-8.6452992312469057E-4</c:v>
                </c:pt>
                <c:pt idx="423">
                  <c:v>-8.4595068190329581E-4</c:v>
                </c:pt>
                <c:pt idx="424">
                  <c:v>-8.6543055886123543E-4</c:v>
                </c:pt>
                <c:pt idx="425">
                  <c:v>-8.6553015972568037E-4</c:v>
                </c:pt>
                <c:pt idx="426">
                  <c:v>-8.6543202862021662E-4</c:v>
                </c:pt>
                <c:pt idx="427">
                  <c:v>-8.657371604983144E-4</c:v>
                </c:pt>
                <c:pt idx="428">
                  <c:v>-8.468447408305213E-4</c:v>
                </c:pt>
                <c:pt idx="429">
                  <c:v>-8.6623470080282594E-4</c:v>
                </c:pt>
                <c:pt idx="430">
                  <c:v>-8.6633440832584174E-4</c:v>
                </c:pt>
                <c:pt idx="431">
                  <c:v>-8.6663203611347939E-4</c:v>
                </c:pt>
                <c:pt idx="432">
                  <c:v>-8.667317493568083E-4</c:v>
                </c:pt>
                <c:pt idx="433">
                  <c:v>-8.4785357342431755E-4</c:v>
                </c:pt>
                <c:pt idx="434">
                  <c:v>-8.6773228514203105E-4</c:v>
                </c:pt>
                <c:pt idx="435">
                  <c:v>-8.6793101819726548E-4</c:v>
                </c:pt>
                <c:pt idx="436">
                  <c:v>-8.6812976167816025E-4</c:v>
                </c:pt>
                <c:pt idx="437">
                  <c:v>-8.6843504572797769E-4</c:v>
                </c:pt>
                <c:pt idx="438">
                  <c:v>-8.4954795136049643E-4</c:v>
                </c:pt>
                <c:pt idx="439">
                  <c:v>-8.8941416175336574E-4</c:v>
                </c:pt>
                <c:pt idx="440">
                  <c:v>-8.8971204581245189E-4</c:v>
                </c:pt>
                <c:pt idx="441">
                  <c:v>-8.9001764047580423E-4</c:v>
                </c:pt>
                <c:pt idx="442">
                  <c:v>-9.1778205181858308E-4</c:v>
                </c:pt>
                <c:pt idx="443">
                  <c:v>-9.0010505808646446E-4</c:v>
                </c:pt>
                <c:pt idx="444">
                  <c:v>-9.0080622842991787E-4</c:v>
                </c:pt>
                <c:pt idx="445">
                  <c:v>-9.0099769475648905E-4</c:v>
                </c:pt>
                <c:pt idx="446">
                  <c:v>-9.2118451533107493E-4</c:v>
                </c:pt>
                <c:pt idx="447">
                  <c:v>-9.2128476540753734E-4</c:v>
                </c:pt>
                <c:pt idx="448">
                  <c:v>-9.0190190946615179E-4</c:v>
                </c:pt>
                <c:pt idx="449">
                  <c:v>-9.0199436753268802E-4</c:v>
                </c:pt>
                <c:pt idx="450">
                  <c:v>-9.0210214534713895E-4</c:v>
                </c:pt>
                <c:pt idx="451">
                  <c:v>-9.2178765374650862E-4</c:v>
                </c:pt>
                <c:pt idx="452">
                  <c:v>-9.2188800768622237E-4</c:v>
                </c:pt>
                <c:pt idx="453">
                  <c:v>-9.0249633516803485E-4</c:v>
                </c:pt>
                <c:pt idx="454">
                  <c:v>-9.0249755872906512E-4</c:v>
                </c:pt>
                <c:pt idx="455">
                  <c:v>-9.0250631120580849E-4</c:v>
                </c:pt>
                <c:pt idx="456">
                  <c:v>-9.2198755809702604E-4</c:v>
                </c:pt>
                <c:pt idx="457">
                  <c:v>-9.2208030941365315E-4</c:v>
                </c:pt>
                <c:pt idx="458">
                  <c:v>-9.0290045113394779E-4</c:v>
                </c:pt>
                <c:pt idx="459">
                  <c:v>-9.0300063261217201E-4</c:v>
                </c:pt>
                <c:pt idx="460">
                  <c:v>-9.0300186808944805E-4</c:v>
                </c:pt>
                <c:pt idx="461">
                  <c:v>-9.2248444269860119E-4</c:v>
                </c:pt>
                <c:pt idx="462">
                  <c:v>-9.223868160180837E-4</c:v>
                </c:pt>
                <c:pt idx="463">
                  <c:v>-9.0280203263681802E-4</c:v>
                </c:pt>
                <c:pt idx="464">
                  <c:v>-9.0319891597245849E-4</c:v>
                </c:pt>
                <c:pt idx="465">
                  <c:v>-9.0320005713251383E-4</c:v>
                </c:pt>
                <c:pt idx="466">
                  <c:v>-9.2268376788195994E-4</c:v>
                </c:pt>
                <c:pt idx="467">
                  <c:v>-9.2288302096898978E-4</c:v>
                </c:pt>
                <c:pt idx="468">
                  <c:v>-9.039974035218723E-4</c:v>
                </c:pt>
                <c:pt idx="469">
                  <c:v>-9.0410513243199819E-4</c:v>
                </c:pt>
                <c:pt idx="470">
                  <c:v>-9.043043080692037E-4</c:v>
                </c:pt>
                <c:pt idx="471">
                  <c:v>-9.2367540562376949E-4</c:v>
                </c:pt>
                <c:pt idx="472">
                  <c:v>-9.2367683700766978E-4</c:v>
                </c:pt>
                <c:pt idx="473">
                  <c:v>-9.0429519299251027E-4</c:v>
                </c:pt>
                <c:pt idx="474">
                  <c:v>-9.0449438210804534E-4</c:v>
                </c:pt>
                <c:pt idx="475">
                  <c:v>-9.0460221377075545E-4</c:v>
                </c:pt>
                <c:pt idx="476">
                  <c:v>-9.2427945181172699E-4</c:v>
                </c:pt>
                <c:pt idx="477">
                  <c:v>-9.2437986393067995E-4</c:v>
                </c:pt>
                <c:pt idx="478">
                  <c:v>-9.0510360341866658E-4</c:v>
                </c:pt>
                <c:pt idx="479">
                  <c:v>-9.0540197368593756E-4</c:v>
                </c:pt>
                <c:pt idx="480">
                  <c:v>-9.0560127864525164E-4</c:v>
                </c:pt>
                <c:pt idx="481">
                  <c:v>-9.2577503861657195E-4</c:v>
                </c:pt>
                <c:pt idx="482">
                  <c:v>-9.2587556380263614E-4</c:v>
                </c:pt>
                <c:pt idx="483">
                  <c:v>-9.0630080641840305E-4</c:v>
                </c:pt>
                <c:pt idx="484">
                  <c:v>-9.061953695727043E-4</c:v>
                </c:pt>
                <c:pt idx="485">
                  <c:v>-9.0619654011447892E-4</c:v>
                </c:pt>
                <c:pt idx="486">
                  <c:v>-9.2578463984616111E-4</c:v>
                </c:pt>
                <c:pt idx="487">
                  <c:v>-9.2597644671676971E-4</c:v>
                </c:pt>
                <c:pt idx="488">
                  <c:v>-9.0689550867606439E-4</c:v>
                </c:pt>
                <c:pt idx="489">
                  <c:v>-9.0710237824187523E-4</c:v>
                </c:pt>
                <c:pt idx="490">
                  <c:v>-9.0719502029878996E-4</c:v>
                </c:pt>
                <c:pt idx="491">
                  <c:v>-9.2677701659460432E-4</c:v>
                </c:pt>
                <c:pt idx="492">
                  <c:v>-9.2698408294566992E-4</c:v>
                </c:pt>
                <c:pt idx="493">
                  <c:v>-9.07795264415312E-4</c:v>
                </c:pt>
                <c:pt idx="494">
                  <c:v>-9.0789554089754088E-4</c:v>
                </c:pt>
                <c:pt idx="495">
                  <c:v>-9.0789681113845333E-4</c:v>
                </c:pt>
                <c:pt idx="496">
                  <c:v>-9.2757923414366061E-4</c:v>
                </c:pt>
                <c:pt idx="497">
                  <c:v>-9.2737498727990531E-4</c:v>
                </c:pt>
                <c:pt idx="498">
                  <c:v>-9.0749165039072377E-4</c:v>
                </c:pt>
                <c:pt idx="499">
                  <c:v>-9.0759963667952359E-4</c:v>
                </c:pt>
                <c:pt idx="500">
                  <c:v>-9.0770000907691717E-4</c:v>
                </c:pt>
                <c:pt idx="501">
                  <c:v>-9.2757444941571343E-4</c:v>
                </c:pt>
                <c:pt idx="502">
                  <c:v>-9.2768263560349951E-4</c:v>
                </c:pt>
                <c:pt idx="503">
                  <c:v>-8.881094737694939E-4</c:v>
                </c:pt>
                <c:pt idx="504">
                  <c:v>-8.882172797649579E-4</c:v>
                </c:pt>
                <c:pt idx="505">
                  <c:v>-8.8821082862788892E-4</c:v>
                </c:pt>
                <c:pt idx="506">
                  <c:v>-8.8052095674184816E-4</c:v>
                </c:pt>
                <c:pt idx="507">
                  <c:v>-8.8062099001040561E-4</c:v>
                </c:pt>
                <c:pt idx="508">
                  <c:v>-8.8072093121549511E-4</c:v>
                </c:pt>
                <c:pt idx="509">
                  <c:v>-8.8072193551202993E-4</c:v>
                </c:pt>
                <c:pt idx="510">
                  <c:v>-8.6083333006115037E-4</c:v>
                </c:pt>
                <c:pt idx="511">
                  <c:v>-8.8052028183516207E-4</c:v>
                </c:pt>
                <c:pt idx="512">
                  <c:v>-8.8071943353185134E-4</c:v>
                </c:pt>
                <c:pt idx="513">
                  <c:v>-8.8092621364976864E-4</c:v>
                </c:pt>
                <c:pt idx="514">
                  <c:v>-8.8111784256950099E-4</c:v>
                </c:pt>
                <c:pt idx="515">
                  <c:v>-9.0150202809757829E-4</c:v>
                </c:pt>
                <c:pt idx="516">
                  <c:v>-9.0170148432633379E-4</c:v>
                </c:pt>
                <c:pt idx="517">
                  <c:v>-9.0190094446362945E-4</c:v>
                </c:pt>
                <c:pt idx="518">
                  <c:v>-9.020012824622059E-4</c:v>
                </c:pt>
                <c:pt idx="519">
                  <c:v>-9.220794449303904E-4</c:v>
                </c:pt>
                <c:pt idx="520">
                  <c:v>-9.0279891225220066E-4</c:v>
                </c:pt>
                <c:pt idx="521">
                  <c:v>-9.0310515113944945E-4</c:v>
                </c:pt>
                <c:pt idx="522">
                  <c:v>-9.0340377050102116E-4</c:v>
                </c:pt>
                <c:pt idx="523">
                  <c:v>-9.0370239571546662E-4</c:v>
                </c:pt>
                <c:pt idx="524">
                  <c:v>-9.3287184367907283E-4</c:v>
                </c:pt>
                <c:pt idx="525">
                  <c:v>-9.0369951646374069E-4</c:v>
                </c:pt>
                <c:pt idx="526">
                  <c:v>-9.0389893188391746E-4</c:v>
                </c:pt>
                <c:pt idx="527">
                  <c:v>-9.0419740014047179E-4</c:v>
                </c:pt>
                <c:pt idx="528">
                  <c:v>-9.045034933498064E-4</c:v>
                </c:pt>
                <c:pt idx="529">
                  <c:v>-9.2448526742250348E-4</c:v>
                </c:pt>
                <c:pt idx="530">
                  <c:v>-9.0540028612307033E-4</c:v>
                </c:pt>
                <c:pt idx="531">
                  <c:v>-9.0559973152315454E-4</c:v>
                </c:pt>
                <c:pt idx="532">
                  <c:v>-9.0579918079303212E-4</c:v>
                </c:pt>
                <c:pt idx="533">
                  <c:v>-9.0609778020422915E-4</c:v>
                </c:pt>
                <c:pt idx="534">
                  <c:v>-9.2608101650781816E-4</c:v>
                </c:pt>
                <c:pt idx="535">
                  <c:v>-9.0669759785189097E-4</c:v>
                </c:pt>
                <c:pt idx="536">
                  <c:v>-9.0710308860908473E-4</c:v>
                </c:pt>
                <c:pt idx="537">
                  <c:v>-9.0730265604743732E-4</c:v>
                </c:pt>
                <c:pt idx="538">
                  <c:v>-9.0760138046097616E-4</c:v>
                </c:pt>
                <c:pt idx="539">
                  <c:v>-9.2777668119381485E-4</c:v>
                </c:pt>
                <c:pt idx="540">
                  <c:v>-9.0819394761709749E-4</c:v>
                </c:pt>
                <c:pt idx="541">
                  <c:v>-9.0839353752281138E-4</c:v>
                </c:pt>
                <c:pt idx="542">
                  <c:v>-9.0849406251236609E-4</c:v>
                </c:pt>
                <c:pt idx="543">
                  <c:v>-9.0859467958837037E-4</c:v>
                </c:pt>
                <c:pt idx="544">
                  <c:v>-9.3856552198190446E-4</c:v>
                </c:pt>
                <c:pt idx="545">
                  <c:v>-9.1869215528805892E-4</c:v>
                </c:pt>
                <c:pt idx="546">
                  <c:v>-9.1848766565172379E-4</c:v>
                </c:pt>
                <c:pt idx="547">
                  <c:v>-9.1878635589714985E-4</c:v>
                </c:pt>
                <c:pt idx="548">
                  <c:v>-9.3667579313594374E-4</c:v>
                </c:pt>
                <c:pt idx="549">
                  <c:v>-9.3737142762129189E-4</c:v>
                </c:pt>
                <c:pt idx="550">
                  <c:v>-9.181824957319451E-4</c:v>
                </c:pt>
                <c:pt idx="551">
                  <c:v>-9.1848900415292256E-4</c:v>
                </c:pt>
                <c:pt idx="552">
                  <c:v>-9.1858955183166113E-4</c:v>
                </c:pt>
                <c:pt idx="553">
                  <c:v>-9.3876892520672328E-4</c:v>
                </c:pt>
                <c:pt idx="554">
                  <c:v>-9.3886966649847636E-4</c:v>
                </c:pt>
                <c:pt idx="555">
                  <c:v>-9.1948892421511719E-4</c:v>
                </c:pt>
                <c:pt idx="556">
                  <c:v>-9.195818584937232E-4</c:v>
                </c:pt>
                <c:pt idx="557">
                  <c:v>-9.1978922528146434E-4</c:v>
                </c:pt>
                <c:pt idx="558">
                  <c:v>-9.3956564225139427E-4</c:v>
                </c:pt>
                <c:pt idx="559">
                  <c:v>-9.3977320886551308E-4</c:v>
                </c:pt>
                <c:pt idx="560">
                  <c:v>-9.2048281130507892E-4</c:v>
                </c:pt>
                <c:pt idx="561">
                  <c:v>-9.208884781233273E-4</c:v>
                </c:pt>
                <c:pt idx="562">
                  <c:v>-9.2138561784527173E-4</c:v>
                </c:pt>
                <c:pt idx="563">
                  <c:v>-9.4166705985432309E-4</c:v>
                </c:pt>
                <c:pt idx="564">
                  <c:v>-9.4185950215786018E-4</c:v>
                </c:pt>
                <c:pt idx="565">
                  <c:v>-9.2228579892295048E-4</c:v>
                </c:pt>
                <c:pt idx="566">
                  <c:v>-9.2247805689638085E-4</c:v>
                </c:pt>
                <c:pt idx="567">
                  <c:v>-9.2258637910702657E-4</c:v>
                </c:pt>
                <c:pt idx="568">
                  <c:v>-9.4186203829027537E-4</c:v>
                </c:pt>
                <c:pt idx="569">
                  <c:v>-9.4186372914484284E-4</c:v>
                </c:pt>
                <c:pt idx="570">
                  <c:v>-9.2218938017440966E-4</c:v>
                </c:pt>
                <c:pt idx="571">
                  <c:v>-9.2228236013458531E-4</c:v>
                </c:pt>
                <c:pt idx="572">
                  <c:v>-9.2258127378808119E-4</c:v>
                </c:pt>
                <c:pt idx="573">
                  <c:v>-9.4266702856116158E-4</c:v>
                </c:pt>
                <c:pt idx="574">
                  <c:v>-9.4286703752499701E-4</c:v>
                </c:pt>
                <c:pt idx="575">
                  <c:v>-9.2348116632612332E-4</c:v>
                </c:pt>
                <c:pt idx="576">
                  <c:v>-9.2358188110408523E-4</c:v>
                </c:pt>
                <c:pt idx="577">
                  <c:v>-9.2368260492481369E-4</c:v>
                </c:pt>
                <c:pt idx="578">
                  <c:v>-9.437623083772273E-4</c:v>
                </c:pt>
                <c:pt idx="579">
                  <c:v>-9.0420050623152282E-4</c:v>
                </c:pt>
                <c:pt idx="580">
                  <c:v>-9.043011278873081E-4</c:v>
                </c:pt>
                <c:pt idx="581">
                  <c:v>-9.0440175155515057E-4</c:v>
                </c:pt>
                <c:pt idx="582">
                  <c:v>-9.0460150303439679E-4</c:v>
                </c:pt>
                <c:pt idx="583">
                  <c:v>-9.049032224305309E-4</c:v>
                </c:pt>
                <c:pt idx="584">
                  <c:v>-9.0500376732527421E-4</c:v>
                </c:pt>
                <c:pt idx="585">
                  <c:v>-9.0499764790197279E-4</c:v>
                </c:pt>
                <c:pt idx="586">
                  <c:v>-9.0489993238584976E-4</c:v>
                </c:pt>
                <c:pt idx="587">
                  <c:v>-9.0480221489608326E-4</c:v>
                </c:pt>
                <c:pt idx="588">
                  <c:v>-8.9570868070099063E-4</c:v>
                </c:pt>
                <c:pt idx="589">
                  <c:v>-9.0539469958295093E-4</c:v>
                </c:pt>
                <c:pt idx="590">
                  <c:v>-9.0539602996919655E-4</c:v>
                </c:pt>
                <c:pt idx="591">
                  <c:v>-9.0529813206119414E-4</c:v>
                </c:pt>
                <c:pt idx="592">
                  <c:v>-9.0510100291218976E-4</c:v>
                </c:pt>
                <c:pt idx="593">
                  <c:v>-9.0509735229515886E-4</c:v>
                </c:pt>
                <c:pt idx="594">
                  <c:v>-9.0499944658406495E-4</c:v>
                </c:pt>
                <c:pt idx="595">
                  <c:v>-9.0500077314903393E-4</c:v>
                </c:pt>
                <c:pt idx="596">
                  <c:v>-9.0489523106607184E-4</c:v>
                </c:pt>
                <c:pt idx="597">
                  <c:v>-9.046981740449267E-4</c:v>
                </c:pt>
                <c:pt idx="598">
                  <c:v>-9.0459536184295253E-4</c:v>
                </c:pt>
                <c:pt idx="599">
                  <c:v>-9.0460431143679632E-4</c:v>
                </c:pt>
                <c:pt idx="600">
                  <c:v>-9.0429291911642284E-4</c:v>
                </c:pt>
                <c:pt idx="601">
                  <c:v>-9.0419508640127155E-4</c:v>
                </c:pt>
                <c:pt idx="602">
                  <c:v>-9.0399809831809286E-4</c:v>
                </c:pt>
                <c:pt idx="603">
                  <c:v>-9.0380381877197546E-4</c:v>
                </c:pt>
                <c:pt idx="604">
                  <c:v>-9.0369834187153941E-4</c:v>
                </c:pt>
                <c:pt idx="605">
                  <c:v>-9.0360049733084757E-4</c:v>
                </c:pt>
                <c:pt idx="606">
                  <c:v>-9.0350265083272152E-4</c:v>
                </c:pt>
                <c:pt idx="607">
                  <c:v>-9.0329800732391607E-4</c:v>
                </c:pt>
                <c:pt idx="608">
                  <c:v>-9.0309736628735315E-4</c:v>
                </c:pt>
                <c:pt idx="609">
                  <c:v>-9.0309876393257493E-4</c:v>
                </c:pt>
                <c:pt idx="610">
                  <c:v>-9.0340528890076044E-4</c:v>
                </c:pt>
                <c:pt idx="611">
                  <c:v>-9.0310119385472731E-4</c:v>
                </c:pt>
                <c:pt idx="612">
                  <c:v>-9.0519530474597598E-4</c:v>
                </c:pt>
                <c:pt idx="613">
                  <c:v>-9.0470077903792578E-4</c:v>
                </c:pt>
                <c:pt idx="614">
                  <c:v>-9.0470209610582497E-4</c:v>
                </c:pt>
                <c:pt idx="615">
                  <c:v>-9.0449743862053289E-4</c:v>
                </c:pt>
                <c:pt idx="616">
                  <c:v>-9.0449876060849643E-4</c:v>
                </c:pt>
                <c:pt idx="617">
                  <c:v>-9.0349505028308741E-4</c:v>
                </c:pt>
                <c:pt idx="618">
                  <c:v>-9.0350399147398619E-4</c:v>
                </c:pt>
                <c:pt idx="619">
                  <c:v>-9.0349766763675454E-4</c:v>
                </c:pt>
                <c:pt idx="620">
                  <c:v>-9.0349897290298298E-4</c:v>
                </c:pt>
                <c:pt idx="621">
                  <c:v>-9.0350037478459377E-4</c:v>
                </c:pt>
                <c:pt idx="622">
                  <c:v>-9.0390130238093835E-4</c:v>
                </c:pt>
                <c:pt idx="623">
                  <c:v>-9.0399434641941223E-4</c:v>
                </c:pt>
                <c:pt idx="624">
                  <c:v>-9.0390419716690484E-4</c:v>
                </c:pt>
                <c:pt idx="625">
                  <c:v>-9.0379877967550204E-4</c:v>
                </c:pt>
                <c:pt idx="626">
                  <c:v>-9.0389954506964187E-4</c:v>
                </c:pt>
                <c:pt idx="627">
                  <c:v>-9.0359845700282992E-4</c:v>
                </c:pt>
                <c:pt idx="628">
                  <c:v>-9.0350066125355344E-4</c:v>
                </c:pt>
                <c:pt idx="629">
                  <c:v>-9.0339523330640326E-4</c:v>
                </c:pt>
                <c:pt idx="630">
                  <c:v>-9.0330507072999833E-4</c:v>
                </c:pt>
                <c:pt idx="631">
                  <c:v>-9.0329883359330232E-4</c:v>
                </c:pt>
                <c:pt idx="632">
                  <c:v>-9.0320300827029243E-4</c:v>
                </c:pt>
                <c:pt idx="633">
                  <c:v>-9.0320431086710062E-4</c:v>
                </c:pt>
                <c:pt idx="634">
                  <c:v>-9.0319798273763574E-4</c:v>
                </c:pt>
                <c:pt idx="635">
                  <c:v>-9.032985757482237E-4</c:v>
                </c:pt>
                <c:pt idx="636">
                  <c:v>-9.0329996901961085E-4</c:v>
                </c:pt>
                <c:pt idx="637">
                  <c:v>-9.0329642817676969E-4</c:v>
                </c:pt>
                <c:pt idx="638">
                  <c:v>-9.0329782148212967E-4</c:v>
                </c:pt>
                <c:pt idx="639">
                  <c:v>-9.0329921481524522E-4</c:v>
                </c:pt>
                <c:pt idx="640">
                  <c:v>-9.0339990555432514E-4</c:v>
                </c:pt>
                <c:pt idx="641">
                  <c:v>-9.0339366850078484E-4</c:v>
                </c:pt>
                <c:pt idx="642">
                  <c:v>-9.0319933857341272E-4</c:v>
                </c:pt>
                <c:pt idx="643">
                  <c:v>-9.0309388658804668E-4</c:v>
                </c:pt>
                <c:pt idx="644">
                  <c:v>-9.0299606429433688E-4</c:v>
                </c:pt>
                <c:pt idx="645">
                  <c:v>-9.028982400249852E-4</c:v>
                </c:pt>
                <c:pt idx="646">
                  <c:v>-9.0280041377976961E-4</c:v>
                </c:pt>
                <c:pt idx="647">
                  <c:v>-9.0279703680962164E-4</c:v>
                </c:pt>
                <c:pt idx="648">
                  <c:v>-9.0289773467211454E-4</c:v>
                </c:pt>
                <c:pt idx="649">
                  <c:v>-9.0279990351005424E-4</c:v>
                </c:pt>
                <c:pt idx="650">
                  <c:v>-9.0290060342501643E-4</c:v>
                </c:pt>
                <c:pt idx="651">
                  <c:v>-9.030013053539232E-4</c:v>
                </c:pt>
                <c:pt idx="652">
                  <c:v>-9.0309706324687156E-4</c:v>
                </c:pt>
                <c:pt idx="653">
                  <c:v>-9.031058185893226E-4</c:v>
                </c:pt>
                <c:pt idx="654">
                  <c:v>-9.0290084629318645E-4</c:v>
                </c:pt>
                <c:pt idx="655">
                  <c:v>-9.028027383808368E-4</c:v>
                </c:pt>
                <c:pt idx="656">
                  <c:v>-9.0289553734479444E-4</c:v>
                </c:pt>
                <c:pt idx="657">
                  <c:v>-9.0260146399012697E-4</c:v>
                </c:pt>
                <c:pt idx="658">
                  <c:v>-9.0260267143593698E-4</c:v>
                </c:pt>
                <c:pt idx="659">
                  <c:v>-9.0259632823996849E-4</c:v>
                </c:pt>
                <c:pt idx="660">
                  <c:v>-9.0270449422991117E-4</c:v>
                </c:pt>
                <c:pt idx="661">
                  <c:v>-9.0279738830556511E-4</c:v>
                </c:pt>
                <c:pt idx="662">
                  <c:v>-9.0280127874320382E-4</c:v>
                </c:pt>
                <c:pt idx="663">
                  <c:v>-9.0280257790698037E-4</c:v>
                </c:pt>
                <c:pt idx="664">
                  <c:v>-9.0280387019714414E-4</c:v>
                </c:pt>
                <c:pt idx="665">
                  <c:v>-9.0280516941210198E-4</c:v>
                </c:pt>
                <c:pt idx="666">
                  <c:v>-9.0279882765742503E-4</c:v>
                </c:pt>
                <c:pt idx="667">
                  <c:v>-9.029021439819207E-4</c:v>
                </c:pt>
                <c:pt idx="668">
                  <c:v>-9.0290343733512302E-4</c:v>
                </c:pt>
                <c:pt idx="669">
                  <c:v>-9.0300407547339034E-4</c:v>
                </c:pt>
                <c:pt idx="670">
                  <c:v>-9.0299773531099525E-4</c:v>
                </c:pt>
                <c:pt idx="671">
                  <c:v>-9.030983694758854E-4</c:v>
                </c:pt>
                <c:pt idx="672">
                  <c:v>-8.9331447217955162E-4</c:v>
                </c:pt>
                <c:pt idx="673">
                  <c:v>-8.9340746918575853E-4</c:v>
                </c:pt>
                <c:pt idx="674">
                  <c:v>-8.9350811003374719E-4</c:v>
                </c:pt>
                <c:pt idx="675">
                  <c:v>-8.9230924164607206E-4</c:v>
                </c:pt>
                <c:pt idx="676">
                  <c:v>-8.6933247336284936E-4</c:v>
                </c:pt>
                <c:pt idx="677">
                  <c:v>-8.8361700732386694E-4</c:v>
                </c:pt>
                <c:pt idx="678">
                  <c:v>-8.8261695127433981E-4</c:v>
                </c:pt>
                <c:pt idx="679">
                  <c:v>-8.8172387055096557E-4</c:v>
                </c:pt>
                <c:pt idx="680">
                  <c:v>-8.8091484731056546E-4</c:v>
                </c:pt>
                <c:pt idx="681">
                  <c:v>-8.6103852419805449E-4</c:v>
                </c:pt>
                <c:pt idx="682">
                  <c:v>-8.7851868051358473E-4</c:v>
                </c:pt>
                <c:pt idx="683">
                  <c:v>-8.778242236900935E-4</c:v>
                </c:pt>
                <c:pt idx="684">
                  <c:v>-8.775271908348925E-4</c:v>
                </c:pt>
                <c:pt idx="685">
                  <c:v>-8.7752068412672024E-4</c:v>
                </c:pt>
                <c:pt idx="686">
                  <c:v>-8.5763611236622239E-4</c:v>
                </c:pt>
                <c:pt idx="687">
                  <c:v>-8.7772402554009421E-4</c:v>
                </c:pt>
                <c:pt idx="688">
                  <c:v>-8.7761815507403362E-4</c:v>
                </c:pt>
                <c:pt idx="689">
                  <c:v>-8.7732118656091984E-4</c:v>
                </c:pt>
                <c:pt idx="690">
                  <c:v>-8.7702438640524516E-4</c:v>
                </c:pt>
                <c:pt idx="691">
                  <c:v>-8.5693957592214431E-4</c:v>
                </c:pt>
                <c:pt idx="692">
                  <c:v>-8.9590936596961601E-4</c:v>
                </c:pt>
                <c:pt idx="693">
                  <c:v>-8.958113072254914E-4</c:v>
                </c:pt>
                <c:pt idx="694">
                  <c:v>-8.9570560926255371E-4</c:v>
                </c:pt>
                <c:pt idx="695">
                  <c:v>-9.2408212113148647E-4</c:v>
                </c:pt>
                <c:pt idx="696">
                  <c:v>-9.052961368172241E-4</c:v>
                </c:pt>
                <c:pt idx="697">
                  <c:v>-9.0529745440837139E-4</c:v>
                </c:pt>
                <c:pt idx="698">
                  <c:v>-9.0529877202527587E-4</c:v>
                </c:pt>
                <c:pt idx="699">
                  <c:v>-9.0520079942957299E-4</c:v>
                </c:pt>
                <c:pt idx="700">
                  <c:v>-9.0510282487465954E-4</c:v>
                </c:pt>
                <c:pt idx="701">
                  <c:v>-8.8511544343172766E-4</c:v>
                </c:pt>
                <c:pt idx="702">
                  <c:v>-8.8542244980027718E-4</c:v>
                </c:pt>
                <c:pt idx="703">
                  <c:v>-8.8541601364866551E-4</c:v>
                </c:pt>
                <c:pt idx="704">
                  <c:v>-9.0520300137919563E-4</c:v>
                </c:pt>
                <c:pt idx="705">
                  <c:v>-9.0540318446219459E-4</c:v>
                </c:pt>
                <c:pt idx="706">
                  <c:v>-8.8581962283662552E-4</c:v>
                </c:pt>
                <c:pt idx="707">
                  <c:v>-8.8592022794253822E-4</c:v>
                </c:pt>
                <c:pt idx="708">
                  <c:v>-8.8621962129642462E-4</c:v>
                </c:pt>
                <c:pt idx="709">
                  <c:v>-9.063978430071673E-4</c:v>
                </c:pt>
                <c:pt idx="710">
                  <c:v>-9.0649865692726816E-4</c:v>
                </c:pt>
                <c:pt idx="711">
                  <c:v>-8.8651634294734105E-4</c:v>
                </c:pt>
                <c:pt idx="712">
                  <c:v>-8.8651765110114855E-4</c:v>
                </c:pt>
                <c:pt idx="713">
                  <c:v>-8.8661062509642896E-4</c:v>
                </c:pt>
                <c:pt idx="714">
                  <c:v>-9.0679800375970121E-4</c:v>
                </c:pt>
                <c:pt idx="715">
                  <c:v>-9.0679187049813592E-4</c:v>
                </c:pt>
                <c:pt idx="716">
                  <c:v>-8.868157100134777E-4</c:v>
                </c:pt>
                <c:pt idx="717">
                  <c:v>-8.8701548076430825E-4</c:v>
                </c:pt>
                <c:pt idx="718">
                  <c:v>-8.8741406263626033E-4</c:v>
                </c:pt>
                <c:pt idx="719">
                  <c:v>-9.078930707524524E-4</c:v>
                </c:pt>
                <c:pt idx="720">
                  <c:v>-9.0829959992488885E-4</c:v>
                </c:pt>
                <c:pt idx="721">
                  <c:v>-8.8911687345671897E-4</c:v>
                </c:pt>
                <c:pt idx="722">
                  <c:v>-8.8940853430097278E-4</c:v>
                </c:pt>
                <c:pt idx="723">
                  <c:v>-8.8961616311111769E-4</c:v>
                </c:pt>
                <c:pt idx="724">
                  <c:v>-9.1008913119650092E-4</c:v>
                </c:pt>
                <c:pt idx="725">
                  <c:v>-9.1029696876621102E-4</c:v>
                </c:pt>
                <c:pt idx="726">
                  <c:v>-8.9071557000808266E-4</c:v>
                </c:pt>
                <c:pt idx="727">
                  <c:v>-8.9090793555424153E-4</c:v>
                </c:pt>
                <c:pt idx="728">
                  <c:v>-8.9110794584423836E-4</c:v>
                </c:pt>
                <c:pt idx="729">
                  <c:v>-9.1168941710662033E-4</c:v>
                </c:pt>
                <c:pt idx="730">
                  <c:v>-9.119967076098856E-4</c:v>
                </c:pt>
                <c:pt idx="731">
                  <c:v>-8.9230710587273609E-4</c:v>
                </c:pt>
                <c:pt idx="732">
                  <c:v>-8.926065685800344E-4</c:v>
                </c:pt>
                <c:pt idx="733">
                  <c:v>-8.928067051798827E-4</c:v>
                </c:pt>
                <c:pt idx="734">
                  <c:v>-9.1358847616707095E-4</c:v>
                </c:pt>
                <c:pt idx="735">
                  <c:v>-9.1389589772095103E-4</c:v>
                </c:pt>
                <c:pt idx="736">
                  <c:v>-8.9400611518131168E-4</c:v>
                </c:pt>
                <c:pt idx="737">
                  <c:v>-8.9360975822960764E-4</c:v>
                </c:pt>
                <c:pt idx="738">
                  <c:v>-8.935040551036888E-4</c:v>
                </c:pt>
                <c:pt idx="739">
                  <c:v>-9.1528792036243978E-4</c:v>
                </c:pt>
                <c:pt idx="740">
                  <c:v>-9.1868252973414943E-4</c:v>
                </c:pt>
                <c:pt idx="741">
                  <c:v>-9.0459979303325611E-4</c:v>
                </c:pt>
                <c:pt idx="742">
                  <c:v>-9.0580111311366895E-4</c:v>
                </c:pt>
                <c:pt idx="743">
                  <c:v>-9.0679602186216623E-4</c:v>
                </c:pt>
                <c:pt idx="744">
                  <c:v>-9.2777871231242148E-4</c:v>
                </c:pt>
                <c:pt idx="745">
                  <c:v>-9.2878157869036304E-4</c:v>
                </c:pt>
                <c:pt idx="746">
                  <c:v>-9.1149597873829702E-4</c:v>
                </c:pt>
                <c:pt idx="747">
                  <c:v>-9.1239172883139652E-4</c:v>
                </c:pt>
                <c:pt idx="748">
                  <c:v>-9.1298951861662481E-4</c:v>
                </c:pt>
                <c:pt idx="749">
                  <c:v>-9.3346957156958954E-4</c:v>
                </c:pt>
                <c:pt idx="750">
                  <c:v>-9.3357844631614118E-4</c:v>
                </c:pt>
                <c:pt idx="751">
                  <c:v>-9.1359390116907413E-4</c:v>
                </c:pt>
                <c:pt idx="752">
                  <c:v>-9.1389365301230985E-4</c:v>
                </c:pt>
                <c:pt idx="753">
                  <c:v>-9.143921362461116E-4</c:v>
                </c:pt>
                <c:pt idx="754">
                  <c:v>-9.3497299646083665E-4</c:v>
                </c:pt>
                <c:pt idx="755">
                  <c:v>-9.3537233138130116E-4</c:v>
                </c:pt>
                <c:pt idx="756">
                  <c:v>-8.9660562802484911E-4</c:v>
                </c:pt>
                <c:pt idx="757">
                  <c:v>-8.9680577668516115E-4</c:v>
                </c:pt>
                <c:pt idx="758">
                  <c:v>-9.3516890621425652E-4</c:v>
                </c:pt>
                <c:pt idx="759">
                  <c:v>-8.9680318700346984E-4</c:v>
                </c:pt>
                <c:pt idx="760">
                  <c:v>-8.8651373233605835E-4</c:v>
                </c:pt>
                <c:pt idx="761">
                  <c:v>-8.8671379478799661E-4</c:v>
                </c:pt>
                <c:pt idx="762">
                  <c:v>-8.8691386120198779E-4</c:v>
                </c:pt>
                <c:pt idx="763">
                  <c:v>-8.8721340182551511E-4</c:v>
                </c:pt>
                <c:pt idx="764">
                  <c:v>-9.0799637076910411E-4</c:v>
                </c:pt>
                <c:pt idx="765">
                  <c:v>-9.0829611911902308E-4</c:v>
                </c:pt>
                <c:pt idx="766">
                  <c:v>-9.0819070407111013E-4</c:v>
                </c:pt>
                <c:pt idx="767">
                  <c:v>-9.0829925416135993E-4</c:v>
                </c:pt>
                <c:pt idx="768">
                  <c:v>-8.8851514705456935E-4</c:v>
                </c:pt>
                <c:pt idx="769">
                  <c:v>-9.0859585535141285E-4</c:v>
                </c:pt>
                <c:pt idx="770">
                  <c:v>-9.0849808232340568E-4</c:v>
                </c:pt>
                <c:pt idx="771">
                  <c:v>-9.0859143472854509E-4</c:v>
                </c:pt>
                <c:pt idx="772">
                  <c:v>-9.0849365966028106E-4</c:v>
                </c:pt>
                <c:pt idx="773">
                  <c:v>-8.8851709996329298E-4</c:v>
                </c:pt>
                <c:pt idx="774">
                  <c:v>-9.090965720998101E-4</c:v>
                </c:pt>
                <c:pt idx="775">
                  <c:v>-9.09197589009203E-4</c:v>
                </c:pt>
                <c:pt idx="776">
                  <c:v>-9.0929095509084679E-4</c:v>
                </c:pt>
                <c:pt idx="777">
                  <c:v>-9.0939962199176883E-4</c:v>
                </c:pt>
                <c:pt idx="778">
                  <c:v>-8.8930697692002347E-4</c:v>
                </c:pt>
                <c:pt idx="779">
                  <c:v>-9.0979606614738362E-4</c:v>
                </c:pt>
                <c:pt idx="780">
                  <c:v>-9.1948663192842339E-4</c:v>
                </c:pt>
                <c:pt idx="781">
                  <c:v>-9.0959222818443042E-4</c:v>
                </c:pt>
                <c:pt idx="782">
                  <c:v>-9.0939476636908712E-4</c:v>
                </c:pt>
                <c:pt idx="783">
                  <c:v>-8.8921642032602222E-4</c:v>
                </c:pt>
                <c:pt idx="784">
                  <c:v>-9.1908294469833507E-4</c:v>
                </c:pt>
                <c:pt idx="785">
                  <c:v>-9.1898516752975112E-4</c:v>
                </c:pt>
                <c:pt idx="786">
                  <c:v>-9.1888728990219271E-4</c:v>
                </c:pt>
                <c:pt idx="787">
                  <c:v>-9.1888126565664585E-4</c:v>
                </c:pt>
                <c:pt idx="788">
                  <c:v>-9.1858771620190183E-4</c:v>
                </c:pt>
                <c:pt idx="789">
                  <c:v>-9.1848983664022388E-4</c:v>
                </c:pt>
                <c:pt idx="790">
                  <c:v>-9.1838430068569288E-4</c:v>
                </c:pt>
                <c:pt idx="791">
                  <c:v>-9.1848542684669354E-4</c:v>
                </c:pt>
                <c:pt idx="792">
                  <c:v>-9.1849470022153934E-4</c:v>
                </c:pt>
                <c:pt idx="793">
                  <c:v>-9.1889014886092912E-4</c:v>
                </c:pt>
                <c:pt idx="794">
                  <c:v>-9.188842154143062E-4</c:v>
                </c:pt>
                <c:pt idx="795">
                  <c:v>-9.1878641530840355E-4</c:v>
                </c:pt>
                <c:pt idx="796">
                  <c:v>-9.1868861320798523E-4</c:v>
                </c:pt>
                <c:pt idx="797">
                  <c:v>-9.1858316103010651E-4</c:v>
                </c:pt>
                <c:pt idx="798">
                  <c:v>-9.2857862514705847E-4</c:v>
                </c:pt>
                <c:pt idx="799">
                  <c:v>-9.2837384140920243E-4</c:v>
                </c:pt>
                <c:pt idx="800">
                  <c:v>-9.282759463007384E-4</c:v>
                </c:pt>
                <c:pt idx="801">
                  <c:v>-9.28376817178167E-4</c:v>
                </c:pt>
                <c:pt idx="802">
                  <c:v>-9.4816065896452528E-4</c:v>
                </c:pt>
                <c:pt idx="803">
                  <c:v>-9.2787822680440168E-4</c:v>
                </c:pt>
                <c:pt idx="804">
                  <c:v>-9.2778041321595062E-4</c:v>
                </c:pt>
                <c:pt idx="805">
                  <c:v>-9.2757542016708161E-4</c:v>
                </c:pt>
                <c:pt idx="806">
                  <c:v>-9.2737807199383404E-4</c:v>
                </c:pt>
                <c:pt idx="807">
                  <c:v>-9.470637681255889E-4</c:v>
                </c:pt>
                <c:pt idx="808">
                  <c:v>-9.2698649692757318E-4</c:v>
                </c:pt>
                <c:pt idx="809">
                  <c:v>-9.2697289608423272E-4</c:v>
                </c:pt>
                <c:pt idx="810">
                  <c:v>-9.2697460103030593E-4</c:v>
                </c:pt>
                <c:pt idx="811">
                  <c:v>-9.2697630601146219E-4</c:v>
                </c:pt>
                <c:pt idx="812">
                  <c:v>-9.4716126039329218E-4</c:v>
                </c:pt>
                <c:pt idx="813">
                  <c:v>-9.2678432187942583E-4</c:v>
                </c:pt>
                <c:pt idx="814">
                  <c:v>-9.2667892570263977E-4</c:v>
                </c:pt>
                <c:pt idx="815">
                  <c:v>-9.2658117740573864E-4</c:v>
                </c:pt>
                <c:pt idx="816">
                  <c:v>-9.2647576991056191E-4</c:v>
                </c:pt>
                <c:pt idx="817">
                  <c:v>-9.4656261379677531E-4</c:v>
                </c:pt>
                <c:pt idx="818">
                  <c:v>-9.2617654649440606E-4</c:v>
                </c:pt>
                <c:pt idx="819">
                  <c:v>-9.2607878710082581E-4</c:v>
                </c:pt>
                <c:pt idx="820">
                  <c:v>-9.260805754501833E-4</c:v>
                </c:pt>
                <c:pt idx="821">
                  <c:v>-9.2618182238668467E-4</c:v>
                </c:pt>
                <c:pt idx="822">
                  <c:v>-9.077015661228538E-4</c:v>
                </c:pt>
                <c:pt idx="823">
                  <c:v>-9.1768775370903999E-4</c:v>
                </c:pt>
                <c:pt idx="824">
                  <c:v>-9.2778115496572333E-4</c:v>
                </c:pt>
                <c:pt idx="825">
                  <c:v>-9.2778286843642199E-4</c:v>
                </c:pt>
                <c:pt idx="826">
                  <c:v>-9.2767736610488427E-4</c:v>
                </c:pt>
                <c:pt idx="827">
                  <c:v>-9.4765981167821423E-4</c:v>
                </c:pt>
                <c:pt idx="828">
                  <c:v>-9.26972429330708E-4</c:v>
                </c:pt>
                <c:pt idx="829">
                  <c:v>-9.2688231594495463E-4</c:v>
                </c:pt>
                <c:pt idx="830">
                  <c:v>-9.2678454907624275E-4</c:v>
                </c:pt>
                <c:pt idx="831">
                  <c:v>-9.2677859379775018E-4</c:v>
                </c:pt>
                <c:pt idx="832">
                  <c:v>-9.4686192843873584E-4</c:v>
                </c:pt>
                <c:pt idx="833">
                  <c:v>-9.2667817308023093E-4</c:v>
                </c:pt>
                <c:pt idx="834">
                  <c:v>-9.2658039819371041E-4</c:v>
                </c:pt>
                <c:pt idx="835">
                  <c:v>-9.2658218494068301E-4</c:v>
                </c:pt>
                <c:pt idx="836">
                  <c:v>-9.2658397882128263E-4</c:v>
                </c:pt>
                <c:pt idx="837">
                  <c:v>-9.4695989056181595E-4</c:v>
                </c:pt>
                <c:pt idx="838">
                  <c:v>-9.2647634470843787E-4</c:v>
                </c:pt>
                <c:pt idx="839">
                  <c:v>-9.2647813760082798E-4</c:v>
                </c:pt>
                <c:pt idx="840">
                  <c:v>-9.2638034558845117E-4</c:v>
                </c:pt>
                <c:pt idx="841">
                  <c:v>-9.2638213753826193E-4</c:v>
                </c:pt>
                <c:pt idx="842">
                  <c:v>-9.4666757708194993E-4</c:v>
                </c:pt>
                <c:pt idx="843">
                  <c:v>-9.2618246543718641E-4</c:v>
                </c:pt>
                <c:pt idx="844">
                  <c:v>-9.1638777217439848E-4</c:v>
                </c:pt>
                <c:pt idx="845">
                  <c:v>-9.2627731729266749E-4</c:v>
                </c:pt>
                <c:pt idx="846">
                  <c:v>-9.2627882448870213E-4</c:v>
                </c:pt>
                <c:pt idx="847">
                  <c:v>-9.4586074120306396E-4</c:v>
                </c:pt>
                <c:pt idx="848">
                  <c:v>-9.1579158412347095E-4</c:v>
                </c:pt>
                <c:pt idx="849">
                  <c:v>-9.1558633240451659E-4</c:v>
                </c:pt>
                <c:pt idx="850">
                  <c:v>-9.1548823221088149E-4</c:v>
                </c:pt>
                <c:pt idx="851">
                  <c:v>-9.1529062735495881E-4</c:v>
                </c:pt>
                <c:pt idx="852">
                  <c:v>-9.1488914608384153E-4</c:v>
                </c:pt>
                <c:pt idx="853">
                  <c:v>-9.1479104100378184E-4</c:v>
                </c:pt>
                <c:pt idx="854">
                  <c:v>-9.1479252581050385E-4</c:v>
                </c:pt>
                <c:pt idx="855">
                  <c:v>-9.1469459300019818E-4</c:v>
                </c:pt>
                <c:pt idx="856">
                  <c:v>-9.1458891249873719E-4</c:v>
                </c:pt>
                <c:pt idx="857">
                  <c:v>-9.1369009049868666E-4</c:v>
                </c:pt>
                <c:pt idx="858">
                  <c:v>-9.1349253645767181E-4</c:v>
                </c:pt>
                <c:pt idx="859">
                  <c:v>-9.1349409937613313E-4</c:v>
                </c:pt>
                <c:pt idx="860">
                  <c:v>-9.1349566232645785E-4</c:v>
                </c:pt>
                <c:pt idx="861">
                  <c:v>-9.1349722530842392E-4</c:v>
                </c:pt>
                <c:pt idx="862">
                  <c:v>-9.1308998442618527E-4</c:v>
                </c:pt>
                <c:pt idx="863">
                  <c:v>-9.1309154339058729E-4</c:v>
                </c:pt>
                <c:pt idx="864">
                  <c:v>-9.1329214854785068E-4</c:v>
                </c:pt>
                <c:pt idx="865">
                  <c:v>-9.1349266667983819E-4</c:v>
                </c:pt>
                <c:pt idx="866">
                  <c:v>-9.1219420430710407E-4</c:v>
                </c:pt>
                <c:pt idx="867">
                  <c:v>-9.1219557257293804E-4</c:v>
                </c:pt>
                <c:pt idx="868">
                  <c:v>-9.1199012873433016E-4</c:v>
                </c:pt>
                <c:pt idx="869">
                  <c:v>-9.1199149500686971E-4</c:v>
                </c:pt>
                <c:pt idx="870">
                  <c:v>-9.1199286130672075E-4</c:v>
                </c:pt>
                <c:pt idx="871">
                  <c:v>-9.1238779650182344E-4</c:v>
                </c:pt>
                <c:pt idx="872">
                  <c:v>-9.1228963178380251E-4</c:v>
                </c:pt>
                <c:pt idx="873">
                  <c:v>-9.1229883949695001E-4</c:v>
                </c:pt>
                <c:pt idx="874">
                  <c:v>-9.1249198282772337E-4</c:v>
                </c:pt>
                <c:pt idx="875">
                  <c:v>-9.1249353599953675E-4</c:v>
                </c:pt>
                <c:pt idx="876">
                  <c:v>-9.125902545629172E-4</c:v>
                </c:pt>
                <c:pt idx="877">
                  <c:v>-9.1269144173766747E-4</c:v>
                </c:pt>
                <c:pt idx="878">
                  <c:v>-9.1279263095633834E-4</c:v>
                </c:pt>
                <c:pt idx="879">
                  <c:v>-9.1278652303183883E-4</c:v>
                </c:pt>
                <c:pt idx="880">
                  <c:v>-9.1289537256400433E-4</c:v>
                </c:pt>
                <c:pt idx="881">
                  <c:v>-9.1319129719380498E-4</c:v>
                </c:pt>
                <c:pt idx="882">
                  <c:v>-9.1329249059435291E-4</c:v>
                </c:pt>
                <c:pt idx="883">
                  <c:v>-9.1339369303899964E-4</c:v>
                </c:pt>
                <c:pt idx="884">
                  <c:v>-9.1338768176696394E-4</c:v>
                </c:pt>
                <c:pt idx="885">
                  <c:v>-9.1328969218984479E-4</c:v>
                </c:pt>
                <c:pt idx="886">
                  <c:v>-9.1268837357705301E-4</c:v>
                </c:pt>
                <c:pt idx="887">
                  <c:v>-9.1279714322201055E-4</c:v>
                </c:pt>
                <c:pt idx="888">
                  <c:v>-9.1279103454344757E-4</c:v>
                </c:pt>
                <c:pt idx="889">
                  <c:v>-9.127849257415388E-4</c:v>
                </c:pt>
                <c:pt idx="890">
                  <c:v>-9.1289369963676315E-4</c:v>
                </c:pt>
                <c:pt idx="891">
                  <c:v>-9.1289060886923235E-4</c:v>
                </c:pt>
                <c:pt idx="892">
                  <c:v>-9.1299172250025595E-4</c:v>
                </c:pt>
                <c:pt idx="893">
                  <c:v>-9.1299328112848244E-4</c:v>
                </c:pt>
                <c:pt idx="894">
                  <c:v>-9.1308682996482649E-4</c:v>
                </c:pt>
                <c:pt idx="895">
                  <c:v>-9.1319570554249108E-4</c:v>
                </c:pt>
                <c:pt idx="896">
                  <c:v>-9.1369092388504658E-4</c:v>
                </c:pt>
                <c:pt idx="897">
                  <c:v>-9.1379214371500872E-4</c:v>
                </c:pt>
                <c:pt idx="898">
                  <c:v>-9.1398536833797728E-4</c:v>
                </c:pt>
                <c:pt idx="899">
                  <c:v>-9.1409435067635325E-4</c:v>
                </c:pt>
                <c:pt idx="900">
                  <c:v>-9.1418800930920252E-4</c:v>
                </c:pt>
                <c:pt idx="901">
                  <c:v>-9.1429264848985614E-4</c:v>
                </c:pt>
                <c:pt idx="902">
                  <c:v>-9.1429430458533911E-4</c:v>
                </c:pt>
                <c:pt idx="903">
                  <c:v>-9.142883008649294E-4</c:v>
                </c:pt>
                <c:pt idx="904">
                  <c:v>-9.1438953599931594E-4</c:v>
                </c:pt>
                <c:pt idx="905">
                  <c:v>-9.1438353312878196E-4</c:v>
                </c:pt>
                <c:pt idx="906">
                  <c:v>-9.1458776883679427E-4</c:v>
                </c:pt>
                <c:pt idx="907">
                  <c:v>-9.1478868737848718E-4</c:v>
                </c:pt>
                <c:pt idx="908">
                  <c:v>-9.150891037995601E-4</c:v>
                </c:pt>
                <c:pt idx="909">
                  <c:v>-9.1469178567238352E-4</c:v>
                </c:pt>
                <c:pt idx="910">
                  <c:v>-9.1459349427991388E-4</c:v>
                </c:pt>
                <c:pt idx="911">
                  <c:v>-9.1518798688150493E-4</c:v>
                </c:pt>
                <c:pt idx="912">
                  <c:v>-9.1528915203276107E-4</c:v>
                </c:pt>
                <c:pt idx="913">
                  <c:v>-9.1548991109269284E-4</c:v>
                </c:pt>
                <c:pt idx="914">
                  <c:v>-9.1569067412777816E-4</c:v>
                </c:pt>
                <c:pt idx="915">
                  <c:v>-9.1589144113779497E-4</c:v>
                </c:pt>
                <c:pt idx="916">
                  <c:v>-9.1629438988016787E-4</c:v>
                </c:pt>
                <c:pt idx="917">
                  <c:v>-9.1638782039882294E-4</c:v>
                </c:pt>
                <c:pt idx="918">
                  <c:v>-9.1648133710564572E-4</c:v>
                </c:pt>
                <c:pt idx="919">
                  <c:v>-9.1638323347864592E-4</c:v>
                </c:pt>
                <c:pt idx="920">
                  <c:v>-9.1658411269668338E-4</c:v>
                </c:pt>
                <c:pt idx="921">
                  <c:v>-9.1678799426220259E-4</c:v>
                </c:pt>
                <c:pt idx="922">
                  <c:v>-9.1688918951726706E-4</c:v>
                </c:pt>
                <c:pt idx="923">
                  <c:v>-9.1688311216220342E-4</c:v>
                </c:pt>
                <c:pt idx="924">
                  <c:v>-9.1688470376549702E-4</c:v>
                </c:pt>
                <c:pt idx="925">
                  <c:v>-9.1688629540076505E-4</c:v>
                </c:pt>
                <c:pt idx="926">
                  <c:v>-9.0679954398298346E-4</c:v>
                </c:pt>
                <c:pt idx="927">
                  <c:v>-9.0680103383011801E-4</c:v>
                </c:pt>
                <c:pt idx="928">
                  <c:v>-9.0680252370778369E-4</c:v>
                </c:pt>
                <c:pt idx="929">
                  <c:v>-9.0689595959680958E-4</c:v>
                </c:pt>
                <c:pt idx="930">
                  <c:v>-8.8851400374034828E-4</c:v>
                </c:pt>
                <c:pt idx="931">
                  <c:v>-9.0769778713617466E-4</c:v>
                </c:pt>
                <c:pt idx="932">
                  <c:v>-9.0779871857515904E-4</c:v>
                </c:pt>
                <c:pt idx="933">
                  <c:v>-9.0809917325940237E-4</c:v>
                </c:pt>
                <c:pt idx="934">
                  <c:v>-9.0809282504733524E-4</c:v>
                </c:pt>
                <c:pt idx="935">
                  <c:v>-8.8801590281095688E-4</c:v>
                </c:pt>
                <c:pt idx="936">
                  <c:v>-9.0799875142222319E-4</c:v>
                </c:pt>
                <c:pt idx="937">
                  <c:v>-9.0779314724198645E-4</c:v>
                </c:pt>
                <c:pt idx="938">
                  <c:v>-9.0749566474002119E-4</c:v>
                </c:pt>
                <c:pt idx="939">
                  <c:v>-9.0739744195145189E-4</c:v>
                </c:pt>
                <c:pt idx="940">
                  <c:v>-8.8691287443953826E-4</c:v>
                </c:pt>
                <c:pt idx="941">
                  <c:v>-9.068974003036967E-4</c:v>
                </c:pt>
                <c:pt idx="942">
                  <c:v>-9.0679158575823759E-4</c:v>
                </c:pt>
                <c:pt idx="943">
                  <c:v>-9.069004661148572E-4</c:v>
                </c:pt>
                <c:pt idx="944">
                  <c:v>-9.0689437645852244E-4</c:v>
                </c:pt>
                <c:pt idx="945">
                  <c:v>-8.8641609489681361E-4</c:v>
                </c:pt>
                <c:pt idx="946">
                  <c:v>-9.0739934453365478E-4</c:v>
                </c:pt>
                <c:pt idx="947">
                  <c:v>-9.2787669701077657E-4</c:v>
                </c:pt>
                <c:pt idx="948">
                  <c:v>-9.2698088769160858E-4</c:v>
                </c:pt>
                <c:pt idx="949">
                  <c:v>-9.4646142203846928E-4</c:v>
                </c:pt>
                <c:pt idx="950">
                  <c:v>-9.3706774547142047E-4</c:v>
                </c:pt>
                <c:pt idx="951">
                  <c:v>-9.3716927969966779E-4</c:v>
                </c:pt>
                <c:pt idx="952">
                  <c:v>-9.372708087890258E-4</c:v>
                </c:pt>
                <c:pt idx="953">
                  <c:v>-9.5755051939061531E-4</c:v>
                </c:pt>
                <c:pt idx="954">
                  <c:v>-9.575525226056536E-4</c:v>
                </c:pt>
                <c:pt idx="955">
                  <c:v>-9.3747150100897958E-4</c:v>
                </c:pt>
                <c:pt idx="956">
                  <c:v>-9.374732942145636E-4</c:v>
                </c:pt>
                <c:pt idx="957">
                  <c:v>-9.3756716795900807E-4</c:v>
                </c:pt>
                <c:pt idx="958">
                  <c:v>-9.5784840895685175E-4</c:v>
                </c:pt>
                <c:pt idx="959">
                  <c:v>-9.5785051086738626E-4</c:v>
                </c:pt>
                <c:pt idx="960">
                  <c:v>-9.3736953936007783E-4</c:v>
                </c:pt>
                <c:pt idx="961">
                  <c:v>-9.3747117736919794E-4</c:v>
                </c:pt>
                <c:pt idx="962">
                  <c:v>-9.3737340452204609E-4</c:v>
                </c:pt>
                <c:pt idx="963">
                  <c:v>-9.5794778793234503E-4</c:v>
                </c:pt>
                <c:pt idx="964">
                  <c:v>-9.5785022393479746E-4</c:v>
                </c:pt>
                <c:pt idx="965">
                  <c:v>-9.3736778182385017E-4</c:v>
                </c:pt>
                <c:pt idx="966">
                  <c:v>-9.3736966774993213E-4</c:v>
                </c:pt>
                <c:pt idx="967">
                  <c:v>-9.373715537143168E-4</c:v>
                </c:pt>
                <c:pt idx="968">
                  <c:v>-9.5785522203939433E-4</c:v>
                </c:pt>
                <c:pt idx="969">
                  <c:v>-9.5785731696995668E-4</c:v>
                </c:pt>
                <c:pt idx="970">
                  <c:v>-9.3736573629088493E-4</c:v>
                </c:pt>
                <c:pt idx="971">
                  <c:v>-9.3726794934323454E-4</c:v>
                </c:pt>
                <c:pt idx="972">
                  <c:v>-9.369705318355015E-4</c:v>
                </c:pt>
                <c:pt idx="973">
                  <c:v>-9.5785406798176709E-4</c:v>
                </c:pt>
                <c:pt idx="974">
                  <c:v>-9.5814741456412555E-4</c:v>
                </c:pt>
                <c:pt idx="975">
                  <c:v>-9.3806836246379532E-4</c:v>
                </c:pt>
                <c:pt idx="976">
                  <c:v>-9.3807016220792683E-4</c:v>
                </c:pt>
                <c:pt idx="977">
                  <c:v>-9.3807196198902876E-4</c:v>
                </c:pt>
                <c:pt idx="978">
                  <c:v>-9.5815165944379554E-4</c:v>
                </c:pt>
                <c:pt idx="979">
                  <c:v>-9.5825343858602086E-4</c:v>
                </c:pt>
                <c:pt idx="980">
                  <c:v>-9.3836476203257302E-4</c:v>
                </c:pt>
                <c:pt idx="981">
                  <c:v>-9.3856603225606072E-4</c:v>
                </c:pt>
                <c:pt idx="982">
                  <c:v>-9.3877506847117598E-4</c:v>
                </c:pt>
                <c:pt idx="983">
                  <c:v>-9.5945478596681788E-4</c:v>
                </c:pt>
                <c:pt idx="984">
                  <c:v>-9.595490055197553E-4</c:v>
                </c:pt>
                <c:pt idx="985">
                  <c:v>-9.3956695086361286E-4</c:v>
                </c:pt>
                <c:pt idx="986">
                  <c:v>-9.3976066511380907E-4</c:v>
                </c:pt>
                <c:pt idx="987">
                  <c:v>-9.3996972814636148E-4</c:v>
                </c:pt>
                <c:pt idx="988">
                  <c:v>-9.605512239895253E-4</c:v>
                </c:pt>
                <c:pt idx="989">
                  <c:v>-9.607451560891267E-4</c:v>
                </c:pt>
                <c:pt idx="990">
                  <c:v>-9.4086918945923692E-4</c:v>
                </c:pt>
                <c:pt idx="991">
                  <c:v>-9.4106293054174728E-4</c:v>
                </c:pt>
                <c:pt idx="992">
                  <c:v>-9.4106476093724911E-4</c:v>
                </c:pt>
                <c:pt idx="993">
                  <c:v>-9.6164771371876068E-4</c:v>
                </c:pt>
                <c:pt idx="994">
                  <c:v>-9.6184934732712613E-4</c:v>
                </c:pt>
                <c:pt idx="995">
                  <c:v>-9.4306110527420106E-4</c:v>
                </c:pt>
                <c:pt idx="996">
                  <c:v>-9.4336216498869252E-4</c:v>
                </c:pt>
                <c:pt idx="997">
                  <c:v>-9.4326431037239367E-4</c:v>
                </c:pt>
                <c:pt idx="998">
                  <c:v>-9.6404812847517007E-4</c:v>
                </c:pt>
                <c:pt idx="999">
                  <c:v>-9.6434183128768503E-4</c:v>
                </c:pt>
                <c:pt idx="1000">
                  <c:v>-9.4466252849989552E-4</c:v>
                </c:pt>
                <c:pt idx="1001">
                  <c:v>-9.4496362510787524E-4</c:v>
                </c:pt>
                <c:pt idx="1002">
                  <c:v>-9.4516501254748864E-4</c:v>
                </c:pt>
                <c:pt idx="1003">
                  <c:v>-9.6564329274029248E-4</c:v>
                </c:pt>
                <c:pt idx="1004">
                  <c:v>-9.6584489093221038E-4</c:v>
                </c:pt>
                <c:pt idx="1005">
                  <c:v>-9.4585742128794337E-4</c:v>
                </c:pt>
                <c:pt idx="1006">
                  <c:v>-9.4606660233331752E-4</c:v>
                </c:pt>
                <c:pt idx="1007">
                  <c:v>-9.461607164235053E-4</c:v>
                </c:pt>
                <c:pt idx="1008">
                  <c:v>-9.6664063604656736E-4</c:v>
                </c:pt>
                <c:pt idx="1009">
                  <c:v>-9.6674254385675784E-4</c:v>
                </c:pt>
                <c:pt idx="1010">
                  <c:v>-9.4576408583735283E-4</c:v>
                </c:pt>
                <c:pt idx="1011">
                  <c:v>-9.2538280552134644E-4</c:v>
                </c:pt>
                <c:pt idx="1012">
                  <c:v>-9.2628216269985408E-4</c:v>
                </c:pt>
                <c:pt idx="1013">
                  <c:v>-9.2637869555667329E-4</c:v>
                </c:pt>
                <c:pt idx="1014">
                  <c:v>-9.1679026204005698E-4</c:v>
                </c:pt>
                <c:pt idx="1015">
                  <c:v>-9.167842599669962E-4</c:v>
                </c:pt>
                <c:pt idx="1016">
                  <c:v>-9.1678593016253362E-4</c:v>
                </c:pt>
                <c:pt idx="1017">
                  <c:v>-8.9660859762019651E-4</c:v>
                </c:pt>
                <c:pt idx="1018">
                  <c:v>-9.1718401062490518E-4</c:v>
                </c:pt>
                <c:pt idx="1019">
                  <c:v>-9.1738526874363124E-4</c:v>
                </c:pt>
                <c:pt idx="1020">
                  <c:v>-9.1748669225355517E-4</c:v>
                </c:pt>
                <c:pt idx="1021">
                  <c:v>-9.1748836973182257E-4</c:v>
                </c:pt>
                <c:pt idx="1022">
                  <c:v>-8.9720987474783964E-4</c:v>
                </c:pt>
                <c:pt idx="1023">
                  <c:v>-9.1728762762688376E-4</c:v>
                </c:pt>
                <c:pt idx="1024">
                  <c:v>-9.1728162279292036E-4</c:v>
                </c:pt>
                <c:pt idx="1025">
                  <c:v>-9.1718354406611358E-4</c:v>
                </c:pt>
                <c:pt idx="1026">
                  <c:v>-9.171852185720919E-4</c:v>
                </c:pt>
                <c:pt idx="1027">
                  <c:v>-9.3706832917272997E-4</c:v>
                </c:pt>
                <c:pt idx="1028">
                  <c:v>-9.3707020657562978E-4</c:v>
                </c:pt>
                <c:pt idx="1029">
                  <c:v>-9.3707208401649922E-4</c:v>
                </c:pt>
                <c:pt idx="1030">
                  <c:v>-9.3706628049872176E-4</c:v>
                </c:pt>
                <c:pt idx="1031">
                  <c:v>-9.576457589868248E-4</c:v>
                </c:pt>
                <c:pt idx="1032">
                  <c:v>-9.3716605979443646E-4</c:v>
                </c:pt>
                <c:pt idx="1033">
                  <c:v>-9.4685417061579624E-4</c:v>
                </c:pt>
                <c:pt idx="1034">
                  <c:v>-9.3667051428836245E-4</c:v>
                </c:pt>
                <c:pt idx="1035">
                  <c:v>-9.3657252770396049E-4</c:v>
                </c:pt>
                <c:pt idx="1036">
                  <c:v>-9.663404061460712E-4</c:v>
                </c:pt>
                <c:pt idx="1037">
                  <c:v>-9.4605896057919914E-4</c:v>
                </c:pt>
                <c:pt idx="1038">
                  <c:v>-9.4616069335662356E-4</c:v>
                </c:pt>
                <c:pt idx="1039">
                  <c:v>-9.4616256931379095E-4</c:v>
                </c:pt>
                <c:pt idx="1040">
                  <c:v>-9.6644515927502006E-4</c:v>
                </c:pt>
                <c:pt idx="1041">
                  <c:v>-9.6653942617896949E-4</c:v>
                </c:pt>
                <c:pt idx="1042">
                  <c:v>-9.465636502133945E-4</c:v>
                </c:pt>
                <c:pt idx="1043">
                  <c:v>-9.465579424139392E-4</c:v>
                </c:pt>
                <c:pt idx="1044">
                  <c:v>-9.4665978299479647E-4</c:v>
                </c:pt>
                <c:pt idx="1045">
                  <c:v>-9.6724353332200419E-4</c:v>
                </c:pt>
                <c:pt idx="1046">
                  <c:v>-9.6723813294063987E-4</c:v>
                </c:pt>
                <c:pt idx="1047">
                  <c:v>-9.4685423447926631E-4</c:v>
                </c:pt>
                <c:pt idx="1048">
                  <c:v>-9.4686398258692073E-4</c:v>
                </c:pt>
                <c:pt idx="1049">
                  <c:v>-9.4685827738394401E-4</c:v>
                </c:pt>
                <c:pt idx="1050">
                  <c:v>-9.7723197251697869E-4</c:v>
                </c:pt>
                <c:pt idx="1051">
                  <c:v>-9.7723435792529401E-4</c:v>
                </c:pt>
                <c:pt idx="1052">
                  <c:v>-9.5684930276962454E-4</c:v>
                </c:pt>
                <c:pt idx="1053">
                  <c:v>-9.5685147090729394E-4</c:v>
                </c:pt>
                <c:pt idx="1054">
                  <c:v>-9.7643160768112747E-4</c:v>
                </c:pt>
                <c:pt idx="1055">
                  <c:v>-9.7623420031511809E-4</c:v>
                </c:pt>
                <c:pt idx="1056">
                  <c:v>-9.7622869676694535E-4</c:v>
                </c:pt>
                <c:pt idx="1057">
                  <c:v>-9.5574993301428268E-4</c:v>
                </c:pt>
                <c:pt idx="1058">
                  <c:v>-9.5565220364068892E-4</c:v>
                </c:pt>
                <c:pt idx="1059">
                  <c:v>-9.6634309460730261E-4</c:v>
                </c:pt>
                <c:pt idx="1060">
                  <c:v>-9.6634526416816691E-4</c:v>
                </c:pt>
                <c:pt idx="1061">
                  <c:v>-9.6653945379376882E-4</c:v>
                </c:pt>
                <c:pt idx="1062">
                  <c:v>-9.460589261972574E-4</c:v>
                </c:pt>
                <c:pt idx="1063">
                  <c:v>-9.4576128100276602E-4</c:v>
                </c:pt>
                <c:pt idx="1064">
                  <c:v>-9.662354451439592E-4</c:v>
                </c:pt>
                <c:pt idx="1065">
                  <c:v>-9.6624529859923314E-4</c:v>
                </c:pt>
                <c:pt idx="1066">
                  <c:v>-9.6624746733997569E-4</c:v>
                </c:pt>
                <c:pt idx="1067">
                  <c:v>-9.4626481008108776E-4</c:v>
                </c:pt>
                <c:pt idx="1068">
                  <c:v>-9.4645890584765802E-4</c:v>
                </c:pt>
                <c:pt idx="1069">
                  <c:v>-9.6694221487925169E-4</c:v>
                </c:pt>
                <c:pt idx="1070">
                  <c:v>-9.6663707946853528E-4</c:v>
                </c:pt>
                <c:pt idx="1071">
                  <c:v>-9.6663934893814751E-4</c:v>
                </c:pt>
                <c:pt idx="1072">
                  <c:v>-9.4626348586868136E-4</c:v>
                </c:pt>
                <c:pt idx="1073">
                  <c:v>-9.4615785742102609E-4</c:v>
                </c:pt>
                <c:pt idx="1074">
                  <c:v>-9.6594321917387038E-4</c:v>
                </c:pt>
                <c:pt idx="1075">
                  <c:v>-9.6583787852089209E-4</c:v>
                </c:pt>
                <c:pt idx="1076">
                  <c:v>-9.6584004341659924E-4</c:v>
                </c:pt>
                <c:pt idx="1077">
                  <c:v>-9.4636104256384801E-4</c:v>
                </c:pt>
                <c:pt idx="1078">
                  <c:v>-9.4636300888750746E-4</c:v>
                </c:pt>
                <c:pt idx="1079">
                  <c:v>-9.6674162239240857E-4</c:v>
                </c:pt>
                <c:pt idx="1080">
                  <c:v>-9.6674379663697074E-4</c:v>
                </c:pt>
                <c:pt idx="1081">
                  <c:v>-9.6674597092605286E-4</c:v>
                </c:pt>
                <c:pt idx="1082">
                  <c:v>-9.4625960034355749E-4</c:v>
                </c:pt>
                <c:pt idx="1083">
                  <c:v>-9.461617309926007E-4</c:v>
                </c:pt>
                <c:pt idx="1084">
                  <c:v>-9.6644187127514769E-4</c:v>
                </c:pt>
                <c:pt idx="1085">
                  <c:v>-9.6644404261780892E-4</c:v>
                </c:pt>
                <c:pt idx="1086">
                  <c:v>-9.665384592945081E-4</c:v>
                </c:pt>
                <c:pt idx="1087">
                  <c:v>-9.4655760165307523E-4</c:v>
                </c:pt>
                <c:pt idx="1088">
                  <c:v>-9.4656725040442868E-4</c:v>
                </c:pt>
                <c:pt idx="1089">
                  <c:v>-9.6704102420563931E-4</c:v>
                </c:pt>
                <c:pt idx="1090">
                  <c:v>-9.6704320181484338E-4</c:v>
                </c:pt>
                <c:pt idx="1091">
                  <c:v>-9.2647680429502888E-4</c:v>
                </c:pt>
                <c:pt idx="1092">
                  <c:v>-9.2637862361943935E-4</c:v>
                </c:pt>
                <c:pt idx="1093">
                  <c:v>-9.2617280721796202E-4</c:v>
                </c:pt>
                <c:pt idx="1094">
                  <c:v>-9.464637244939178E-4</c:v>
                </c:pt>
                <c:pt idx="1095">
                  <c:v>-9.2588017259975786E-4</c:v>
                </c:pt>
                <c:pt idx="1096">
                  <c:v>-9.2578197980830446E-4</c:v>
                </c:pt>
                <c:pt idx="1097">
                  <c:v>-9.1578975338968416E-4</c:v>
                </c:pt>
                <c:pt idx="1098">
                  <c:v>-9.2578502393547701E-4</c:v>
                </c:pt>
                <c:pt idx="1099">
                  <c:v>-9.4536223910723916E-4</c:v>
                </c:pt>
                <c:pt idx="1100">
                  <c:v>-9.1558931186341841E-4</c:v>
                </c:pt>
                <c:pt idx="1101">
                  <c:v>-9.1549091471210264E-4</c:v>
                </c:pt>
                <c:pt idx="1102">
                  <c:v>-9.1529264032397251E-4</c:v>
                </c:pt>
                <c:pt idx="1103">
                  <c:v>-9.1498662744682324E-4</c:v>
                </c:pt>
                <c:pt idx="1104">
                  <c:v>-9.1438390638176603E-4</c:v>
                </c:pt>
                <c:pt idx="1105">
                  <c:v>-9.1419330025122036E-4</c:v>
                </c:pt>
                <c:pt idx="1106">
                  <c:v>-9.1398731790814924E-4</c:v>
                </c:pt>
                <c:pt idx="1107">
                  <c:v>-9.1378901408933899E-4</c:v>
                </c:pt>
                <c:pt idx="1108">
                  <c:v>-9.13590797556596E-4</c:v>
                </c:pt>
                <c:pt idx="1109">
                  <c:v>-9.1308832709202647E-4</c:v>
                </c:pt>
                <c:pt idx="1110">
                  <c:v>-9.1289009519646136E-4</c:v>
                </c:pt>
                <c:pt idx="1111">
                  <c:v>-9.1269185921882823E-4</c:v>
                </c:pt>
                <c:pt idx="1112">
                  <c:v>-9.1259360019368962E-4</c:v>
                </c:pt>
                <c:pt idx="1113">
                  <c:v>-9.1239526586206487E-4</c:v>
                </c:pt>
                <c:pt idx="1114">
                  <c:v>-9.1189405057201522E-4</c:v>
                </c:pt>
                <c:pt idx="1115">
                  <c:v>-9.1168810639430387E-4</c:v>
                </c:pt>
                <c:pt idx="1116">
                  <c:v>-9.1158982298789049E-4</c:v>
                </c:pt>
                <c:pt idx="1117">
                  <c:v>-9.1139155536046346E-4</c:v>
                </c:pt>
                <c:pt idx="1118">
                  <c:v>-9.1139573543652652E-4</c:v>
                </c:pt>
                <c:pt idx="1119">
                  <c:v>-9.1139724801669875E-4</c:v>
                </c:pt>
                <c:pt idx="1120">
                  <c:v>-9.1139876062806824E-4</c:v>
                </c:pt>
                <c:pt idx="1121">
                  <c:v>-9.11300376173374E-4</c:v>
                </c:pt>
                <c:pt idx="1122">
                  <c:v>-9.1108662451389044E-4</c:v>
                </c:pt>
                <c:pt idx="1123">
                  <c:v>-9.2028188452497606E-4</c:v>
                </c:pt>
                <c:pt idx="1124">
                  <c:v>-9.2018358659784472E-4</c:v>
                </c:pt>
                <c:pt idx="1125">
                  <c:v>-9.1998538527326978E-4</c:v>
                </c:pt>
                <c:pt idx="1126">
                  <c:v>-9.199870767219176E-4</c:v>
                </c:pt>
                <c:pt idx="1127">
                  <c:v>-9.2018857504538865E-4</c:v>
                </c:pt>
                <c:pt idx="1128">
                  <c:v>-9.2018605564203604E-4</c:v>
                </c:pt>
                <c:pt idx="1129">
                  <c:v>-9.2018006403227215E-4</c:v>
                </c:pt>
                <c:pt idx="1130">
                  <c:v>-9.2018175757035969E-4</c:v>
                </c:pt>
                <c:pt idx="1131">
                  <c:v>-9.2237606943224026E-4</c:v>
                </c:pt>
                <c:pt idx="1132">
                  <c:v>-9.2468571543646849E-4</c:v>
                </c:pt>
                <c:pt idx="1133">
                  <c:v>-9.3217606754736337E-4</c:v>
                </c:pt>
                <c:pt idx="1134">
                  <c:v>-9.3487787760593299E-4</c:v>
                </c:pt>
                <c:pt idx="1135">
                  <c:v>-9.3717229923817591E-4</c:v>
                </c:pt>
                <c:pt idx="1136">
                  <c:v>-9.394667681401625E-4</c:v>
                </c:pt>
                <c:pt idx="1137">
                  <c:v>-9.4206881826708333E-4</c:v>
                </c:pt>
                <c:pt idx="1138">
                  <c:v>-9.49751906433427E-4</c:v>
                </c:pt>
                <c:pt idx="1139">
                  <c:v>-9.5206190477281627E-4</c:v>
                </c:pt>
                <c:pt idx="1140">
                  <c:v>-9.5710574452656516E-4</c:v>
                </c:pt>
                <c:pt idx="1141">
                  <c:v>-9.6220963129001191E-4</c:v>
                </c:pt>
                <c:pt idx="1142">
                  <c:v>-9.6741353004148323E-4</c:v>
                </c:pt>
                <c:pt idx="1143">
                  <c:v>-9.8288368329302322E-4</c:v>
                </c:pt>
                <c:pt idx="1144">
                  <c:v>-9.8806802290229978E-4</c:v>
                </c:pt>
                <c:pt idx="1145">
                  <c:v>-9.9319252052643137E-4</c:v>
                </c:pt>
                <c:pt idx="1146">
                  <c:v>-9.9832480910722055E-4</c:v>
                </c:pt>
                <c:pt idx="1147">
                  <c:v>-1.0034495159016998E-3</c:v>
                </c:pt>
                <c:pt idx="1148">
                  <c:v>-1.0187720065326644E-3</c:v>
                </c:pt>
                <c:pt idx="1149">
                  <c:v>-1.0238171952997588E-3</c:v>
                </c:pt>
                <c:pt idx="1150">
                  <c:v>-1.0288202075239283E-3</c:v>
                </c:pt>
                <c:pt idx="1151">
                  <c:v>-1.0337356992072833E-3</c:v>
                </c:pt>
                <c:pt idx="1152">
                  <c:v>-1.0387512194141024E-3</c:v>
                </c:pt>
                <c:pt idx="1153">
                  <c:v>-1.0536239063415609E-3</c:v>
                </c:pt>
                <c:pt idx="1154">
                  <c:v>-1.0586598198528696E-3</c:v>
                </c:pt>
                <c:pt idx="1155">
                  <c:v>-1.0636835375968934E-3</c:v>
                </c:pt>
                <c:pt idx="1156">
                  <c:v>-1.0687696227050791E-3</c:v>
                </c:pt>
                <c:pt idx="1157">
                  <c:v>-1.0739934071766211E-3</c:v>
                </c:pt>
                <c:pt idx="1158">
                  <c:v>-1.0891403583315196E-3</c:v>
                </c:pt>
                <c:pt idx="1159">
                  <c:v>-1.0941546989983175E-3</c:v>
                </c:pt>
                <c:pt idx="1160">
                  <c:v>-1.0991914340887643E-3</c:v>
                </c:pt>
                <c:pt idx="1161">
                  <c:v>-1.1044258323612555E-3</c:v>
                </c:pt>
                <c:pt idx="1162">
                  <c:v>-1.1094927508910057E-3</c:v>
                </c:pt>
                <c:pt idx="1163">
                  <c:v>-1.1255289811030744E-3</c:v>
                </c:pt>
                <c:pt idx="1164">
                  <c:v>-1.1305140490093235E-3</c:v>
                </c:pt>
                <c:pt idx="1165">
                  <c:v>-1.1355315092479445E-3</c:v>
                </c:pt>
                <c:pt idx="1166">
                  <c:v>-1.140506786229234E-3</c:v>
                </c:pt>
                <c:pt idx="1167">
                  <c:v>-1.1456220720662547E-3</c:v>
                </c:pt>
                <c:pt idx="1168">
                  <c:v>-1.1608009579497924E-3</c:v>
                </c:pt>
                <c:pt idx="1169">
                  <c:v>-1.1658190202824548E-3</c:v>
                </c:pt>
                <c:pt idx="1170">
                  <c:v>-1.1707349276883772E-3</c:v>
                </c:pt>
                <c:pt idx="1171">
                  <c:v>-1.1754810197172061E-3</c:v>
                </c:pt>
                <c:pt idx="1172">
                  <c:v>-1.1802572007812984E-3</c:v>
                </c:pt>
                <c:pt idx="1173">
                  <c:v>-1.1950284245323406E-3</c:v>
                </c:pt>
                <c:pt idx="1174">
                  <c:v>-1.1999449319468614E-3</c:v>
                </c:pt>
                <c:pt idx="1175">
                  <c:v>-1.2049015207742375E-3</c:v>
                </c:pt>
                <c:pt idx="1176">
                  <c:v>-1.2088809576182857E-3</c:v>
                </c:pt>
                <c:pt idx="1177">
                  <c:v>-1.2139376822117853E-3</c:v>
                </c:pt>
                <c:pt idx="1178">
                  <c:v>-1.2184017211475107E-3</c:v>
                </c:pt>
                <c:pt idx="1179">
                  <c:v>-1.2230989437915785E-3</c:v>
                </c:pt>
                <c:pt idx="1180">
                  <c:v>-1.2276963117928696E-3</c:v>
                </c:pt>
                <c:pt idx="1181">
                  <c:v>-1.2324037200965865E-3</c:v>
                </c:pt>
                <c:pt idx="1182">
                  <c:v>-1.2172583222644917E-3</c:v>
                </c:pt>
                <c:pt idx="1183">
                  <c:v>-1.251456478129187E-3</c:v>
                </c:pt>
                <c:pt idx="1184">
                  <c:v>-1.256374297961993E-3</c:v>
                </c:pt>
                <c:pt idx="1185">
                  <c:v>-1.2612422319513428E-3</c:v>
                </c:pt>
                <c:pt idx="1186">
                  <c:v>-1.2662478981508851E-3</c:v>
                </c:pt>
                <c:pt idx="1187">
                  <c:v>-1.2510601996743587E-3</c:v>
                </c:pt>
                <c:pt idx="1188">
                  <c:v>-1.2860009258434113E-3</c:v>
                </c:pt>
                <c:pt idx="1189">
                  <c:v>-1.2909194413071035E-3</c:v>
                </c:pt>
                <c:pt idx="1190">
                  <c:v>-1.2958280790268395E-3</c:v>
                </c:pt>
                <c:pt idx="1191">
                  <c:v>-1.3007268190496912E-3</c:v>
                </c:pt>
                <c:pt idx="1192">
                  <c:v>-1.2851669441609204E-3</c:v>
                </c:pt>
                <c:pt idx="1193">
                  <c:v>-1.3201705188542467E-3</c:v>
                </c:pt>
                <c:pt idx="1194">
                  <c:v>-1.3250397624752219E-3</c:v>
                </c:pt>
                <c:pt idx="1195">
                  <c:v>-1.3272278039643259E-3</c:v>
                </c:pt>
                <c:pt idx="1196">
                  <c:v>-1.3295281949432525E-3</c:v>
                </c:pt>
                <c:pt idx="1197">
                  <c:v>-1.3063581556221893E-3</c:v>
                </c:pt>
                <c:pt idx="1198">
                  <c:v>-1.33860576007927E-3</c:v>
                </c:pt>
                <c:pt idx="1199">
                  <c:v>-1.3411440892252546E-3</c:v>
                </c:pt>
                <c:pt idx="1200">
                  <c:v>-1.3742605587492296E-3</c:v>
                </c:pt>
                <c:pt idx="1201">
                  <c:v>-1.406670240124086E-3</c:v>
                </c:pt>
                <c:pt idx="1202">
                  <c:v>-1.3840386263279658E-3</c:v>
                </c:pt>
                <c:pt idx="1203">
                  <c:v>-1.4010100000000358E-3</c:v>
                </c:pt>
                <c:pt idx="1204">
                  <c:v>-1.4007313611533734E-3</c:v>
                </c:pt>
                <c:pt idx="1205">
                  <c:v>-1.430133704885983E-3</c:v>
                </c:pt>
                <c:pt idx="1206">
                  <c:v>-1.4296957231123564E-3</c:v>
                </c:pt>
                <c:pt idx="1207">
                  <c:v>-1.3986587465376621E-3</c:v>
                </c:pt>
                <c:pt idx="1208">
                  <c:v>-1.3981502172593085E-3</c:v>
                </c:pt>
                <c:pt idx="1209">
                  <c:v>-1.3977916068755869E-3</c:v>
                </c:pt>
                <c:pt idx="1210">
                  <c:v>-1.4272571042059923E-3</c:v>
                </c:pt>
                <c:pt idx="1211">
                  <c:v>-1.426838919895479E-3</c:v>
                </c:pt>
                <c:pt idx="1212">
                  <c:v>-1.3959881646017358E-3</c:v>
                </c:pt>
                <c:pt idx="1213">
                  <c:v>-1.3956793871853224E-3</c:v>
                </c:pt>
                <c:pt idx="1214">
                  <c:v>-1.3952706471473952E-3</c:v>
                </c:pt>
                <c:pt idx="1215">
                  <c:v>-1.4247491062735484E-3</c:v>
                </c:pt>
                <c:pt idx="1216">
                  <c:v>-1.4244707185044891E-3</c:v>
                </c:pt>
                <c:pt idx="1217">
                  <c:v>-1.3937962507694079E-3</c:v>
                </c:pt>
                <c:pt idx="1218">
                  <c:v>-1.3934373770041475E-3</c:v>
                </c:pt>
                <c:pt idx="1219">
                  <c:v>-1.3931384846096462E-3</c:v>
                </c:pt>
                <c:pt idx="1220">
                  <c:v>-1.4226500188021518E-3</c:v>
                </c:pt>
                <c:pt idx="1221">
                  <c:v>-1.4223715694308137E-3</c:v>
                </c:pt>
                <c:pt idx="1222">
                  <c:v>-1.391633826291927E-3</c:v>
                </c:pt>
                <c:pt idx="1223">
                  <c:v>-1.3914148994402797E-3</c:v>
                </c:pt>
                <c:pt idx="1224">
                  <c:v>-1.3912458906432112E-3</c:v>
                </c:pt>
                <c:pt idx="1225">
                  <c:v>-1.4209805533168529E-3</c:v>
                </c:pt>
                <c:pt idx="1226">
                  <c:v>-1.4208218924647298E-3</c:v>
                </c:pt>
                <c:pt idx="1227">
                  <c:v>-1.3900008822576027E-3</c:v>
                </c:pt>
                <c:pt idx="1228">
                  <c:v>-1.3900015658354636E-3</c:v>
                </c:pt>
                <c:pt idx="1229">
                  <c:v>-1.3898323508411137E-3</c:v>
                </c:pt>
                <c:pt idx="1230">
                  <c:v>-1.4195699134506023E-3</c:v>
                </c:pt>
                <c:pt idx="1231">
                  <c:v>-1.4195610741253306E-3</c:v>
                </c:pt>
                <c:pt idx="1232">
                  <c:v>-1.389636257553839E-3</c:v>
                </c:pt>
                <c:pt idx="1233">
                  <c:v>-1.3896371304477073E-3</c:v>
                </c:pt>
                <c:pt idx="1234">
                  <c:v>-1.3897179027058115E-3</c:v>
                </c:pt>
                <c:pt idx="1235">
                  <c:v>-1.4197584554385134E-3</c:v>
                </c:pt>
                <c:pt idx="1236">
                  <c:v>-1.4199096705129755E-3</c:v>
                </c:pt>
                <c:pt idx="1237">
                  <c:v>-1.3897416902582949E-3</c:v>
                </c:pt>
                <c:pt idx="1238">
                  <c:v>-1.389672498873229E-3</c:v>
                </c:pt>
                <c:pt idx="1239">
                  <c:v>-1.3895533231055301E-3</c:v>
                </c:pt>
                <c:pt idx="1240">
                  <c:v>-1.4202367209983358E-3</c:v>
                </c:pt>
                <c:pt idx="1241">
                  <c:v>-1.4201780493711125E-3</c:v>
                </c:pt>
                <c:pt idx="1242">
                  <c:v>-1.3905267653108178E-3</c:v>
                </c:pt>
                <c:pt idx="1243">
                  <c:v>-1.390687467264895E-3</c:v>
                </c:pt>
                <c:pt idx="1244">
                  <c:v>-1.3908381653543467E-3</c:v>
                </c:pt>
                <c:pt idx="1245">
                  <c:v>-1.4209751579017382E-3</c:v>
                </c:pt>
                <c:pt idx="1246">
                  <c:v>-1.4212963750701579E-3</c:v>
                </c:pt>
                <c:pt idx="1247">
                  <c:v>-1.3920519862227199E-3</c:v>
                </c:pt>
                <c:pt idx="1248">
                  <c:v>-1.3920528817740196E-3</c:v>
                </c:pt>
                <c:pt idx="1249">
                  <c:v>-1.3920737270065597E-3</c:v>
                </c:pt>
                <c:pt idx="1250">
                  <c:v>-1.4221140415102695E-3</c:v>
                </c:pt>
                <c:pt idx="1251">
                  <c:v>-1.4220953261523395E-3</c:v>
                </c:pt>
                <c:pt idx="1252">
                  <c:v>-1.3920781510590174E-3</c:v>
                </c:pt>
                <c:pt idx="1253">
                  <c:v>-1.3921391104818603E-3</c:v>
                </c:pt>
                <c:pt idx="1254">
                  <c:v>-1.3920200042923936E-3</c:v>
                </c:pt>
                <c:pt idx="1255">
                  <c:v>-1.421953502087514E-3</c:v>
                </c:pt>
                <c:pt idx="1256">
                  <c:v>-1.4217247217942486E-3</c:v>
                </c:pt>
                <c:pt idx="1257">
                  <c:v>-1.3912740940315027E-3</c:v>
                </c:pt>
                <c:pt idx="1258">
                  <c:v>-1.3908845944725634E-3</c:v>
                </c:pt>
                <c:pt idx="1259">
                  <c:v>-1.390614959914549E-3</c:v>
                </c:pt>
                <c:pt idx="1260">
                  <c:v>-1.4192298770145939E-3</c:v>
                </c:pt>
                <c:pt idx="1261">
                  <c:v>-1.4188206436737127E-3</c:v>
                </c:pt>
                <c:pt idx="1262">
                  <c:v>-1.3885064939915814E-3</c:v>
                </c:pt>
                <c:pt idx="1263">
                  <c:v>-1.3880068557975411E-3</c:v>
                </c:pt>
                <c:pt idx="1264">
                  <c:v>-1.3569795973230603E-3</c:v>
                </c:pt>
                <c:pt idx="1265">
                  <c:v>-1.3559894539337813E-3</c:v>
                </c:pt>
                <c:pt idx="1266">
                  <c:v>-1.3556293133847319E-3</c:v>
                </c:pt>
                <c:pt idx="1267">
                  <c:v>-1.340648261620947E-3</c:v>
                </c:pt>
                <c:pt idx="1268">
                  <c:v>-1.3403178364436164E-3</c:v>
                </c:pt>
                <c:pt idx="1269">
                  <c:v>-1.3104340855470964E-3</c:v>
                </c:pt>
                <c:pt idx="1270">
                  <c:v>-1.3403378024613444E-3</c:v>
                </c:pt>
                <c:pt idx="1271">
                  <c:v>-1.3401475972054655E-3</c:v>
                </c:pt>
                <c:pt idx="1272">
                  <c:v>-1.3400673910533012E-3</c:v>
                </c:pt>
                <c:pt idx="1273">
                  <c:v>-1.3399572576149321E-3</c:v>
                </c:pt>
                <c:pt idx="1274">
                  <c:v>-1.3695235234379988E-3</c:v>
                </c:pt>
                <c:pt idx="1275">
                  <c:v>-1.3694437896597522E-3</c:v>
                </c:pt>
                <c:pt idx="1276">
                  <c:v>-1.3693640946500496E-3</c:v>
                </c:pt>
                <c:pt idx="1277">
                  <c:v>-1.3692543488837972E-3</c:v>
                </c:pt>
                <c:pt idx="1278">
                  <c:v>-1.3991532882967617E-3</c:v>
                </c:pt>
                <c:pt idx="1279">
                  <c:v>-1.3694762447272746E-3</c:v>
                </c:pt>
                <c:pt idx="1280">
                  <c:v>-1.3695568130179803E-3</c:v>
                </c:pt>
                <c:pt idx="1281">
                  <c:v>-1.3696673250220837E-3</c:v>
                </c:pt>
                <c:pt idx="1282">
                  <c:v>-1.3697478162444376E-3</c:v>
                </c:pt>
                <c:pt idx="1283">
                  <c:v>-1.3997000113346036E-3</c:v>
                </c:pt>
                <c:pt idx="1284">
                  <c:v>-1.3699698058470267E-3</c:v>
                </c:pt>
                <c:pt idx="1285">
                  <c:v>-1.3700503899243266E-3</c:v>
                </c:pt>
                <c:pt idx="1286">
                  <c:v>-1.370241092786717E-3</c:v>
                </c:pt>
                <c:pt idx="1287">
                  <c:v>-1.4141915234404667E-3</c:v>
                </c:pt>
                <c:pt idx="1288">
                  <c:v>-1.3992352459611945E-3</c:v>
                </c:pt>
                <c:pt idx="1289">
                  <c:v>-1.369442017525202E-3</c:v>
                </c:pt>
                <c:pt idx="1290">
                  <c:v>-1.3695025230562319E-3</c:v>
                </c:pt>
                <c:pt idx="1291">
                  <c:v>-1.369663180381786E-3</c:v>
                </c:pt>
                <c:pt idx="1292">
                  <c:v>-1.4148303792600458E-3</c:v>
                </c:pt>
                <c:pt idx="1293">
                  <c:v>-1.4150818484386374E-3</c:v>
                </c:pt>
                <c:pt idx="1294">
                  <c:v>-1.3854463148119667E-3</c:v>
                </c:pt>
                <c:pt idx="1295">
                  <c:v>-1.385587211643946E-3</c:v>
                </c:pt>
                <c:pt idx="1296">
                  <c:v>-1.385587997032478E-3</c:v>
                </c:pt>
                <c:pt idx="1297">
                  <c:v>-1.4157699639246735E-3</c:v>
                </c:pt>
                <c:pt idx="1298">
                  <c:v>-1.415821262758965E-3</c:v>
                </c:pt>
                <c:pt idx="1299">
                  <c:v>-1.3860825463618553E-3</c:v>
                </c:pt>
                <c:pt idx="1300">
                  <c:v>-1.3861935709571505E-3</c:v>
                </c:pt>
                <c:pt idx="1301">
                  <c:v>-1.3864547086818169E-3</c:v>
                </c:pt>
                <c:pt idx="1302">
                  <c:v>-1.4313510966246223E-3</c:v>
                </c:pt>
                <c:pt idx="1303">
                  <c:v>-1.4314426345584108E-3</c:v>
                </c:pt>
                <c:pt idx="1304">
                  <c:v>-1.4015913772645883E-3</c:v>
                </c:pt>
                <c:pt idx="1305">
                  <c:v>-1.4016224275944511E-3</c:v>
                </c:pt>
                <c:pt idx="1306">
                  <c:v>-1.4315999557176218E-3</c:v>
                </c:pt>
                <c:pt idx="1307">
                  <c:v>-1.4318017808242489E-3</c:v>
                </c:pt>
                <c:pt idx="1308">
                  <c:v>-1.4319133945617235E-3</c:v>
                </c:pt>
                <c:pt idx="1309">
                  <c:v>-1.402039081731643E-3</c:v>
                </c:pt>
                <c:pt idx="1310">
                  <c:v>-1.4021203421743511E-3</c:v>
                </c:pt>
                <c:pt idx="1311">
                  <c:v>-1.4323517217221804E-3</c:v>
                </c:pt>
                <c:pt idx="1312">
                  <c:v>-1.432523595036872E-3</c:v>
                </c:pt>
                <c:pt idx="1313">
                  <c:v>-1.4325851706621373E-3</c:v>
                </c:pt>
                <c:pt idx="1314">
                  <c:v>-1.4027579938881152E-3</c:v>
                </c:pt>
                <c:pt idx="1315">
                  <c:v>-1.4029794862003842E-3</c:v>
                </c:pt>
                <c:pt idx="1316">
                  <c:v>-1.4334044772777998E-3</c:v>
                </c:pt>
                <c:pt idx="1317">
                  <c:v>-1.433516323586792E-3</c:v>
                </c:pt>
                <c:pt idx="1318">
                  <c:v>-1.433688191945226E-3</c:v>
                </c:pt>
                <c:pt idx="1319">
                  <c:v>-1.4037576622882852E-3</c:v>
                </c:pt>
                <c:pt idx="1320">
                  <c:v>-1.4039790661913853E-3</c:v>
                </c:pt>
                <c:pt idx="1321">
                  <c:v>-1.4346775675854184E-3</c:v>
                </c:pt>
                <c:pt idx="1322">
                  <c:v>-1.4351297386979711E-3</c:v>
                </c:pt>
                <c:pt idx="1323">
                  <c:v>-1.4356219251954183E-3</c:v>
                </c:pt>
                <c:pt idx="1324">
                  <c:v>-1.4071702377007611E-3</c:v>
                </c:pt>
                <c:pt idx="1325">
                  <c:v>-1.4077722910872392E-3</c:v>
                </c:pt>
                <c:pt idx="1326">
                  <c:v>-1.4386743453317363E-3</c:v>
                </c:pt>
                <c:pt idx="1327">
                  <c:v>-1.4391766821693075E-3</c:v>
                </c:pt>
                <c:pt idx="1328">
                  <c:v>-1.4398996941202835E-3</c:v>
                </c:pt>
                <c:pt idx="1329">
                  <c:v>-1.4109947694116443E-3</c:v>
                </c:pt>
                <c:pt idx="1330">
                  <c:v>-1.4115469170440376E-3</c:v>
                </c:pt>
                <c:pt idx="1331">
                  <c:v>-1.4427528253357913E-3</c:v>
                </c:pt>
                <c:pt idx="1332">
                  <c:v>-1.4433956601385134E-3</c:v>
                </c:pt>
                <c:pt idx="1333">
                  <c:v>-1.4438382335211219E-3</c:v>
                </c:pt>
                <c:pt idx="1334">
                  <c:v>-1.4142195572653948E-3</c:v>
                </c:pt>
                <c:pt idx="1335">
                  <c:v>-1.4146516676117882E-3</c:v>
                </c:pt>
                <c:pt idx="1336">
                  <c:v>-1.4455604366458985E-3</c:v>
                </c:pt>
                <c:pt idx="1337">
                  <c:v>-1.4460332111878582E-3</c:v>
                </c:pt>
                <c:pt idx="1338">
                  <c:v>-1.3869773666066454E-3</c:v>
                </c:pt>
                <c:pt idx="1339">
                  <c:v>-1.3874492708595421E-3</c:v>
                </c:pt>
                <c:pt idx="1340">
                  <c:v>-1.387610309879439E-3</c:v>
                </c:pt>
                <c:pt idx="1341">
                  <c:v>-1.4186532455928713E-3</c:v>
                </c:pt>
                <c:pt idx="1342">
                  <c:v>-1.3891575339708417E-3</c:v>
                </c:pt>
                <c:pt idx="1343">
                  <c:v>-1.3893890465664915E-3</c:v>
                </c:pt>
                <c:pt idx="1344">
                  <c:v>-1.3896406273384843E-3</c:v>
                </c:pt>
                <c:pt idx="1345">
                  <c:v>-1.3899422997605271E-3</c:v>
                </c:pt>
                <c:pt idx="1346">
                  <c:v>-1.4208482729106686E-3</c:v>
                </c:pt>
                <c:pt idx="1347">
                  <c:v>-1.3912995223056557E-3</c:v>
                </c:pt>
                <c:pt idx="1348">
                  <c:v>-1.3916313366896249E-3</c:v>
                </c:pt>
                <c:pt idx="1349">
                  <c:v>-1.3919632308313501E-3</c:v>
                </c:pt>
                <c:pt idx="1350">
                  <c:v>-1.3922249820965682E-3</c:v>
                </c:pt>
                <c:pt idx="1351">
                  <c:v>-1.3790643641053979E-3</c:v>
                </c:pt>
                <c:pt idx="1352">
                  <c:v>-1.3943738134737371E-3</c:v>
                </c:pt>
                <c:pt idx="1353">
                  <c:v>-1.3946055228136744E-3</c:v>
                </c:pt>
                <c:pt idx="1354">
                  <c:v>-1.394957491674953E-3</c:v>
                </c:pt>
                <c:pt idx="1355">
                  <c:v>-1.3952694376448971E-3</c:v>
                </c:pt>
                <c:pt idx="1356">
                  <c:v>-1.381256310231338E-3</c:v>
                </c:pt>
                <c:pt idx="1357">
                  <c:v>-1.3815280221673998E-3</c:v>
                </c:pt>
                <c:pt idx="1358">
                  <c:v>-1.3817896669577889E-3</c:v>
                </c:pt>
                <c:pt idx="1359">
                  <c:v>-1.3820713458660983E-3</c:v>
                </c:pt>
                <c:pt idx="1360">
                  <c:v>-1.3823730736425288E-3</c:v>
                </c:pt>
                <c:pt idx="1361">
                  <c:v>-1.3828671182012364E-3</c:v>
                </c:pt>
                <c:pt idx="1362">
                  <c:v>-1.3831789385598814E-3</c:v>
                </c:pt>
                <c:pt idx="1363">
                  <c:v>-1.3835108379481875E-3</c:v>
                </c:pt>
                <c:pt idx="1364">
                  <c:v>-1.3837324876044832E-3</c:v>
                </c:pt>
                <c:pt idx="1365">
                  <c:v>-1.3839441088486781E-3</c:v>
                </c:pt>
                <c:pt idx="1366">
                  <c:v>-1.3702178659854569E-3</c:v>
                </c:pt>
                <c:pt idx="1367">
                  <c:v>-1.3705194700535106E-3</c:v>
                </c:pt>
                <c:pt idx="1368">
                  <c:v>-1.3708612135446829E-3</c:v>
                </c:pt>
                <c:pt idx="1369">
                  <c:v>-1.3712130172452985E-3</c:v>
                </c:pt>
                <c:pt idx="1370">
                  <c:v>-1.3415963975401679E-3</c:v>
                </c:pt>
                <c:pt idx="1371">
                  <c:v>-1.3723895193867852E-3</c:v>
                </c:pt>
                <c:pt idx="1372">
                  <c:v>-1.3727915985243255E-3</c:v>
                </c:pt>
                <c:pt idx="1373">
                  <c:v>-1.3731033697927941E-3</c:v>
                </c:pt>
                <c:pt idx="1374">
                  <c:v>-1.3733750980098325E-3</c:v>
                </c:pt>
                <c:pt idx="1375">
                  <c:v>-1.3433945405373349E-3</c:v>
                </c:pt>
                <c:pt idx="1376">
                  <c:v>-1.3741608750728052E-3</c:v>
                </c:pt>
                <c:pt idx="1377">
                  <c:v>-1.3744024017149359E-3</c:v>
                </c:pt>
                <c:pt idx="1378">
                  <c:v>-1.3745437749259626E-3</c:v>
                </c:pt>
                <c:pt idx="1379">
                  <c:v>-1.3747353163469089E-3</c:v>
                </c:pt>
                <c:pt idx="1380">
                  <c:v>-1.3446715482536842E-3</c:v>
                </c:pt>
                <c:pt idx="1381">
                  <c:v>-1.37552147999076E-3</c:v>
                </c:pt>
                <c:pt idx="1382">
                  <c:v>-1.3757632046905721E-3</c:v>
                </c:pt>
                <c:pt idx="1383">
                  <c:v>-1.3759646969817574E-3</c:v>
                </c:pt>
                <c:pt idx="1384">
                  <c:v>-1.3762967071220267E-3</c:v>
                </c:pt>
                <c:pt idx="1385">
                  <c:v>-1.3461997011146032E-3</c:v>
                </c:pt>
                <c:pt idx="1386">
                  <c:v>-1.3770227261460377E-3</c:v>
                </c:pt>
                <c:pt idx="1387">
                  <c:v>-1.377244336030703E-3</c:v>
                </c:pt>
                <c:pt idx="1388">
                  <c:v>-1.3774057939197615E-3</c:v>
                </c:pt>
                <c:pt idx="1389">
                  <c:v>-1.3775170822128979E-3</c:v>
                </c:pt>
                <c:pt idx="1390">
                  <c:v>-1.3473367189001939E-3</c:v>
                </c:pt>
                <c:pt idx="1391">
                  <c:v>-1.3783236913398333E-3</c:v>
                </c:pt>
                <c:pt idx="1392">
                  <c:v>-1.3783248533760784E-3</c:v>
                </c:pt>
                <c:pt idx="1393">
                  <c:v>-1.3785466621581977E-3</c:v>
                </c:pt>
                <c:pt idx="1394">
                  <c:v>-1.3791500547593039E-3</c:v>
                </c:pt>
                <c:pt idx="1395">
                  <c:v>-1.3489466816248852E-3</c:v>
                </c:pt>
                <c:pt idx="1396">
                  <c:v>-1.3798668857454288E-3</c:v>
                </c:pt>
                <c:pt idx="1397">
                  <c:v>-1.3800084694480796E-3</c:v>
                </c:pt>
                <c:pt idx="1398">
                  <c:v>-1.3802002418615844E-3</c:v>
                </c:pt>
                <c:pt idx="1399">
                  <c:v>-1.3803719211148424E-3</c:v>
                </c:pt>
                <c:pt idx="1400">
                  <c:v>-1.350024775159997E-3</c:v>
                </c:pt>
                <c:pt idx="1401">
                  <c:v>-1.3807274178494477E-3</c:v>
                </c:pt>
                <c:pt idx="1402">
                  <c:v>-1.3808690714343097E-3</c:v>
                </c:pt>
                <c:pt idx="1403">
                  <c:v>-1.3809805988697077E-3</c:v>
                </c:pt>
                <c:pt idx="1404">
                  <c:v>-1.3813930507107219E-3</c:v>
                </c:pt>
                <c:pt idx="1405">
                  <c:v>-1.3509625765296684E-3</c:v>
                </c:pt>
                <c:pt idx="1406">
                  <c:v>-1.3817086372810428E-3</c:v>
                </c:pt>
                <c:pt idx="1407">
                  <c:v>-1.3818100739670935E-3</c:v>
                </c:pt>
                <c:pt idx="1408">
                  <c:v>-1.3818914523741066E-3</c:v>
                </c:pt>
                <c:pt idx="1409">
                  <c:v>-1.3819527438255763E-3</c:v>
                </c:pt>
                <c:pt idx="1410">
                  <c:v>-1.3514687985383134E-3</c:v>
                </c:pt>
                <c:pt idx="1411">
                  <c:v>-1.3821780181880738E-3</c:v>
                </c:pt>
                <c:pt idx="1412">
                  <c:v>-1.3821991784034315E-3</c:v>
                </c:pt>
                <c:pt idx="1413">
                  <c:v>-1.3822304543377184E-3</c:v>
                </c:pt>
                <c:pt idx="1414">
                  <c:v>-1.3823119324537503E-3</c:v>
                </c:pt>
                <c:pt idx="1415">
                  <c:v>-1.3518547503835743E-3</c:v>
                </c:pt>
                <c:pt idx="1416">
                  <c:v>-1.3828987988449004E-3</c:v>
                </c:pt>
                <c:pt idx="1417">
                  <c:v>-1.3830003448985773E-3</c:v>
                </c:pt>
                <c:pt idx="1418">
                  <c:v>-1.383031594807238E-3</c:v>
                </c:pt>
                <c:pt idx="1419">
                  <c:v>-1.3831734029875475E-3</c:v>
                </c:pt>
                <c:pt idx="1420">
                  <c:v>-1.3525726732012133E-3</c:v>
                </c:pt>
                <c:pt idx="1421">
                  <c:v>-1.3836502796513717E-3</c:v>
                </c:pt>
                <c:pt idx="1422">
                  <c:v>-1.3838021280715429E-3</c:v>
                </c:pt>
                <c:pt idx="1423">
                  <c:v>-1.3839439194446301E-3</c:v>
                </c:pt>
                <c:pt idx="1424">
                  <c:v>-1.3841158590311986E-3</c:v>
                </c:pt>
                <c:pt idx="1425">
                  <c:v>-1.3536320020305359E-3</c:v>
                </c:pt>
                <c:pt idx="1426">
                  <c:v>-1.384552149742535E-3</c:v>
                </c:pt>
                <c:pt idx="1427">
                  <c:v>-1.3846739377556538E-3</c:v>
                </c:pt>
                <c:pt idx="1428">
                  <c:v>-1.3847756039285786E-3</c:v>
                </c:pt>
                <c:pt idx="1429">
                  <c:v>-1.3848973573737933E-3</c:v>
                </c:pt>
                <c:pt idx="1430">
                  <c:v>-1.3542399840238417E-3</c:v>
                </c:pt>
                <c:pt idx="1431">
                  <c:v>-1.3852840234234165E-3</c:v>
                </c:pt>
                <c:pt idx="1432">
                  <c:v>-1.385385708347231E-3</c:v>
                </c:pt>
                <c:pt idx="1433">
                  <c:v>-1.3854472244061444E-3</c:v>
                </c:pt>
                <c:pt idx="1434">
                  <c:v>-1.385498622621939E-3</c:v>
                </c:pt>
                <c:pt idx="1435">
                  <c:v>-1.354988505407495E-3</c:v>
                </c:pt>
                <c:pt idx="1436">
                  <c:v>-1.3858953622768455E-3</c:v>
                </c:pt>
                <c:pt idx="1437">
                  <c:v>-1.3860574007110715E-3</c:v>
                </c:pt>
                <c:pt idx="1438">
                  <c:v>-1.3861189755202119E-3</c:v>
                </c:pt>
                <c:pt idx="1439">
                  <c:v>-1.3862507573323413E-3</c:v>
                </c:pt>
                <c:pt idx="1440">
                  <c:v>-1.3557373920478621E-3</c:v>
                </c:pt>
                <c:pt idx="1441">
                  <c:v>-1.386647348961989E-3</c:v>
                </c:pt>
                <c:pt idx="1442">
                  <c:v>-1.3866988029345162E-3</c:v>
                </c:pt>
                <c:pt idx="1443">
                  <c:v>-1.3868407693892193E-3</c:v>
                </c:pt>
                <c:pt idx="1444">
                  <c:v>-1.3868922697392039E-3</c:v>
                </c:pt>
                <c:pt idx="1445">
                  <c:v>-1.3562852896350508E-3</c:v>
                </c:pt>
                <c:pt idx="1446">
                  <c:v>-1.3872489967237112E-3</c:v>
                </c:pt>
                <c:pt idx="1447">
                  <c:v>-1.3874411384038332E-3</c:v>
                </c:pt>
                <c:pt idx="1448">
                  <c:v>-1.3873117648445232E-3</c:v>
                </c:pt>
                <c:pt idx="1449">
                  <c:v>-1.3874135029288137E-3</c:v>
                </c:pt>
                <c:pt idx="1450">
                  <c:v>-1.3569036681641E-3</c:v>
                </c:pt>
                <c:pt idx="1451">
                  <c:v>-1.3880214125101542E-3</c:v>
                </c:pt>
                <c:pt idx="1452">
                  <c:v>-1.3881633439415397E-3</c:v>
                </c:pt>
                <c:pt idx="1453">
                  <c:v>-1.3883655635390513E-3</c:v>
                </c:pt>
                <c:pt idx="1454">
                  <c:v>-1.3885276553494696E-3</c:v>
                </c:pt>
                <c:pt idx="1455">
                  <c:v>-1.4193396512695022E-3</c:v>
                </c:pt>
                <c:pt idx="1456">
                  <c:v>-1.4194017497585198E-3</c:v>
                </c:pt>
                <c:pt idx="1457">
                  <c:v>-1.4193733960869981E-3</c:v>
                </c:pt>
                <c:pt idx="1458">
                  <c:v>-1.4682549015678781E-3</c:v>
                </c:pt>
                <c:pt idx="1459">
                  <c:v>-1.4684687227554116E-3</c:v>
                </c:pt>
                <c:pt idx="1460">
                  <c:v>-1.4379060885523209E-3</c:v>
                </c:pt>
                <c:pt idx="1461">
                  <c:v>-1.4382098274908772E-3</c:v>
                </c:pt>
                <c:pt idx="1462">
                  <c:v>-1.4384633376886002E-3</c:v>
                </c:pt>
                <c:pt idx="1463">
                  <c:v>-1.4698314869847628E-3</c:v>
                </c:pt>
                <c:pt idx="1464">
                  <c:v>-1.47013565824472E-3</c:v>
                </c:pt>
                <c:pt idx="1465">
                  <c:v>-1.439740527493516E-3</c:v>
                </c:pt>
                <c:pt idx="1466">
                  <c:v>-1.4399035696768259E-3</c:v>
                </c:pt>
                <c:pt idx="1467">
                  <c:v>-1.4401470325219323E-3</c:v>
                </c:pt>
                <c:pt idx="1468">
                  <c:v>-1.4718304005950644E-3</c:v>
                </c:pt>
                <c:pt idx="1469">
                  <c:v>-1.4720744076319736E-3</c:v>
                </c:pt>
                <c:pt idx="1470">
                  <c:v>-1.4417062627868349E-3</c:v>
                </c:pt>
                <c:pt idx="1471">
                  <c:v>-1.4420100387796397E-3</c:v>
                </c:pt>
                <c:pt idx="1472">
                  <c:v>-1.4422635317669075E-3</c:v>
                </c:pt>
                <c:pt idx="1473">
                  <c:v>-1.4736283205886158E-3</c:v>
                </c:pt>
                <c:pt idx="1474">
                  <c:v>-1.4739024690363367E-3</c:v>
                </c:pt>
                <c:pt idx="1475">
                  <c:v>-1.4433701801956911E-3</c:v>
                </c:pt>
                <c:pt idx="1476">
                  <c:v>-1.4436739708465485E-3</c:v>
                </c:pt>
                <c:pt idx="1477">
                  <c:v>-1.443867202926552E-3</c:v>
                </c:pt>
                <c:pt idx="1478">
                  <c:v>-1.4754065229596325E-3</c:v>
                </c:pt>
                <c:pt idx="1479">
                  <c:v>-1.4757912976530729E-3</c:v>
                </c:pt>
                <c:pt idx="1480">
                  <c:v>-1.4450852659361191E-3</c:v>
                </c:pt>
                <c:pt idx="1481">
                  <c:v>-1.4451779619018001E-3</c:v>
                </c:pt>
                <c:pt idx="1482">
                  <c:v>-1.4454818613592879E-3</c:v>
                </c:pt>
                <c:pt idx="1483">
                  <c:v>-1.4770146691263086E-3</c:v>
                </c:pt>
                <c:pt idx="1484">
                  <c:v>-1.477208515568984E-3</c:v>
                </c:pt>
                <c:pt idx="1485">
                  <c:v>-1.4464188538990674E-3</c:v>
                </c:pt>
                <c:pt idx="1486">
                  <c:v>-1.4465921894485367E-3</c:v>
                </c:pt>
                <c:pt idx="1487">
                  <c:v>-1.4468057481593632E-3</c:v>
                </c:pt>
                <c:pt idx="1488">
                  <c:v>-1.4782615004015343E-3</c:v>
                </c:pt>
                <c:pt idx="1489">
                  <c:v>-1.4786764246136341E-3</c:v>
                </c:pt>
                <c:pt idx="1490">
                  <c:v>-1.4480643621729294E-3</c:v>
                </c:pt>
                <c:pt idx="1491">
                  <c:v>-1.4481874432347164E-3</c:v>
                </c:pt>
                <c:pt idx="1492">
                  <c:v>-1.4483406582560532E-3</c:v>
                </c:pt>
                <c:pt idx="1493">
                  <c:v>-1.4797293472007533E-3</c:v>
                </c:pt>
                <c:pt idx="1494">
                  <c:v>-1.4799333704440532E-3</c:v>
                </c:pt>
                <c:pt idx="1495">
                  <c:v>-1.4492477384895341E-3</c:v>
                </c:pt>
                <c:pt idx="1496">
                  <c:v>-1.4494513028714406E-3</c:v>
                </c:pt>
                <c:pt idx="1497">
                  <c:v>-1.4496649082748059E-3</c:v>
                </c:pt>
                <c:pt idx="1498">
                  <c:v>-1.4813990605785365E-3</c:v>
                </c:pt>
                <c:pt idx="1499">
                  <c:v>-1.4815930376902431E-3</c:v>
                </c:pt>
                <c:pt idx="1500">
                  <c:v>-1.4509142131359232E-3</c:v>
                </c:pt>
                <c:pt idx="1501">
                  <c:v>-1.4510575531410108E-3</c:v>
                </c:pt>
                <c:pt idx="1502">
                  <c:v>-1.4512712503065295E-3</c:v>
                </c:pt>
                <c:pt idx="1503">
                  <c:v>-1.4826163977220697E-3</c:v>
                </c:pt>
                <c:pt idx="1504">
                  <c:v>-1.4826695004117596E-3</c:v>
                </c:pt>
                <c:pt idx="1505">
                  <c:v>-1.4520173506878953E-3</c:v>
                </c:pt>
                <c:pt idx="1506">
                  <c:v>-1.4522209142561193E-3</c:v>
                </c:pt>
                <c:pt idx="1507">
                  <c:v>-1.4522736683367787E-3</c:v>
                </c:pt>
                <c:pt idx="1508">
                  <c:v>-1.4836222193671533E-3</c:v>
                </c:pt>
                <c:pt idx="1509">
                  <c:v>-1.4838464570536836E-3</c:v>
                </c:pt>
                <c:pt idx="1510">
                  <c:v>-1.4530805472698916E-3</c:v>
                </c:pt>
                <c:pt idx="1511">
                  <c:v>-1.4531634767587231E-3</c:v>
                </c:pt>
                <c:pt idx="1512">
                  <c:v>-1.4535682802443439E-3</c:v>
                </c:pt>
                <c:pt idx="1513">
                  <c:v>-1.4851417518023657E-3</c:v>
                </c:pt>
                <c:pt idx="1514">
                  <c:v>-1.4854163895593464E-3</c:v>
                </c:pt>
                <c:pt idx="1515">
                  <c:v>-1.4546070557428514E-3</c:v>
                </c:pt>
                <c:pt idx="1516">
                  <c:v>-1.4548007230791304E-3</c:v>
                </c:pt>
                <c:pt idx="1517">
                  <c:v>-1.4549642355775605E-3</c:v>
                </c:pt>
                <c:pt idx="1518">
                  <c:v>-1.4867224724743888E-3</c:v>
                </c:pt>
                <c:pt idx="1519">
                  <c:v>-1.4256163077890349E-3</c:v>
                </c:pt>
                <c:pt idx="1520">
                  <c:v>-1.4259706599349942E-3</c:v>
                </c:pt>
                <c:pt idx="1521">
                  <c:v>-1.4265061879259466E-3</c:v>
                </c:pt>
                <c:pt idx="1522">
                  <c:v>-1.4403141501712069E-3</c:v>
                </c:pt>
                <c:pt idx="1523">
                  <c:v>-1.4403468618764403E-3</c:v>
                </c:pt>
                <c:pt idx="1524">
                  <c:v>-1.4404600223351105E-3</c:v>
                </c:pt>
                <c:pt idx="1525">
                  <c:v>-1.4405733023932221E-3</c:v>
                </c:pt>
                <c:pt idx="1526">
                  <c:v>-1.4721577675046449E-3</c:v>
                </c:pt>
                <c:pt idx="1527">
                  <c:v>-1.4411266628806541E-3</c:v>
                </c:pt>
                <c:pt idx="1528">
                  <c:v>-1.4410888184552828E-3</c:v>
                </c:pt>
                <c:pt idx="1529">
                  <c:v>-1.4410106430052805E-3</c:v>
                </c:pt>
                <c:pt idx="1530">
                  <c:v>-1.4411137127401386E-3</c:v>
                </c:pt>
                <c:pt idx="1531">
                  <c:v>-1.4725001464955811E-3</c:v>
                </c:pt>
                <c:pt idx="1532">
                  <c:v>-1.4411236810301098E-3</c:v>
                </c:pt>
                <c:pt idx="1533">
                  <c:v>-1.4411765141371102E-3</c:v>
                </c:pt>
                <c:pt idx="1534">
                  <c:v>-1.4411991018271619E-3</c:v>
                </c:pt>
                <c:pt idx="1535">
                  <c:v>-1.4412317485462678E-3</c:v>
                </c:pt>
                <c:pt idx="1536">
                  <c:v>-1.4726618502706179E-3</c:v>
                </c:pt>
                <c:pt idx="1537">
                  <c:v>-1.4417044224380726E-3</c:v>
                </c:pt>
                <c:pt idx="1538">
                  <c:v>-1.4415960488827206E-3</c:v>
                </c:pt>
                <c:pt idx="1539">
                  <c:v>-1.4418198743414434E-3</c:v>
                </c:pt>
                <c:pt idx="1540">
                  <c:v>-1.4419028604633066E-3</c:v>
                </c:pt>
                <c:pt idx="1541">
                  <c:v>-1.4736889527737773E-3</c:v>
                </c:pt>
                <c:pt idx="1542">
                  <c:v>-1.442476693191419E-3</c:v>
                </c:pt>
                <c:pt idx="1543">
                  <c:v>-1.4424288408957375E-3</c:v>
                </c:pt>
                <c:pt idx="1544">
                  <c:v>-1.4424816632819804E-3</c:v>
                </c:pt>
                <c:pt idx="1545">
                  <c:v>-1.4426753053559116E-3</c:v>
                </c:pt>
                <c:pt idx="1546">
                  <c:v>-1.4738806472028854E-3</c:v>
                </c:pt>
                <c:pt idx="1547">
                  <c:v>-1.4425945486538083E-3</c:v>
                </c:pt>
                <c:pt idx="1548">
                  <c:v>-1.4426171074987115E-3</c:v>
                </c:pt>
                <c:pt idx="1549">
                  <c:v>-1.4426195586804136E-3</c:v>
                </c:pt>
                <c:pt idx="1550">
                  <c:v>-1.4426220099389431E-3</c:v>
                </c:pt>
                <c:pt idx="1551">
                  <c:v>-1.4738811863659329E-3</c:v>
                </c:pt>
                <c:pt idx="1552">
                  <c:v>-1.4426217680371112E-3</c:v>
                </c:pt>
                <c:pt idx="1553">
                  <c:v>-1.4424830988124526E-3</c:v>
                </c:pt>
                <c:pt idx="1554">
                  <c:v>-1.4424754710695709E-3</c:v>
                </c:pt>
                <c:pt idx="1555">
                  <c:v>-1.4424879394452361E-3</c:v>
                </c:pt>
                <c:pt idx="1556">
                  <c:v>-1.4738209789917356E-3</c:v>
                </c:pt>
                <c:pt idx="1557">
                  <c:v>-1.4426789217196756E-3</c:v>
                </c:pt>
                <c:pt idx="1558">
                  <c:v>-1.4427015304470103E-3</c:v>
                </c:pt>
                <c:pt idx="1559">
                  <c:v>-1.4427040125687407E-3</c:v>
                </c:pt>
                <c:pt idx="1560">
                  <c:v>-1.4426963873329646E-3</c:v>
                </c:pt>
                <c:pt idx="1561">
                  <c:v>-1.4741639435027487E-3</c:v>
                </c:pt>
                <c:pt idx="1562">
                  <c:v>-1.4428979043020762E-3</c:v>
                </c:pt>
                <c:pt idx="1563">
                  <c:v>-1.4429204753155789E-3</c:v>
                </c:pt>
                <c:pt idx="1564">
                  <c:v>-1.4428624853202177E-3</c:v>
                </c:pt>
                <c:pt idx="1565">
                  <c:v>-1.4428145729674657E-3</c:v>
                </c:pt>
                <c:pt idx="1566">
                  <c:v>-1.4739933238439029E-3</c:v>
                </c:pt>
                <c:pt idx="1567">
                  <c:v>-1.4428745472891968E-3</c:v>
                </c:pt>
                <c:pt idx="1568">
                  <c:v>-1.4430077995221113E-3</c:v>
                </c:pt>
                <c:pt idx="1569">
                  <c:v>-1.4431209678124057E-3</c:v>
                </c:pt>
                <c:pt idx="1570">
                  <c:v>-1.44309309903079E-3</c:v>
                </c:pt>
                <c:pt idx="1571">
                  <c:v>-1.4746279208673885E-3</c:v>
                </c:pt>
                <c:pt idx="1572">
                  <c:v>-1.4435259414031787E-3</c:v>
                </c:pt>
                <c:pt idx="1573">
                  <c:v>-1.4434477427811565E-3</c:v>
                </c:pt>
                <c:pt idx="1574">
                  <c:v>-1.4434501064622962E-3</c:v>
                </c:pt>
                <c:pt idx="1575">
                  <c:v>-1.4435028494363955E-3</c:v>
                </c:pt>
                <c:pt idx="1576">
                  <c:v>-1.4746582080437109E-3</c:v>
                </c:pt>
                <c:pt idx="1577">
                  <c:v>-1.4432910362786044E-3</c:v>
                </c:pt>
                <c:pt idx="1578">
                  <c:v>-1.4432330776199542E-3</c:v>
                </c:pt>
                <c:pt idx="1579">
                  <c:v>-1.4432253992506805E-3</c:v>
                </c:pt>
                <c:pt idx="1580">
                  <c:v>-1.443258095384703E-3</c:v>
                </c:pt>
                <c:pt idx="1581">
                  <c:v>-1.4746285395584868E-3</c:v>
                </c:pt>
                <c:pt idx="1582">
                  <c:v>-1.4430666868671116E-3</c:v>
                </c:pt>
                <c:pt idx="1583">
                  <c:v>-1.4430088638084371E-3</c:v>
                </c:pt>
                <c:pt idx="1584">
                  <c:v>-1.4433140530798472E-3</c:v>
                </c:pt>
                <c:pt idx="1585">
                  <c:v>-1.4430547289989715E-3</c:v>
                </c:pt>
                <c:pt idx="1586">
                  <c:v>-1.4115829490969345E-3</c:v>
                </c:pt>
                <c:pt idx="1587">
                  <c:v>-1.4115547608881673E-3</c:v>
                </c:pt>
                <c:pt idx="1588">
                  <c:v>-1.4114963167973782E-3</c:v>
                </c:pt>
                <c:pt idx="1589">
                  <c:v>-1.4113573034805205E-3</c:v>
                </c:pt>
                <c:pt idx="1590">
                  <c:v>-1.3797955542944607E-3</c:v>
                </c:pt>
                <c:pt idx="1591">
                  <c:v>-1.4111639390427255E-3</c:v>
                </c:pt>
                <c:pt idx="1592">
                  <c:v>-1.4113070315048271E-3</c:v>
                </c:pt>
                <c:pt idx="1593">
                  <c:v>-1.4114601148972339E-3</c:v>
                </c:pt>
                <c:pt idx="1594">
                  <c:v>-1.4114722088848231E-3</c:v>
                </c:pt>
                <c:pt idx="1595">
                  <c:v>-1.3801487409139668E-3</c:v>
                </c:pt>
                <c:pt idx="1596">
                  <c:v>-1.4116113422683041E-3</c:v>
                </c:pt>
                <c:pt idx="1597">
                  <c:v>-1.4115831340608676E-3</c:v>
                </c:pt>
                <c:pt idx="1598">
                  <c:v>-1.4116355515162438E-3</c:v>
                </c:pt>
                <c:pt idx="1599">
                  <c:v>-1.4117182327461064E-3</c:v>
                </c:pt>
                <c:pt idx="1600">
                  <c:v>-1.3803106144261168E-3</c:v>
                </c:pt>
                <c:pt idx="1601">
                  <c:v>-1.4117766785702868E-3</c:v>
                </c:pt>
                <c:pt idx="1602">
                  <c:v>-1.4119701389445627E-3</c:v>
                </c:pt>
                <c:pt idx="1603">
                  <c:v>-1.4118813744032899E-3</c:v>
                </c:pt>
                <c:pt idx="1604">
                  <c:v>-1.4119136546395517E-3</c:v>
                </c:pt>
                <c:pt idx="1605">
                  <c:v>-1.3802911729132727E-3</c:v>
                </c:pt>
                <c:pt idx="1606">
                  <c:v>-1.4120835553612654E-3</c:v>
                </c:pt>
                <c:pt idx="1607">
                  <c:v>-1.4121056808062971E-3</c:v>
                </c:pt>
                <c:pt idx="1608">
                  <c:v>-1.4122186831275751E-3</c:v>
                </c:pt>
                <c:pt idx="1609">
                  <c:v>-1.4123518396951251E-3</c:v>
                </c:pt>
                <c:pt idx="1610">
                  <c:v>-1.3811994286316853E-3</c:v>
                </c:pt>
                <c:pt idx="1611">
                  <c:v>-1.4128237810715483E-3</c:v>
                </c:pt>
                <c:pt idx="1612">
                  <c:v>-1.4129468101592435E-3</c:v>
                </c:pt>
                <c:pt idx="1613">
                  <c:v>-1.4130194046330091E-3</c:v>
                </c:pt>
                <c:pt idx="1614">
                  <c:v>-1.4131020920853388E-3</c:v>
                </c:pt>
                <c:pt idx="1615">
                  <c:v>-1.3819262146621547E-3</c:v>
                </c:pt>
                <c:pt idx="1616">
                  <c:v>-1.4136044347869969E-3</c:v>
                </c:pt>
                <c:pt idx="1617">
                  <c:v>-1.4139089081953715E-3</c:v>
                </c:pt>
                <c:pt idx="1618">
                  <c:v>-1.41402187803219E-3</c:v>
                </c:pt>
                <c:pt idx="1619">
                  <c:v>-1.4141247310571758E-3</c:v>
                </c:pt>
                <c:pt idx="1620">
                  <c:v>-1.3829253030197552E-3</c:v>
                </c:pt>
                <c:pt idx="1621">
                  <c:v>-1.4144051877408303E-3</c:v>
                </c:pt>
                <c:pt idx="1622">
                  <c:v>-1.4144879410036282E-3</c:v>
                </c:pt>
                <c:pt idx="1623">
                  <c:v>-1.4145505113476453E-3</c:v>
                </c:pt>
                <c:pt idx="1624">
                  <c:v>-1.4145524833256706E-3</c:v>
                </c:pt>
                <c:pt idx="1625">
                  <c:v>-1.3832489535826609E-3</c:v>
                </c:pt>
                <c:pt idx="1626">
                  <c:v>-1.4306096484449915E-3</c:v>
                </c:pt>
                <c:pt idx="1627">
                  <c:v>-1.4307733715198667E-3</c:v>
                </c:pt>
                <c:pt idx="1628">
                  <c:v>-1.4309471502618187E-3</c:v>
                </c:pt>
                <c:pt idx="1629">
                  <c:v>-1.4311007608310833E-3</c:v>
                </c:pt>
                <c:pt idx="1630">
                  <c:v>-1.4315212144796474E-3</c:v>
                </c:pt>
                <c:pt idx="1631">
                  <c:v>-1.4316546832309207E-3</c:v>
                </c:pt>
                <c:pt idx="1632">
                  <c:v>-1.4318284920666891E-3</c:v>
                </c:pt>
                <c:pt idx="1633">
                  <c:v>-1.4319619698101027E-3</c:v>
                </c:pt>
                <c:pt idx="1634">
                  <c:v>-1.4322164776551238E-3</c:v>
                </c:pt>
                <c:pt idx="1635">
                  <c:v>-1.4325465163445017E-3</c:v>
                </c:pt>
                <c:pt idx="1636">
                  <c:v>-1.4327204277978511E-3</c:v>
                </c:pt>
                <c:pt idx="1637">
                  <c:v>-1.4329143918910825E-3</c:v>
                </c:pt>
                <c:pt idx="1638">
                  <c:v>-1.4332194478583471E-3</c:v>
                </c:pt>
                <c:pt idx="1639">
                  <c:v>-1.4333327282319841E-3</c:v>
                </c:pt>
                <c:pt idx="1640">
                  <c:v>-1.4339956854122482E-3</c:v>
                </c:pt>
                <c:pt idx="1641">
                  <c:v>-1.4340484472290527E-3</c:v>
                </c:pt>
                <c:pt idx="1642">
                  <c:v>-1.434232472075192E-3</c:v>
                </c:pt>
                <c:pt idx="1643">
                  <c:v>-1.4343255700741686E-3</c:v>
                </c:pt>
                <c:pt idx="1644">
                  <c:v>-1.4344591617515556E-3</c:v>
                </c:pt>
                <c:pt idx="1645">
                  <c:v>-1.43478924823226E-3</c:v>
                </c:pt>
                <c:pt idx="1646">
                  <c:v>-1.4349329825376067E-3</c:v>
                </c:pt>
                <c:pt idx="1647">
                  <c:v>-1.435076793820711E-3</c:v>
                </c:pt>
                <c:pt idx="1648">
                  <c:v>-1.4348272976322241E-3</c:v>
                </c:pt>
                <c:pt idx="1649">
                  <c:v>-1.4352436543345615E-3</c:v>
                </c:pt>
                <c:pt idx="1650">
                  <c:v>-1.4357353971787834E-3</c:v>
                </c:pt>
                <c:pt idx="1651">
                  <c:v>-1.4358185676660584E-3</c:v>
                </c:pt>
                <c:pt idx="1652">
                  <c:v>-1.4359319950234539E-3</c:v>
                </c:pt>
                <c:pt idx="1653">
                  <c:v>-1.4360454259411126E-3</c:v>
                </c:pt>
                <c:pt idx="1654">
                  <c:v>-1.4360983065110355E-3</c:v>
                </c:pt>
                <c:pt idx="1655">
                  <c:v>-1.4362670437405578E-3</c:v>
                </c:pt>
                <c:pt idx="1656">
                  <c:v>-1.4363200036571211E-3</c:v>
                </c:pt>
                <c:pt idx="1657">
                  <c:v>-1.4362112723607101E-3</c:v>
                </c:pt>
                <c:pt idx="1658">
                  <c:v>-1.4362944621010287E-3</c:v>
                </c:pt>
                <c:pt idx="1659">
                  <c:v>-1.4363978558230572E-3</c:v>
                </c:pt>
                <c:pt idx="1660">
                  <c:v>-1.4368192708471561E-3</c:v>
                </c:pt>
                <c:pt idx="1661">
                  <c:v>-1.4370438806429187E-3</c:v>
                </c:pt>
                <c:pt idx="1662">
                  <c:v>-1.4372079321893771E-3</c:v>
                </c:pt>
                <c:pt idx="1663">
                  <c:v>-1.4372912193660881E-3</c:v>
                </c:pt>
                <c:pt idx="1664">
                  <c:v>-1.4375763417900922E-3</c:v>
                </c:pt>
                <c:pt idx="1665">
                  <c:v>-1.4377351998425825E-3</c:v>
                </c:pt>
                <c:pt idx="1666">
                  <c:v>-1.4378487656105943E-3</c:v>
                </c:pt>
                <c:pt idx="1667">
                  <c:v>-1.4380429958731344E-3</c:v>
                </c:pt>
                <c:pt idx="1668">
                  <c:v>-1.4382070837968275E-3</c:v>
                </c:pt>
                <c:pt idx="1669">
                  <c:v>-1.4383711768891638E-3</c:v>
                </c:pt>
                <c:pt idx="1670">
                  <c:v>-1.4389548974130806E-3</c:v>
                </c:pt>
                <c:pt idx="1671">
                  <c:v>-1.4393412034711117E-3</c:v>
                </c:pt>
                <c:pt idx="1672">
                  <c:v>-1.4393235770254753E-3</c:v>
                </c:pt>
                <c:pt idx="1673">
                  <c:v>-1.4394271964250915E-3</c:v>
                </c:pt>
                <c:pt idx="1674">
                  <c:v>-1.4396215953423885E-3</c:v>
                </c:pt>
                <c:pt idx="1675">
                  <c:v>-1.4398717439231268E-3</c:v>
                </c:pt>
                <c:pt idx="1676">
                  <c:v>-1.4400662494133964E-3</c:v>
                </c:pt>
                <c:pt idx="1677">
                  <c:v>-1.4402910172999217E-3</c:v>
                </c:pt>
                <c:pt idx="1678">
                  <c:v>-1.4405360167855097E-3</c:v>
                </c:pt>
                <c:pt idx="1679">
                  <c:v>-1.4407406325408489E-3</c:v>
                </c:pt>
                <c:pt idx="1680">
                  <c:v>-1.4409807562087984E-3</c:v>
                </c:pt>
                <c:pt idx="1681">
                  <c:v>-1.4409833199838795E-3</c:v>
                </c:pt>
                <c:pt idx="1682">
                  <c:v>-1.4410666876761846E-3</c:v>
                </c:pt>
                <c:pt idx="1683">
                  <c:v>-1.4411803326045414E-3</c:v>
                </c:pt>
                <c:pt idx="1684">
                  <c:v>-1.4412838894187763E-3</c:v>
                </c:pt>
                <c:pt idx="1685">
                  <c:v>-1.4417865782925254E-3</c:v>
                </c:pt>
                <c:pt idx="1686">
                  <c:v>-1.4419306079131999E-3</c:v>
                </c:pt>
                <c:pt idx="1687">
                  <c:v>-1.4421150411483286E-3</c:v>
                </c:pt>
                <c:pt idx="1688">
                  <c:v>-1.4422791345706232E-3</c:v>
                </c:pt>
                <c:pt idx="1689">
                  <c:v>-1.4423727147898635E-3</c:v>
                </c:pt>
                <c:pt idx="1690">
                  <c:v>-1.4268572250843992E-3</c:v>
                </c:pt>
                <c:pt idx="1691">
                  <c:v>-1.4269505685876593E-3</c:v>
                </c:pt>
                <c:pt idx="1692">
                  <c:v>-1.4271146445260507E-3</c:v>
                </c:pt>
                <c:pt idx="1693">
                  <c:v>-1.427258494239525E-3</c:v>
                </c:pt>
                <c:pt idx="1694">
                  <c:v>-1.3959377059324929E-3</c:v>
                </c:pt>
                <c:pt idx="1695">
                  <c:v>-1.428258435440366E-3</c:v>
                </c:pt>
                <c:pt idx="1696">
                  <c:v>-1.4285034219291282E-3</c:v>
                </c:pt>
                <c:pt idx="1697">
                  <c:v>-1.4287281828203602E-3</c:v>
                </c:pt>
                <c:pt idx="1698">
                  <c:v>-1.4289125701572036E-3</c:v>
                </c:pt>
                <c:pt idx="1699">
                  <c:v>-1.3975178372582775E-3</c:v>
                </c:pt>
                <c:pt idx="1700">
                  <c:v>-1.4296906044790614E-3</c:v>
                </c:pt>
                <c:pt idx="1701">
                  <c:v>-1.429996259855737E-3</c:v>
                </c:pt>
                <c:pt idx="1702">
                  <c:v>-1.4301100120167609E-3</c:v>
                </c:pt>
                <c:pt idx="1703">
                  <c:v>-1.4303853081214513E-3</c:v>
                </c:pt>
                <c:pt idx="1704">
                  <c:v>-1.3988760558848456E-3</c:v>
                </c:pt>
                <c:pt idx="1705">
                  <c:v>-1.4311027669381415E-3</c:v>
                </c:pt>
                <c:pt idx="1706">
                  <c:v>-1.4312467952766195E-3</c:v>
                </c:pt>
                <c:pt idx="1707">
                  <c:v>-1.4313906400229559E-3</c:v>
                </c:pt>
                <c:pt idx="1708">
                  <c:v>-1.4314942011217635E-3</c:v>
                </c:pt>
                <c:pt idx="1709">
                  <c:v>-1.4001228445822411E-3</c:v>
                </c:pt>
                <c:pt idx="1710">
                  <c:v>-1.4325454783209457E-3</c:v>
                </c:pt>
                <c:pt idx="1711">
                  <c:v>-1.4326289565027572E-3</c:v>
                </c:pt>
                <c:pt idx="1712">
                  <c:v>-1.432712393875879E-3</c:v>
                </c:pt>
                <c:pt idx="1713">
                  <c:v>-1.4326646840044921E-3</c:v>
                </c:pt>
                <c:pt idx="1714">
                  <c:v>-1.4012395537101874E-3</c:v>
                </c:pt>
                <c:pt idx="1715">
                  <c:v>-1.4345456136969359E-3</c:v>
                </c:pt>
                <c:pt idx="1716">
                  <c:v>-1.4348009075939583E-3</c:v>
                </c:pt>
                <c:pt idx="1717">
                  <c:v>-1.4350460956270572E-3</c:v>
                </c:pt>
                <c:pt idx="1718">
                  <c:v>-1.4353215901473648E-3</c:v>
                </c:pt>
                <c:pt idx="1719">
                  <c:v>-1.4040849264537192E-3</c:v>
                </c:pt>
                <c:pt idx="1720">
                  <c:v>-1.4365451046235433E-3</c:v>
                </c:pt>
                <c:pt idx="1721">
                  <c:v>-1.4370226953190901E-3</c:v>
                </c:pt>
                <c:pt idx="1722">
                  <c:v>-1.4372982906938336E-3</c:v>
                </c:pt>
                <c:pt idx="1723">
                  <c:v>-1.4375233478056693E-3</c:v>
                </c:pt>
                <c:pt idx="1724">
                  <c:v>-1.4059499906379225E-3</c:v>
                </c:pt>
                <c:pt idx="1725">
                  <c:v>-1.4381205938241992E-3</c:v>
                </c:pt>
                <c:pt idx="1726">
                  <c:v>-1.4382648701065648E-3</c:v>
                </c:pt>
                <c:pt idx="1727">
                  <c:v>-1.4384900076399587E-3</c:v>
                </c:pt>
                <c:pt idx="1728">
                  <c:v>-1.4386241926011012E-3</c:v>
                </c:pt>
                <c:pt idx="1729">
                  <c:v>-1.407330273791918E-3</c:v>
                </c:pt>
                <c:pt idx="1730">
                  <c:v>-1.439676344109353E-3</c:v>
                </c:pt>
                <c:pt idx="1731">
                  <c:v>-1.439921716011483E-3</c:v>
                </c:pt>
                <c:pt idx="1732">
                  <c:v>-1.4400660392551723E-3</c:v>
                </c:pt>
                <c:pt idx="1733">
                  <c:v>-1.4401496623301924E-3</c:v>
                </c:pt>
                <c:pt idx="1734">
                  <c:v>-1.4079427832481839E-3</c:v>
                </c:pt>
                <c:pt idx="1735">
                  <c:v>-1.4395743966599817E-3</c:v>
                </c:pt>
                <c:pt idx="1736">
                  <c:v>-1.4398400018131863E-3</c:v>
                </c:pt>
                <c:pt idx="1737">
                  <c:v>-1.4399641321832801E-3</c:v>
                </c:pt>
                <c:pt idx="1738">
                  <c:v>-1.4400983559594849E-3</c:v>
                </c:pt>
                <c:pt idx="1739">
                  <c:v>-1.4085044208367314E-3</c:v>
                </c:pt>
                <c:pt idx="1740">
                  <c:v>-1.4406453838743394E-3</c:v>
                </c:pt>
                <c:pt idx="1741">
                  <c:v>-1.4407291050817506E-3</c:v>
                </c:pt>
                <c:pt idx="1742">
                  <c:v>-1.4406813184203449E-3</c:v>
                </c:pt>
                <c:pt idx="1743">
                  <c:v>-1.4407549377363216E-3</c:v>
                </c:pt>
                <c:pt idx="1744">
                  <c:v>-1.4090259309388342E-3</c:v>
                </c:pt>
                <c:pt idx="1745">
                  <c:v>-1.4413422873998938E-3</c:v>
                </c:pt>
                <c:pt idx="1746">
                  <c:v>-1.441537194370901E-3</c:v>
                </c:pt>
                <c:pt idx="1747">
                  <c:v>-1.441671383411891E-3</c:v>
                </c:pt>
                <c:pt idx="1748">
                  <c:v>-1.4418156975554153E-3</c:v>
                </c:pt>
                <c:pt idx="1749">
                  <c:v>-1.4101136956229388E-3</c:v>
                </c:pt>
                <c:pt idx="1750">
                  <c:v>-1.4421504199203516E-3</c:v>
                </c:pt>
                <c:pt idx="1751">
                  <c:v>-1.4422037750623229E-3</c:v>
                </c:pt>
                <c:pt idx="1752">
                  <c:v>-1.4423480676312161E-3</c:v>
                </c:pt>
                <c:pt idx="1753">
                  <c:v>-1.4424216423654102E-3</c:v>
                </c:pt>
                <c:pt idx="1754">
                  <c:v>-1.4107262466617199E-3</c:v>
                </c:pt>
                <c:pt idx="1755">
                  <c:v>-1.4426754450546087E-3</c:v>
                </c:pt>
                <c:pt idx="1756">
                  <c:v>-1.442809840556003E-3</c:v>
                </c:pt>
                <c:pt idx="1757">
                  <c:v>-1.4428935818279198E-3</c:v>
                </c:pt>
                <c:pt idx="1758">
                  <c:v>-1.4429773695923132E-3</c:v>
                </c:pt>
                <c:pt idx="1759">
                  <c:v>-1.4109348478250627E-3</c:v>
                </c:pt>
                <c:pt idx="1760">
                  <c:v>-1.4429181886504994E-3</c:v>
                </c:pt>
                <c:pt idx="1761">
                  <c:v>-1.4429818087426938E-3</c:v>
                </c:pt>
                <c:pt idx="1762">
                  <c:v>-1.4430353067971247E-3</c:v>
                </c:pt>
                <c:pt idx="1763">
                  <c:v>-1.4430888503967898E-3</c:v>
                </c:pt>
                <c:pt idx="1764">
                  <c:v>-1.4110527303642373E-3</c:v>
                </c:pt>
                <c:pt idx="1765">
                  <c:v>-1.4430093325255022E-3</c:v>
                </c:pt>
                <c:pt idx="1766">
                  <c:v>-1.4430020858618997E-3</c:v>
                </c:pt>
                <c:pt idx="1767">
                  <c:v>-1.4428935868283643E-3</c:v>
                </c:pt>
                <c:pt idx="1768">
                  <c:v>-1.4428964634533026E-3</c:v>
                </c:pt>
                <c:pt idx="1769">
                  <c:v>-1.4109983711133589E-3</c:v>
                </c:pt>
                <c:pt idx="1770">
                  <c:v>-1.4431204420487509E-3</c:v>
                </c:pt>
                <c:pt idx="1771">
                  <c:v>-1.443305360051883E-3</c:v>
                </c:pt>
                <c:pt idx="1772">
                  <c:v>-1.4434296281676806E-3</c:v>
                </c:pt>
                <c:pt idx="1773">
                  <c:v>-1.4434831023971695E-3</c:v>
                </c:pt>
                <c:pt idx="1774">
                  <c:v>-1.4112781334322255E-3</c:v>
                </c:pt>
                <c:pt idx="1775">
                  <c:v>-1.443646863107273E-3</c:v>
                </c:pt>
                <c:pt idx="1776">
                  <c:v>-1.4437914471389091E-3</c:v>
                </c:pt>
                <c:pt idx="1777">
                  <c:v>-1.4438045101070607E-3</c:v>
                </c:pt>
                <c:pt idx="1778">
                  <c:v>-1.4437771360179541E-3</c:v>
                </c:pt>
                <c:pt idx="1779">
                  <c:v>-1.4111342062079757E-3</c:v>
                </c:pt>
                <c:pt idx="1780">
                  <c:v>-1.4435269457957478E-3</c:v>
                </c:pt>
                <c:pt idx="1781">
                  <c:v>-1.4437223036342095E-3</c:v>
                </c:pt>
                <c:pt idx="1782">
                  <c:v>-1.4439480536444504E-3</c:v>
                </c:pt>
                <c:pt idx="1783">
                  <c:v>-1.4441130381290801E-3</c:v>
                </c:pt>
                <c:pt idx="1784">
                  <c:v>-1.411991973675808E-3</c:v>
                </c:pt>
                <c:pt idx="1785">
                  <c:v>-1.4444491793985659E-3</c:v>
                </c:pt>
                <c:pt idx="1786">
                  <c:v>-1.4445838402740163E-3</c:v>
                </c:pt>
                <c:pt idx="1787">
                  <c:v>-1.4447184615775654E-3</c:v>
                </c:pt>
                <c:pt idx="1788">
                  <c:v>-1.4449138668223283E-3</c:v>
                </c:pt>
                <c:pt idx="1789">
                  <c:v>-1.4780998107950527E-3</c:v>
                </c:pt>
                <c:pt idx="1790">
                  <c:v>-1.4781539363752927E-3</c:v>
                </c:pt>
                <c:pt idx="1791">
                  <c:v>-1.4782587623692889E-3</c:v>
                </c:pt>
                <c:pt idx="1792">
                  <c:v>-1.4784547250175084E-3</c:v>
                </c:pt>
                <c:pt idx="1793">
                  <c:v>-1.5109181992247755E-3</c:v>
                </c:pt>
                <c:pt idx="1794">
                  <c:v>-1.4789551046170413E-3</c:v>
                </c:pt>
                <c:pt idx="1795">
                  <c:v>-1.4790396751752644E-3</c:v>
                </c:pt>
                <c:pt idx="1796">
                  <c:v>-1.479174877930145E-3</c:v>
                </c:pt>
                <c:pt idx="1797">
                  <c:v>-1.4793707874094508E-3</c:v>
                </c:pt>
                <c:pt idx="1798">
                  <c:v>-1.5122429712051133E-3</c:v>
                </c:pt>
                <c:pt idx="1799">
                  <c:v>-1.4807315718206038E-3</c:v>
                </c:pt>
                <c:pt idx="1800">
                  <c:v>-1.4807351175212258E-3</c:v>
                </c:pt>
                <c:pt idx="1801">
                  <c:v>-1.4809210277390017E-3</c:v>
                </c:pt>
                <c:pt idx="1802">
                  <c:v>-1.4811170621057412E-3</c:v>
                </c:pt>
                <c:pt idx="1803">
                  <c:v>-1.5137904529836099E-3</c:v>
                </c:pt>
                <c:pt idx="1804">
                  <c:v>-1.4819519166706652E-3</c:v>
                </c:pt>
                <c:pt idx="1805">
                  <c:v>-1.4821277153199697E-3</c:v>
                </c:pt>
                <c:pt idx="1806">
                  <c:v>-1.4823945768378533E-3</c:v>
                </c:pt>
                <c:pt idx="1807">
                  <c:v>-1.4823677017583581E-3</c:v>
                </c:pt>
                <c:pt idx="1808">
                  <c:v>-1.5152675242838809E-3</c:v>
                </c:pt>
                <c:pt idx="1809">
                  <c:v>-1.4833950843681221E-3</c:v>
                </c:pt>
                <c:pt idx="1810">
                  <c:v>-1.4835911961676995E-3</c:v>
                </c:pt>
                <c:pt idx="1811">
                  <c:v>-1.4838480358149164E-3</c:v>
                </c:pt>
                <c:pt idx="1812">
                  <c:v>-1.484084627801141E-3</c:v>
                </c:pt>
                <c:pt idx="1813">
                  <c:v>-1.5167856230505761E-3</c:v>
                </c:pt>
                <c:pt idx="1814">
                  <c:v>-1.4851121452914562E-3</c:v>
                </c:pt>
                <c:pt idx="1815">
                  <c:v>-1.4854197152767146E-3</c:v>
                </c:pt>
                <c:pt idx="1816">
                  <c:v>-1.4857475378454721E-3</c:v>
                </c:pt>
                <c:pt idx="1817">
                  <c:v>-1.4861463571755884E-3</c:v>
                </c:pt>
                <c:pt idx="1818">
                  <c:v>-1.5188409105503231E-3</c:v>
                </c:pt>
                <c:pt idx="1819">
                  <c:v>-1.4872449467316917E-3</c:v>
                </c:pt>
                <c:pt idx="1820">
                  <c:v>-1.4875020641025305E-3</c:v>
                </c:pt>
                <c:pt idx="1821">
                  <c:v>-1.5527104673674907E-3</c:v>
                </c:pt>
                <c:pt idx="1822">
                  <c:v>-1.5530395329733659E-3</c:v>
                </c:pt>
                <c:pt idx="1823">
                  <c:v>-1.553155744873802E-3</c:v>
                </c:pt>
                <c:pt idx="1824">
                  <c:v>-1.521284390973543E-3</c:v>
                </c:pt>
                <c:pt idx="1825">
                  <c:v>-1.5213595609637753E-3</c:v>
                </c:pt>
                <c:pt idx="1826">
                  <c:v>-1.5536453915285797E-3</c:v>
                </c:pt>
                <c:pt idx="1827">
                  <c:v>-1.5536501440485129E-3</c:v>
                </c:pt>
                <c:pt idx="1828">
                  <c:v>-1.553705418608553E-3</c:v>
                </c:pt>
                <c:pt idx="1829">
                  <c:v>-1.5217798119550041E-3</c:v>
                </c:pt>
                <c:pt idx="1830">
                  <c:v>-1.52192586812816E-3</c:v>
                </c:pt>
                <c:pt idx="1831">
                  <c:v>-1.554458437903028E-3</c:v>
                </c:pt>
                <c:pt idx="1832">
                  <c:v>-1.5545644780281531E-3</c:v>
                </c:pt>
                <c:pt idx="1833">
                  <c:v>-1.5546806932525969E-3</c:v>
                </c:pt>
                <c:pt idx="1834">
                  <c:v>-1.5226401146916091E-3</c:v>
                </c:pt>
                <c:pt idx="1835">
                  <c:v>-1.5226442758690117E-3</c:v>
                </c:pt>
                <c:pt idx="1836">
                  <c:v>-1.5548663585139844E-3</c:v>
                </c:pt>
                <c:pt idx="1837">
                  <c:v>-1.5549014606069944E-3</c:v>
                </c:pt>
                <c:pt idx="1838">
                  <c:v>-1.554956893754067E-3</c:v>
                </c:pt>
                <c:pt idx="1839">
                  <c:v>-1.522639268172421E-3</c:v>
                </c:pt>
                <c:pt idx="1840">
                  <c:v>-1.5229477813889503E-3</c:v>
                </c:pt>
                <c:pt idx="1841">
                  <c:v>-1.555153233141815E-3</c:v>
                </c:pt>
                <c:pt idx="1842">
                  <c:v>-1.5551782488277821E-3</c:v>
                </c:pt>
                <c:pt idx="1843">
                  <c:v>-1.5548184513289875E-3</c:v>
                </c:pt>
                <c:pt idx="1844">
                  <c:v>-1.5224769991378784E-3</c:v>
                </c:pt>
                <c:pt idx="1845">
                  <c:v>-1.5223090191049948E-3</c:v>
                </c:pt>
                <c:pt idx="1846">
                  <c:v>-1.5542344159542587E-3</c:v>
                </c:pt>
                <c:pt idx="1847">
                  <c:v>-1.5541277598815073E-3</c:v>
                </c:pt>
                <c:pt idx="1848">
                  <c:v>-1.5540717395716719E-3</c:v>
                </c:pt>
                <c:pt idx="1849">
                  <c:v>-1.5216658415118101E-3</c:v>
                </c:pt>
                <c:pt idx="1850">
                  <c:v>-1.5216195141093403E-3</c:v>
                </c:pt>
                <c:pt idx="1851">
                  <c:v>-1.5538730027178094E-3</c:v>
                </c:pt>
                <c:pt idx="1852">
                  <c:v>-1.5537968097584232E-3</c:v>
                </c:pt>
                <c:pt idx="1853">
                  <c:v>-1.4886882318665418E-3</c:v>
                </c:pt>
                <c:pt idx="1854">
                  <c:v>-1.4887527987352822E-3</c:v>
                </c:pt>
                <c:pt idx="1855">
                  <c:v>-1.4887769055342837E-3</c:v>
                </c:pt>
                <c:pt idx="1856">
                  <c:v>-1.5209737933506995E-3</c:v>
                </c:pt>
                <c:pt idx="1857">
                  <c:v>-1.4886299325446162E-3</c:v>
                </c:pt>
                <c:pt idx="1858">
                  <c:v>-1.488522209412424E-3</c:v>
                </c:pt>
                <c:pt idx="1859">
                  <c:v>-1.4747467103600753E-3</c:v>
                </c:pt>
                <c:pt idx="1860">
                  <c:v>-1.4609809573451482E-3</c:v>
                </c:pt>
                <c:pt idx="1861">
                  <c:v>-1.4523897607567893E-3</c:v>
                </c:pt>
                <c:pt idx="1862">
                  <c:v>-1.4060559089092983E-3</c:v>
                </c:pt>
                <c:pt idx="1863">
                  <c:v>-1.392298072890541E-3</c:v>
                </c:pt>
                <c:pt idx="1864">
                  <c:v>-1.3786512640964199E-3</c:v>
                </c:pt>
                <c:pt idx="1865">
                  <c:v>-1.3647606846955984E-3</c:v>
                </c:pt>
                <c:pt idx="1866">
                  <c:v>-1.3556088709008041E-3</c:v>
                </c:pt>
                <c:pt idx="1867">
                  <c:v>-1.3092750561602973E-3</c:v>
                </c:pt>
                <c:pt idx="1868">
                  <c:v>-1.2953721114383754E-3</c:v>
                </c:pt>
                <c:pt idx="1869">
                  <c:v>-1.2815498413615289E-3</c:v>
                </c:pt>
                <c:pt idx="1870">
                  <c:v>-1.2677169605809224E-3</c:v>
                </c:pt>
                <c:pt idx="1871">
                  <c:v>-1.2590291189532588E-3</c:v>
                </c:pt>
                <c:pt idx="1872">
                  <c:v>-1.212695583689638E-3</c:v>
                </c:pt>
                <c:pt idx="1873">
                  <c:v>-1.1988808009850693E-3</c:v>
                </c:pt>
                <c:pt idx="1874">
                  <c:v>-1.1850554190934171E-3</c:v>
                </c:pt>
                <c:pt idx="1875">
                  <c:v>-1.1711585353462173E-3</c:v>
                </c:pt>
                <c:pt idx="1876">
                  <c:v>-1.1619304290020338E-3</c:v>
                </c:pt>
                <c:pt idx="1877">
                  <c:v>-1.1155055659403113E-3</c:v>
                </c:pt>
                <c:pt idx="1878">
                  <c:v>-1.1014643397188051E-3</c:v>
                </c:pt>
                <c:pt idx="1879">
                  <c:v>-1.0874531323626924E-3</c:v>
                </c:pt>
                <c:pt idx="1880">
                  <c:v>-1.073390710574329E-3</c:v>
                </c:pt>
                <c:pt idx="1881">
                  <c:v>-1.0659163680956096E-3</c:v>
                </c:pt>
                <c:pt idx="1882">
                  <c:v>-1.0195525834497676E-3</c:v>
                </c:pt>
                <c:pt idx="1883">
                  <c:v>-1.0058127534462447E-3</c:v>
                </c:pt>
                <c:pt idx="1884">
                  <c:v>-9.91798449174075E-4</c:v>
                </c:pt>
                <c:pt idx="1885">
                  <c:v>-9.1744503472757089E-4</c:v>
                </c:pt>
                <c:pt idx="1886">
                  <c:v>-9.0348885414814895E-4</c:v>
                </c:pt>
                <c:pt idx="1887">
                  <c:v>-8.8967419582852703E-4</c:v>
                </c:pt>
                <c:pt idx="1888">
                  <c:v>-8.7562552531461613E-4</c:v>
                </c:pt>
                <c:pt idx="1889">
                  <c:v>-8.6186071238725237E-4</c:v>
                </c:pt>
                <c:pt idx="1890">
                  <c:v>-8.2056353669213156E-4</c:v>
                </c:pt>
                <c:pt idx="1891">
                  <c:v>-8.0684767691507897E-4</c:v>
                </c:pt>
                <c:pt idx="1892">
                  <c:v>-7.9311101711143639E-4</c:v>
                </c:pt>
                <c:pt idx="1893">
                  <c:v>-7.5863750629245885E-4</c:v>
                </c:pt>
                <c:pt idx="1894">
                  <c:v>-7.241629210793521E-4</c:v>
                </c:pt>
                <c:pt idx="1895">
                  <c:v>-6.0249296367109739E-4</c:v>
                </c:pt>
                <c:pt idx="1896">
                  <c:v>-5.6807454182816741E-4</c:v>
                </c:pt>
                <c:pt idx="1897">
                  <c:v>-5.3356362173651029E-4</c:v>
                </c:pt>
                <c:pt idx="1898">
                  <c:v>-4.9914294514719071E-4</c:v>
                </c:pt>
                <c:pt idx="1899">
                  <c:v>-4.2795539907880542E-4</c:v>
                </c:pt>
                <c:pt idx="1900">
                  <c:v>-3.6122575064556628E-4</c:v>
                </c:pt>
                <c:pt idx="1901">
                  <c:v>-3.267589087433409E-4</c:v>
                </c:pt>
                <c:pt idx="1902">
                  <c:v>-2.9224018710283239E-4</c:v>
                </c:pt>
                <c:pt idx="1903">
                  <c:v>-2.5784221484559389E-4</c:v>
                </c:pt>
                <c:pt idx="1904">
                  <c:v>-1.8793283490547985E-4</c:v>
                </c:pt>
                <c:pt idx="1905">
                  <c:v>-1.2139735496585757E-4</c:v>
                </c:pt>
                <c:pt idx="1906">
                  <c:v>-8.7034498756577428E-5</c:v>
                </c:pt>
                <c:pt idx="1907">
                  <c:v>-5.2812750832686994E-5</c:v>
                </c:pt>
                <c:pt idx="1908">
                  <c:v>-1.8508632875446906E-5</c:v>
                </c:pt>
                <c:pt idx="1909">
                  <c:v>5.2235412019152605E-5</c:v>
                </c:pt>
                <c:pt idx="1910">
                  <c:v>1.1868840283435489E-4</c:v>
                </c:pt>
                <c:pt idx="1911">
                  <c:v>1.5305899930684319E-4</c:v>
                </c:pt>
                <c:pt idx="1912">
                  <c:v>1.8745102218509224E-4</c:v>
                </c:pt>
                <c:pt idx="1913">
                  <c:v>2.2187463657341588E-4</c:v>
                </c:pt>
                <c:pt idx="1914">
                  <c:v>2.9281342229681151E-4</c:v>
                </c:pt>
                <c:pt idx="1915">
                  <c:v>3.5960057015893554E-4</c:v>
                </c:pt>
                <c:pt idx="1916">
                  <c:v>3.940399201394218E-4</c:v>
                </c:pt>
                <c:pt idx="1917">
                  <c:v>4.2846006753483046E-4</c:v>
                </c:pt>
                <c:pt idx="1918">
                  <c:v>4.6288132447691588E-4</c:v>
                </c:pt>
                <c:pt idx="1919">
                  <c:v>5.3387270510407703E-4</c:v>
                </c:pt>
                <c:pt idx="1920">
                  <c:v>6.0068926997947081E-4</c:v>
                </c:pt>
                <c:pt idx="1921">
                  <c:v>6.351364336141252E-4</c:v>
                </c:pt>
                <c:pt idx="1922">
                  <c:v>6.6951354048083722E-4</c:v>
                </c:pt>
                <c:pt idx="1923">
                  <c:v>6.9014341856199479E-4</c:v>
                </c:pt>
                <c:pt idx="1924">
                  <c:v>7.4726424990156914E-4</c:v>
                </c:pt>
                <c:pt idx="1925">
                  <c:v>7.7286755252625738E-4</c:v>
                </c:pt>
                <c:pt idx="1926">
                  <c:v>7.9363009090371861E-4</c:v>
                </c:pt>
                <c:pt idx="1927">
                  <c:v>8.3505179897169768E-4</c:v>
                </c:pt>
                <c:pt idx="1928">
                  <c:v>8.7648386929561894E-4</c:v>
                </c:pt>
                <c:pt idx="1929">
                  <c:v>9.9567507671571853E-4</c:v>
                </c:pt>
                <c:pt idx="1930">
                  <c:v>1.0416854663517494E-3</c:v>
                </c:pt>
                <c:pt idx="1931">
                  <c:v>1.0829761926731685E-3</c:v>
                </c:pt>
                <c:pt idx="1932">
                  <c:v>1.1242671136879601E-3</c:v>
                </c:pt>
                <c:pt idx="1933">
                  <c:v>1.1656497235079666E-3</c:v>
                </c:pt>
                <c:pt idx="1934">
                  <c:v>1.285158640154771E-3</c:v>
                </c:pt>
                <c:pt idx="1935">
                  <c:v>1.3314567070887851E-3</c:v>
                </c:pt>
                <c:pt idx="1936">
                  <c:v>1.3728505576144912E-3</c:v>
                </c:pt>
                <c:pt idx="1937">
                  <c:v>1.414244567779388E-3</c:v>
                </c:pt>
                <c:pt idx="1938">
                  <c:v>1.455659087856942E-3</c:v>
                </c:pt>
                <c:pt idx="1939">
                  <c:v>1.5750792110080791E-3</c:v>
                </c:pt>
                <c:pt idx="1940">
                  <c:v>1.6211256009699415E-3</c:v>
                </c:pt>
                <c:pt idx="1941">
                  <c:v>1.6624697497189533E-3</c:v>
                </c:pt>
                <c:pt idx="1942">
                  <c:v>1.703793675369214E-3</c:v>
                </c:pt>
                <c:pt idx="1943">
                  <c:v>1.7451686856324589E-3</c:v>
                </c:pt>
                <c:pt idx="1944">
                  <c:v>1.8645200648401694E-3</c:v>
                </c:pt>
                <c:pt idx="1945">
                  <c:v>1.9124935837699919E-3</c:v>
                </c:pt>
                <c:pt idx="1946">
                  <c:v>1.9538595807466752E-3</c:v>
                </c:pt>
                <c:pt idx="1947">
                  <c:v>1.9950940227615455E-3</c:v>
                </c:pt>
                <c:pt idx="1948">
                  <c:v>2.036409600819189E-3</c:v>
                </c:pt>
                <c:pt idx="1949">
                  <c:v>2.160235322417714E-3</c:v>
                </c:pt>
                <c:pt idx="1950">
                  <c:v>2.2015721729196081E-3</c:v>
                </c:pt>
                <c:pt idx="1951">
                  <c:v>2.2430920381157904E-3</c:v>
                </c:pt>
                <c:pt idx="1952">
                  <c:v>2.2841440108403166E-3</c:v>
                </c:pt>
                <c:pt idx="1953">
                  <c:v>2.3255220259745801E-3</c:v>
                </c:pt>
                <c:pt idx="1954">
                  <c:v>2.4495554298413769E-3</c:v>
                </c:pt>
                <c:pt idx="1955">
                  <c:v>2.4909342319459071E-3</c:v>
                </c:pt>
                <c:pt idx="1956">
                  <c:v>2.5322317228466673E-3</c:v>
                </c:pt>
                <c:pt idx="1957">
                  <c:v>2.5528459062096331E-3</c:v>
                </c:pt>
                <c:pt idx="1958">
                  <c:v>2.5735407623781459E-3</c:v>
                </c:pt>
                <c:pt idx="1959">
                  <c:v>2.617230712062435E-3</c:v>
                </c:pt>
                <c:pt idx="1960">
                  <c:v>2.6379530579281329E-3</c:v>
                </c:pt>
                <c:pt idx="1961">
                  <c:v>2.6586135149495593E-3</c:v>
                </c:pt>
                <c:pt idx="1962">
                  <c:v>2.6931838881787407E-3</c:v>
                </c:pt>
                <c:pt idx="1963">
                  <c:v>2.6909015934697411E-3</c:v>
                </c:pt>
                <c:pt idx="1964">
                  <c:v>2.9379744058555257E-3</c:v>
                </c:pt>
                <c:pt idx="1965">
                  <c:v>2.9726379837184957E-3</c:v>
                </c:pt>
                <c:pt idx="1966">
                  <c:v>3.0072596463821544E-3</c:v>
                </c:pt>
                <c:pt idx="1967">
                  <c:v>3.1999273202369949E-3</c:v>
                </c:pt>
                <c:pt idx="1968">
                  <c:v>3.1993192752681754E-3</c:v>
                </c:pt>
                <c:pt idx="1969">
                  <c:v>3.2340967503525775E-3</c:v>
                </c:pt>
                <c:pt idx="1970">
                  <c:v>3.2687306000456218E-3</c:v>
                </c:pt>
                <c:pt idx="1971">
                  <c:v>3.4092385462989316E-3</c:v>
                </c:pt>
                <c:pt idx="1972">
                  <c:v>3.4439392593532681E-3</c:v>
                </c:pt>
                <c:pt idx="1973">
                  <c:v>3.4420444599685407E-3</c:v>
                </c:pt>
                <c:pt idx="1974">
                  <c:v>3.4767522060341616E-3</c:v>
                </c:pt>
                <c:pt idx="1975">
                  <c:v>3.5113975291873878E-3</c:v>
                </c:pt>
                <c:pt idx="1976">
                  <c:v>3.6520247904572312E-3</c:v>
                </c:pt>
                <c:pt idx="1977">
                  <c:v>3.6867061658589773E-3</c:v>
                </c:pt>
                <c:pt idx="1978">
                  <c:v>3.6847573764569042E-3</c:v>
                </c:pt>
                <c:pt idx="1979">
                  <c:v>3.719445815157707E-3</c:v>
                </c:pt>
                <c:pt idx="1980">
                  <c:v>3.75418384440529E-3</c:v>
                </c:pt>
                <c:pt idx="1981">
                  <c:v>3.8950631103897848E-3</c:v>
                </c:pt>
                <c:pt idx="1982">
                  <c:v>3.9298069034885419E-3</c:v>
                </c:pt>
                <c:pt idx="1983">
                  <c:v>3.9279466106687533E-3</c:v>
                </c:pt>
                <c:pt idx="1984">
                  <c:v>3.9626870680309345E-3</c:v>
                </c:pt>
                <c:pt idx="1985">
                  <c:v>3.9974873888091178E-3</c:v>
                </c:pt>
                <c:pt idx="1986">
                  <c:v>4.1386590355996233E-3</c:v>
                </c:pt>
                <c:pt idx="1987">
                  <c:v>4.1734446410317538E-3</c:v>
                </c:pt>
                <c:pt idx="1988">
                  <c:v>4.1713785764199152E-3</c:v>
                </c:pt>
                <c:pt idx="1989">
                  <c:v>4.2063347337120138E-3</c:v>
                </c:pt>
                <c:pt idx="1990">
                  <c:v>4.2410039920026676E-3</c:v>
                </c:pt>
                <c:pt idx="1991">
                  <c:v>4.3606995297882367E-3</c:v>
                </c:pt>
                <c:pt idx="1992">
                  <c:v>4.3745813094304697E-3</c:v>
                </c:pt>
                <c:pt idx="1993">
                  <c:v>4.3103984746617474E-3</c:v>
                </c:pt>
                <c:pt idx="1994">
                  <c:v>4.3383300098267519E-3</c:v>
                </c:pt>
                <c:pt idx="1995">
                  <c:v>4.3662491777798351E-3</c:v>
                </c:pt>
                <c:pt idx="1996">
                  <c:v>4.5281443107445529E-3</c:v>
                </c:pt>
                <c:pt idx="1997">
                  <c:v>4.5559927474965178E-3</c:v>
                </c:pt>
                <c:pt idx="1998">
                  <c:v>4.5054249588847295E-3</c:v>
                </c:pt>
                <c:pt idx="1999">
                  <c:v>4.5334527518225975E-3</c:v>
                </c:pt>
                <c:pt idx="2000">
                  <c:v>4.5613465289882082E-3</c:v>
                </c:pt>
                <c:pt idx="2001">
                  <c:v>4.7229969465392152E-3</c:v>
                </c:pt>
                <c:pt idx="2002">
                  <c:v>4.7508403039908664E-3</c:v>
                </c:pt>
                <c:pt idx="2003">
                  <c:v>4.7003145285646752E-3</c:v>
                </c:pt>
                <c:pt idx="2004">
                  <c:v>4.7281035570869712E-3</c:v>
                </c:pt>
                <c:pt idx="2005">
                  <c:v>4.7558699840695162E-3</c:v>
                </c:pt>
                <c:pt idx="2006">
                  <c:v>4.9174377190261964E-3</c:v>
                </c:pt>
                <c:pt idx="2007">
                  <c:v>4.9451538669902373E-3</c:v>
                </c:pt>
                <c:pt idx="2008">
                  <c:v>4.8943248095185687E-3</c:v>
                </c:pt>
                <c:pt idx="2009">
                  <c:v>4.9220986461739891E-3</c:v>
                </c:pt>
                <c:pt idx="2010">
                  <c:v>4.9499211322392433E-3</c:v>
                </c:pt>
                <c:pt idx="2011">
                  <c:v>5.1120781505318291E-3</c:v>
                </c:pt>
                <c:pt idx="2012">
                  <c:v>5.1399623336703115E-3</c:v>
                </c:pt>
                <c:pt idx="2013">
                  <c:v>5.0896629438652585E-3</c:v>
                </c:pt>
                <c:pt idx="2014">
                  <c:v>5.1176149556471096E-3</c:v>
                </c:pt>
                <c:pt idx="2015">
                  <c:v>5.1453912175285499E-3</c:v>
                </c:pt>
                <c:pt idx="2016">
                  <c:v>5.3076068732633708E-3</c:v>
                </c:pt>
                <c:pt idx="2017">
                  <c:v>5.3355467822424618E-3</c:v>
                </c:pt>
                <c:pt idx="2018">
                  <c:v>5.2853192198460963E-3</c:v>
                </c:pt>
                <c:pt idx="2019">
                  <c:v>5.313245512426068E-3</c:v>
                </c:pt>
                <c:pt idx="2020">
                  <c:v>5.3411392215023668E-3</c:v>
                </c:pt>
                <c:pt idx="2021">
                  <c:v>5.5032214770542875E-3</c:v>
                </c:pt>
                <c:pt idx="2022">
                  <c:v>5.5310037596454364E-3</c:v>
                </c:pt>
                <c:pt idx="2023">
                  <c:v>5.4805429939830397E-3</c:v>
                </c:pt>
                <c:pt idx="2024">
                  <c:v>5.5222977659099559E-3</c:v>
                </c:pt>
                <c:pt idx="2025">
                  <c:v>5.5640796870395359E-3</c:v>
                </c:pt>
                <c:pt idx="2026">
                  <c:v>5.7538672869290597E-3</c:v>
                </c:pt>
                <c:pt idx="2027">
                  <c:v>5.7816324110600004E-3</c:v>
                </c:pt>
                <c:pt idx="2028">
                  <c:v>5.5961689566517148E-3</c:v>
                </c:pt>
                <c:pt idx="2029">
                  <c:v>5.623760931137145E-3</c:v>
                </c:pt>
                <c:pt idx="2030">
                  <c:v>5.6514413792501106E-3</c:v>
                </c:pt>
                <c:pt idx="2031">
                  <c:v>5.681485413568943E-3</c:v>
                </c:pt>
                <c:pt idx="2032">
                  <c:v>5.7092466629544703E-3</c:v>
                </c:pt>
                <c:pt idx="2033">
                  <c:v>5.7370252866533189E-3</c:v>
                </c:pt>
                <c:pt idx="2034">
                  <c:v>5.7650141997149795E-3</c:v>
                </c:pt>
                <c:pt idx="2035">
                  <c:v>6.0114182351829193E-3</c:v>
                </c:pt>
                <c:pt idx="2036">
                  <c:v>6.0392753448663683E-3</c:v>
                </c:pt>
                <c:pt idx="2037">
                  <c:v>6.0671598839954211E-3</c:v>
                </c:pt>
                <c:pt idx="2038">
                  <c:v>6.0950717865291271E-3</c:v>
                </c:pt>
                <c:pt idx="2039">
                  <c:v>6.2847729502863992E-3</c:v>
                </c:pt>
                <c:pt idx="2040">
                  <c:v>6.2063554592313164E-3</c:v>
                </c:pt>
                <c:pt idx="2041">
                  <c:v>6.2342724491668555E-3</c:v>
                </c:pt>
                <c:pt idx="2042">
                  <c:v>6.2622473960725067E-3</c:v>
                </c:pt>
                <c:pt idx="2043">
                  <c:v>6.2902495546253157E-3</c:v>
                </c:pt>
                <c:pt idx="2044">
                  <c:v>6.4804059337495445E-3</c:v>
                </c:pt>
                <c:pt idx="2045">
                  <c:v>6.4020254944701094E-3</c:v>
                </c:pt>
                <c:pt idx="2046">
                  <c:v>6.4299520444015545E-3</c:v>
                </c:pt>
                <c:pt idx="2047">
                  <c:v>6.457794390981153E-3</c:v>
                </c:pt>
                <c:pt idx="2048">
                  <c:v>6.4856439080172024E-3</c:v>
                </c:pt>
                <c:pt idx="2049">
                  <c:v>6.7560295954647298E-3</c:v>
                </c:pt>
                <c:pt idx="2050">
                  <c:v>6.596151584527199E-3</c:v>
                </c:pt>
                <c:pt idx="2051">
                  <c:v>6.6238851604125681E-3</c:v>
                </c:pt>
                <c:pt idx="2052">
                  <c:v>6.6519007542684694E-3</c:v>
                </c:pt>
                <c:pt idx="2053">
                  <c:v>6.6797503339253161E-3</c:v>
                </c:pt>
                <c:pt idx="2054">
                  <c:v>6.8696645179402438E-3</c:v>
                </c:pt>
                <c:pt idx="2055">
                  <c:v>6.7913126984671113E-3</c:v>
                </c:pt>
                <c:pt idx="2056">
                  <c:v>6.819086852264622E-3</c:v>
                </c:pt>
                <c:pt idx="2057">
                  <c:v>6.8538425913908796E-3</c:v>
                </c:pt>
                <c:pt idx="2058">
                  <c:v>6.8746518322078121E-3</c:v>
                </c:pt>
                <c:pt idx="2059">
                  <c:v>7.0716214484931594E-3</c:v>
                </c:pt>
                <c:pt idx="2060">
                  <c:v>6.9581235633588978E-3</c:v>
                </c:pt>
                <c:pt idx="2061">
                  <c:v>6.9790098526740785E-3</c:v>
                </c:pt>
                <c:pt idx="2062">
                  <c:v>7.000024773841762E-3</c:v>
                </c:pt>
                <c:pt idx="2063">
                  <c:v>7.0209448332194668E-3</c:v>
                </c:pt>
                <c:pt idx="2064">
                  <c:v>7.2182269519487363E-3</c:v>
                </c:pt>
                <c:pt idx="2065">
                  <c:v>7.1050971990171963E-3</c:v>
                </c:pt>
                <c:pt idx="2066">
                  <c:v>7.126276891682215E-3</c:v>
                </c:pt>
                <c:pt idx="2067">
                  <c:v>7.1472520734956468E-3</c:v>
                </c:pt>
                <c:pt idx="2068">
                  <c:v>7.1682142181974662E-3</c:v>
                </c:pt>
                <c:pt idx="2069">
                  <c:v>7.365636809301801E-3</c:v>
                </c:pt>
                <c:pt idx="2070">
                  <c:v>7.2524085493466117E-3</c:v>
                </c:pt>
                <c:pt idx="2071">
                  <c:v>7.2733970886404986E-3</c:v>
                </c:pt>
                <c:pt idx="2072">
                  <c:v>7.294546325941953E-3</c:v>
                </c:pt>
                <c:pt idx="2073">
                  <c:v>7.315498915061891E-3</c:v>
                </c:pt>
                <c:pt idx="2074">
                  <c:v>7.5126176423629953E-3</c:v>
                </c:pt>
                <c:pt idx="2075">
                  <c:v>7.3992393617858809E-3</c:v>
                </c:pt>
                <c:pt idx="2076">
                  <c:v>7.4201170849812481E-3</c:v>
                </c:pt>
                <c:pt idx="2077">
                  <c:v>7.4409820867464838E-3</c:v>
                </c:pt>
                <c:pt idx="2078">
                  <c:v>7.4618844381171279E-3</c:v>
                </c:pt>
                <c:pt idx="2079">
                  <c:v>7.6588806160460265E-3</c:v>
                </c:pt>
                <c:pt idx="2080">
                  <c:v>7.5452107229185827E-3</c:v>
                </c:pt>
                <c:pt idx="2081">
                  <c:v>7.5660986265040364E-3</c:v>
                </c:pt>
                <c:pt idx="2082">
                  <c:v>7.5870542607892055E-3</c:v>
                </c:pt>
                <c:pt idx="2083">
                  <c:v>7.6079568335520875E-3</c:v>
                </c:pt>
                <c:pt idx="2084">
                  <c:v>7.804801130076644E-3</c:v>
                </c:pt>
                <c:pt idx="2085">
                  <c:v>7.6910944434298578E-3</c:v>
                </c:pt>
                <c:pt idx="2086">
                  <c:v>7.7119834251448971E-3</c:v>
                </c:pt>
                <c:pt idx="2087">
                  <c:v>7.7398547411902108E-3</c:v>
                </c:pt>
                <c:pt idx="2088">
                  <c:v>7.753826383782858E-3</c:v>
                </c:pt>
                <c:pt idx="2089">
                  <c:v>7.9581959283261394E-3</c:v>
                </c:pt>
                <c:pt idx="2090">
                  <c:v>7.8099108805482764E-3</c:v>
                </c:pt>
                <c:pt idx="2091">
                  <c:v>7.8238811020339138E-3</c:v>
                </c:pt>
                <c:pt idx="2092">
                  <c:v>7.8380513504874294E-3</c:v>
                </c:pt>
                <c:pt idx="2093">
                  <c:v>7.8522091684380957E-3</c:v>
                </c:pt>
                <c:pt idx="2094">
                  <c:v>8.0566776303145904E-3</c:v>
                </c:pt>
                <c:pt idx="2095">
                  <c:v>7.9096192098442319E-3</c:v>
                </c:pt>
                <c:pt idx="2096">
                  <c:v>7.9237040657416102E-3</c:v>
                </c:pt>
                <c:pt idx="2097">
                  <c:v>7.9378671235226239E-3</c:v>
                </c:pt>
                <c:pt idx="2098">
                  <c:v>7.9519766814506454E-3</c:v>
                </c:pt>
                <c:pt idx="2099">
                  <c:v>7.8317099374591859E-3</c:v>
                </c:pt>
                <c:pt idx="2100">
                  <c:v>7.8458522033630906E-3</c:v>
                </c:pt>
                <c:pt idx="2101">
                  <c:v>7.8600221427782557E-3</c:v>
                </c:pt>
                <c:pt idx="2102">
                  <c:v>7.8741593004461041E-3</c:v>
                </c:pt>
                <c:pt idx="2103">
                  <c:v>7.7261636859413674E-3</c:v>
                </c:pt>
                <c:pt idx="2104">
                  <c:v>7.9307475145409256E-3</c:v>
                </c:pt>
                <c:pt idx="2105">
                  <c:v>7.9447217151891181E-3</c:v>
                </c:pt>
                <c:pt idx="2106">
                  <c:v>7.9586330849337195E-3</c:v>
                </c:pt>
                <c:pt idx="2107">
                  <c:v>7.9725216199033611E-3</c:v>
                </c:pt>
                <c:pt idx="2108">
                  <c:v>7.8240780385896436E-3</c:v>
                </c:pt>
                <c:pt idx="2109">
                  <c:v>8.028626997272692E-3</c:v>
                </c:pt>
                <c:pt idx="2110">
                  <c:v>8.0427257504820382E-3</c:v>
                </c:pt>
                <c:pt idx="2111">
                  <c:v>8.0568727286103314E-3</c:v>
                </c:pt>
                <c:pt idx="2112">
                  <c:v>8.0709268967749104E-3</c:v>
                </c:pt>
                <c:pt idx="2113">
                  <c:v>7.8421394724208504E-3</c:v>
                </c:pt>
                <c:pt idx="2114">
                  <c:v>8.1280304521715863E-3</c:v>
                </c:pt>
                <c:pt idx="2115">
                  <c:v>8.1419232067942993E-3</c:v>
                </c:pt>
                <c:pt idx="2116">
                  <c:v>8.1561451348390879E-3</c:v>
                </c:pt>
                <c:pt idx="2117">
                  <c:v>8.1773654398529239E-3</c:v>
                </c:pt>
                <c:pt idx="2118">
                  <c:v>8.0362301357446153E-3</c:v>
                </c:pt>
                <c:pt idx="2119">
                  <c:v>8.2621021516167126E-3</c:v>
                </c:pt>
                <c:pt idx="2120">
                  <c:v>8.2833560177399956E-3</c:v>
                </c:pt>
                <c:pt idx="2121">
                  <c:v>8.2975510379916795E-3</c:v>
                </c:pt>
                <c:pt idx="2122">
                  <c:v>8.3116631866173574E-3</c:v>
                </c:pt>
                <c:pt idx="2123">
                  <c:v>8.1494906944663548E-3</c:v>
                </c:pt>
                <c:pt idx="2124">
                  <c:v>8.3682954349770799E-3</c:v>
                </c:pt>
                <c:pt idx="2125">
                  <c:v>8.3825449966516974E-3</c:v>
                </c:pt>
                <c:pt idx="2126">
                  <c:v>8.3967208234956292E-3</c:v>
                </c:pt>
                <c:pt idx="2127">
                  <c:v>8.4107430923530124E-3</c:v>
                </c:pt>
                <c:pt idx="2128">
                  <c:v>8.2483596271840653E-3</c:v>
                </c:pt>
                <c:pt idx="2129">
                  <c:v>8.4672107231900107E-3</c:v>
                </c:pt>
                <c:pt idx="2130">
                  <c:v>8.4811292435016394E-3</c:v>
                </c:pt>
                <c:pt idx="2131">
                  <c:v>8.4953381546855056E-3</c:v>
                </c:pt>
                <c:pt idx="2132">
                  <c:v>8.5094542595929301E-3</c:v>
                </c:pt>
                <c:pt idx="2133">
                  <c:v>8.3468114475206967E-3</c:v>
                </c:pt>
                <c:pt idx="2134">
                  <c:v>8.5655201548917592E-3</c:v>
                </c:pt>
                <c:pt idx="2135">
                  <c:v>8.5796135862656886E-3</c:v>
                </c:pt>
                <c:pt idx="2136">
                  <c:v>8.5938457945700097E-3</c:v>
                </c:pt>
                <c:pt idx="2137">
                  <c:v>8.607994580150935E-3</c:v>
                </c:pt>
                <c:pt idx="2138">
                  <c:v>8.4455871433273266E-3</c:v>
                </c:pt>
                <c:pt idx="2139">
                  <c:v>8.6642929862861262E-3</c:v>
                </c:pt>
                <c:pt idx="2140">
                  <c:v>8.6784896152518609E-3</c:v>
                </c:pt>
                <c:pt idx="2141">
                  <c:v>8.6927040549982237E-3</c:v>
                </c:pt>
                <c:pt idx="2142">
                  <c:v>8.7068753462091752E-3</c:v>
                </c:pt>
                <c:pt idx="2143">
                  <c:v>8.5447209044133832E-3</c:v>
                </c:pt>
                <c:pt idx="2144">
                  <c:v>8.7635543707036412E-3</c:v>
                </c:pt>
                <c:pt idx="2145">
                  <c:v>8.7776926481197837E-3</c:v>
                </c:pt>
                <c:pt idx="2146">
                  <c:v>8.7918277500211861E-3</c:v>
                </c:pt>
                <c:pt idx="2147">
                  <c:v>8.8059710036576533E-3</c:v>
                </c:pt>
                <c:pt idx="2148">
                  <c:v>8.6440705573822552E-3</c:v>
                </c:pt>
                <c:pt idx="2149">
                  <c:v>8.8627618897076932E-3</c:v>
                </c:pt>
                <c:pt idx="2150">
                  <c:v>8.8768831229111278E-3</c:v>
                </c:pt>
                <c:pt idx="2151">
                  <c:v>8.8840581390285944E-3</c:v>
                </c:pt>
                <c:pt idx="2152">
                  <c:v>8.8981823063700727E-3</c:v>
                </c:pt>
                <c:pt idx="2153">
                  <c:v>8.721722927181208E-3</c:v>
                </c:pt>
                <c:pt idx="2154">
                  <c:v>8.9546989191779947E-3</c:v>
                </c:pt>
                <c:pt idx="2155">
                  <c:v>8.9689093690283883E-3</c:v>
                </c:pt>
                <c:pt idx="2156">
                  <c:v>8.9830262760410839E-3</c:v>
                </c:pt>
                <c:pt idx="2157">
                  <c:v>8.9971804969040114E-3</c:v>
                </c:pt>
                <c:pt idx="2158">
                  <c:v>8.8208280548802698E-3</c:v>
                </c:pt>
                <c:pt idx="2159">
                  <c:v>9.0517420747875388E-3</c:v>
                </c:pt>
                <c:pt idx="2160">
                  <c:v>9.0656925889929241E-3</c:v>
                </c:pt>
                <c:pt idx="2161">
                  <c:v>9.0795897046405116E-3</c:v>
                </c:pt>
                <c:pt idx="2162">
                  <c:v>9.0934636708284167E-3</c:v>
                </c:pt>
                <c:pt idx="2163">
                  <c:v>8.9164254976632495E-3</c:v>
                </c:pt>
                <c:pt idx="2164">
                  <c:v>9.1488737535478926E-3</c:v>
                </c:pt>
                <c:pt idx="2165">
                  <c:v>9.1627746360181117E-3</c:v>
                </c:pt>
                <c:pt idx="2166">
                  <c:v>9.1766528331194142E-3</c:v>
                </c:pt>
                <c:pt idx="2167">
                  <c:v>9.1906688852472218E-3</c:v>
                </c:pt>
                <c:pt idx="2168">
                  <c:v>9.0139709829399894E-3</c:v>
                </c:pt>
                <c:pt idx="2169">
                  <c:v>9.246824977605872E-3</c:v>
                </c:pt>
                <c:pt idx="2170">
                  <c:v>9.2609276491899539E-3</c:v>
                </c:pt>
                <c:pt idx="2171">
                  <c:v>9.2750572166573342E-3</c:v>
                </c:pt>
                <c:pt idx="2172">
                  <c:v>9.2890734619626159E-3</c:v>
                </c:pt>
                <c:pt idx="2173">
                  <c:v>9.1123017255019256E-3</c:v>
                </c:pt>
                <c:pt idx="2174">
                  <c:v>9.3452200570478539E-3</c:v>
                </c:pt>
                <c:pt idx="2175">
                  <c:v>9.3592320869988477E-3</c:v>
                </c:pt>
                <c:pt idx="2176">
                  <c:v>9.3733020315023285E-3</c:v>
                </c:pt>
                <c:pt idx="2177">
                  <c:v>9.3872494133679929E-3</c:v>
                </c:pt>
                <c:pt idx="2178">
                  <c:v>9.2103457779770803E-3</c:v>
                </c:pt>
                <c:pt idx="2179">
                  <c:v>9.4434721923735143E-3</c:v>
                </c:pt>
                <c:pt idx="2180">
                  <c:v>9.4573557860428981E-3</c:v>
                </c:pt>
                <c:pt idx="2181">
                  <c:v>9.4637184688965981E-3</c:v>
                </c:pt>
                <c:pt idx="2182">
                  <c:v>9.4706480639279444E-3</c:v>
                </c:pt>
                <c:pt idx="2183">
                  <c:v>9.2728415440335166E-3</c:v>
                </c:pt>
                <c:pt idx="2184">
                  <c:v>9.4985906191507041E-3</c:v>
                </c:pt>
                <c:pt idx="2185">
                  <c:v>9.5055528015557389E-3</c:v>
                </c:pt>
                <c:pt idx="2186">
                  <c:v>9.5126436601717934E-3</c:v>
                </c:pt>
                <c:pt idx="2187">
                  <c:v>9.519652495572517E-3</c:v>
                </c:pt>
                <c:pt idx="2188">
                  <c:v>9.3218102618581877E-3</c:v>
                </c:pt>
                <c:pt idx="2189">
                  <c:v>9.5476613925897791E-3</c:v>
                </c:pt>
                <c:pt idx="2190">
                  <c:v>9.5545518694177822E-3</c:v>
                </c:pt>
                <c:pt idx="2191">
                  <c:v>9.5615113487073078E-3</c:v>
                </c:pt>
                <c:pt idx="2192">
                  <c:v>9.5683796956400613E-3</c:v>
                </c:pt>
                <c:pt idx="2193">
                  <c:v>9.3704805701400051E-3</c:v>
                </c:pt>
                <c:pt idx="2194">
                  <c:v>9.5962258055648508E-3</c:v>
                </c:pt>
                <c:pt idx="2195">
                  <c:v>9.6031758665260369E-3</c:v>
                </c:pt>
                <c:pt idx="2196">
                  <c:v>9.610155105760354E-3</c:v>
                </c:pt>
                <c:pt idx="2197">
                  <c:v>9.6172529820173214E-3</c:v>
                </c:pt>
                <c:pt idx="2198">
                  <c:v>9.4194896879711276E-3</c:v>
                </c:pt>
                <c:pt idx="2199">
                  <c:v>9.6454771270793049E-3</c:v>
                </c:pt>
                <c:pt idx="2200">
                  <c:v>9.6525168069250267E-3</c:v>
                </c:pt>
                <c:pt idx="2201">
                  <c:v>9.6595648974577841E-3</c:v>
                </c:pt>
                <c:pt idx="2202">
                  <c:v>9.6667422316274454E-3</c:v>
                </c:pt>
                <c:pt idx="2203">
                  <c:v>9.468655236138046E-3</c:v>
                </c:pt>
                <c:pt idx="2204">
                  <c:v>9.6946452848007958E-3</c:v>
                </c:pt>
                <c:pt idx="2205">
                  <c:v>9.7017340757641346E-3</c:v>
                </c:pt>
                <c:pt idx="2206">
                  <c:v>9.7088310675286227E-3</c:v>
                </c:pt>
                <c:pt idx="2207">
                  <c:v>9.7158966471790897E-3</c:v>
                </c:pt>
                <c:pt idx="2208">
                  <c:v>9.5180515095087959E-3</c:v>
                </c:pt>
                <c:pt idx="2209">
                  <c:v>9.7439746970706675E-3</c:v>
                </c:pt>
                <c:pt idx="2210">
                  <c:v>9.7509229298831102E-3</c:v>
                </c:pt>
                <c:pt idx="2211">
                  <c:v>9.7580191409634143E-3</c:v>
                </c:pt>
                <c:pt idx="2212">
                  <c:v>9.7650836698319754E-3</c:v>
                </c:pt>
                <c:pt idx="2213">
                  <c:v>9.5676023685664635E-3</c:v>
                </c:pt>
                <c:pt idx="2214">
                  <c:v>9.7937174605238209E-3</c:v>
                </c:pt>
                <c:pt idx="2215">
                  <c:v>9.8007253139136274E-3</c:v>
                </c:pt>
                <c:pt idx="2216">
                  <c:v>9.8007241051947247E-3</c:v>
                </c:pt>
                <c:pt idx="2217">
                  <c:v>9.8007027806221725E-3</c:v>
                </c:pt>
                <c:pt idx="2218">
                  <c:v>9.5815255646936048E-3</c:v>
                </c:pt>
                <c:pt idx="2219">
                  <c:v>1.001871905497298E-2</c:v>
                </c:pt>
                <c:pt idx="2220">
                  <c:v>1.001860359051876E-2</c:v>
                </c:pt>
                <c:pt idx="2221">
                  <c:v>1.0018467942358722E-2</c:v>
                </c:pt>
                <c:pt idx="2222">
                  <c:v>1.0344497414393139E-2</c:v>
                </c:pt>
                <c:pt idx="2223">
                  <c:v>1.0127516614582222E-2</c:v>
                </c:pt>
                <c:pt idx="2224">
                  <c:v>1.0127657451961092E-2</c:v>
                </c:pt>
                <c:pt idx="2225">
                  <c:v>1.0127708762601051E-2</c:v>
                </c:pt>
                <c:pt idx="2226">
                  <c:v>1.0346939801105126E-2</c:v>
                </c:pt>
                <c:pt idx="2227">
                  <c:v>1.0347056121793319E-2</c:v>
                </c:pt>
                <c:pt idx="2228">
                  <c:v>1.0128409381896963E-2</c:v>
                </c:pt>
                <c:pt idx="2229">
                  <c:v>1.0128578592824899E-2</c:v>
                </c:pt>
                <c:pt idx="2230">
                  <c:v>1.0128747867292454E-2</c:v>
                </c:pt>
                <c:pt idx="2231">
                  <c:v>1.0347890966048601E-2</c:v>
                </c:pt>
                <c:pt idx="2232">
                  <c:v>1.0347916961507053E-2</c:v>
                </c:pt>
                <c:pt idx="2233">
                  <c:v>1.0128975012070773E-2</c:v>
                </c:pt>
                <c:pt idx="2234">
                  <c:v>1.0129033890772021E-2</c:v>
                </c:pt>
                <c:pt idx="2235">
                  <c:v>1.0129111824791037E-2</c:v>
                </c:pt>
                <c:pt idx="2236">
                  <c:v>1.0348195879577249E-2</c:v>
                </c:pt>
                <c:pt idx="2237">
                  <c:v>1.0348121056102944E-2</c:v>
                </c:pt>
                <c:pt idx="2238">
                  <c:v>1.0128916072799976E-2</c:v>
                </c:pt>
                <c:pt idx="2239">
                  <c:v>1.0128913944099205E-2</c:v>
                </c:pt>
                <c:pt idx="2240">
                  <c:v>1.0128951523788343E-2</c:v>
                </c:pt>
                <c:pt idx="2241">
                  <c:v>1.0348116257799855E-2</c:v>
                </c:pt>
                <c:pt idx="2242">
                  <c:v>1.0348288676793826E-2</c:v>
                </c:pt>
                <c:pt idx="2243">
                  <c:v>1.0129397161807496E-2</c:v>
                </c:pt>
                <c:pt idx="2244">
                  <c:v>1.0129247724329549E-2</c:v>
                </c:pt>
                <c:pt idx="2245">
                  <c:v>1.0129902545333191E-2</c:v>
                </c:pt>
                <c:pt idx="2246">
                  <c:v>1.0349245706295473E-2</c:v>
                </c:pt>
                <c:pt idx="2247">
                  <c:v>1.0349357238656376E-2</c:v>
                </c:pt>
                <c:pt idx="2248">
                  <c:v>1.0130570308896747E-2</c:v>
                </c:pt>
                <c:pt idx="2249">
                  <c:v>1.0130794554938927E-2</c:v>
                </c:pt>
                <c:pt idx="2250">
                  <c:v>1.0130968842966492E-2</c:v>
                </c:pt>
                <c:pt idx="2251">
                  <c:v>1.0350587895962216E-2</c:v>
                </c:pt>
                <c:pt idx="2252">
                  <c:v>1.0350787426783414E-2</c:v>
                </c:pt>
                <c:pt idx="2253">
                  <c:v>1.0131865991134026E-2</c:v>
                </c:pt>
                <c:pt idx="2254">
                  <c:v>1.0132088329139144E-2</c:v>
                </c:pt>
                <c:pt idx="2255">
                  <c:v>1.0132340282331231E-2</c:v>
                </c:pt>
                <c:pt idx="2256">
                  <c:v>1.0351960121138148E-2</c:v>
                </c:pt>
                <c:pt idx="2257">
                  <c:v>1.0352078493168992E-2</c:v>
                </c:pt>
                <c:pt idx="2258">
                  <c:v>1.0133371101629596E-2</c:v>
                </c:pt>
                <c:pt idx="2259">
                  <c:v>1.0133572513614686E-2</c:v>
                </c:pt>
                <c:pt idx="2260">
                  <c:v>1.0133794074950409E-2</c:v>
                </c:pt>
                <c:pt idx="2261">
                  <c:v>1.0353166818332316E-2</c:v>
                </c:pt>
                <c:pt idx="2262">
                  <c:v>1.0353216259308295E-2</c:v>
                </c:pt>
                <c:pt idx="2263">
                  <c:v>1.0134197812726953E-2</c:v>
                </c:pt>
                <c:pt idx="2264">
                  <c:v>1.0134280096941728E-2</c:v>
                </c:pt>
                <c:pt idx="2265">
                  <c:v>1.013382098760518E-2</c:v>
                </c:pt>
                <c:pt idx="2266">
                  <c:v>1.0352947811093527E-2</c:v>
                </c:pt>
                <c:pt idx="2267">
                  <c:v>1.0353284866500889E-2</c:v>
                </c:pt>
                <c:pt idx="2268">
                  <c:v>1.0134410158974205E-2</c:v>
                </c:pt>
                <c:pt idx="2269">
                  <c:v>1.0134442095736551E-2</c:v>
                </c:pt>
                <c:pt idx="2270">
                  <c:v>1.0134532619641812E-2</c:v>
                </c:pt>
                <c:pt idx="2271">
                  <c:v>1.0353845599829103E-2</c:v>
                </c:pt>
                <c:pt idx="2272">
                  <c:v>1.0353873298641458E-2</c:v>
                </c:pt>
                <c:pt idx="2273">
                  <c:v>1.0134917053683745E-2</c:v>
                </c:pt>
                <c:pt idx="2274">
                  <c:v>1.0135056695400158E-2</c:v>
                </c:pt>
                <c:pt idx="2275">
                  <c:v>1.0135146287438168E-2</c:v>
                </c:pt>
                <c:pt idx="2276">
                  <c:v>1.0354596258274062E-2</c:v>
                </c:pt>
                <c:pt idx="2277">
                  <c:v>1.0354651288142058E-2</c:v>
                </c:pt>
                <c:pt idx="2278">
                  <c:v>1.0135700475960352E-2</c:v>
                </c:pt>
                <c:pt idx="2279">
                  <c:v>1.0135908157107965E-2</c:v>
                </c:pt>
                <c:pt idx="2280">
                  <c:v>1.0136066508270813E-2</c:v>
                </c:pt>
                <c:pt idx="2281">
                  <c:v>1.0355634875125475E-2</c:v>
                </c:pt>
                <c:pt idx="2282">
                  <c:v>1.0355926836876916E-2</c:v>
                </c:pt>
                <c:pt idx="2283">
                  <c:v>9.9186434819382718E-3</c:v>
                </c:pt>
                <c:pt idx="2284">
                  <c:v>9.9188148243010144E-3</c:v>
                </c:pt>
                <c:pt idx="2285">
                  <c:v>1.035624931548873E-2</c:v>
                </c:pt>
                <c:pt idx="2286">
                  <c:v>9.9206404836762463E-3</c:v>
                </c:pt>
                <c:pt idx="2287">
                  <c:v>9.8110718936992303E-3</c:v>
                </c:pt>
                <c:pt idx="2288">
                  <c:v>9.8111352110310523E-3</c:v>
                </c:pt>
                <c:pt idx="2289">
                  <c:v>9.8113949996510019E-3</c:v>
                </c:pt>
                <c:pt idx="2290">
                  <c:v>9.5925903298428317E-3</c:v>
                </c:pt>
                <c:pt idx="2291">
                  <c:v>9.8117731285660703E-3</c:v>
                </c:pt>
                <c:pt idx="2292">
                  <c:v>9.8118944253933194E-3</c:v>
                </c:pt>
                <c:pt idx="2293">
                  <c:v>9.8119758478869556E-3</c:v>
                </c:pt>
                <c:pt idx="2294">
                  <c:v>9.8120279704776436E-3</c:v>
                </c:pt>
                <c:pt idx="2295">
                  <c:v>9.5931722226476612E-3</c:v>
                </c:pt>
                <c:pt idx="2296">
                  <c:v>9.8126778881717502E-3</c:v>
                </c:pt>
                <c:pt idx="2297">
                  <c:v>9.8127293301597529E-3</c:v>
                </c:pt>
                <c:pt idx="2298">
                  <c:v>9.8129277491523226E-3</c:v>
                </c:pt>
                <c:pt idx="2299">
                  <c:v>9.8129589100361958E-3</c:v>
                </c:pt>
                <c:pt idx="2300">
                  <c:v>9.5941588283503521E-3</c:v>
                </c:pt>
                <c:pt idx="2301">
                  <c:v>9.8136534774080353E-3</c:v>
                </c:pt>
                <c:pt idx="2302">
                  <c:v>9.8138809113630376E-3</c:v>
                </c:pt>
                <c:pt idx="2303">
                  <c:v>9.8139704305706399E-3</c:v>
                </c:pt>
                <c:pt idx="2304">
                  <c:v>9.8141281838839411E-3</c:v>
                </c:pt>
                <c:pt idx="2305">
                  <c:v>9.595325156059209E-3</c:v>
                </c:pt>
                <c:pt idx="2306">
                  <c:v>9.8144458095343889E-3</c:v>
                </c:pt>
                <c:pt idx="2307">
                  <c:v>9.8144166909768238E-3</c:v>
                </c:pt>
                <c:pt idx="2308">
                  <c:v>9.9233537221212753E-3</c:v>
                </c:pt>
                <c:pt idx="2309">
                  <c:v>9.813815064438014E-3</c:v>
                </c:pt>
                <c:pt idx="2310">
                  <c:v>9.5948614972580781E-3</c:v>
                </c:pt>
                <c:pt idx="2311">
                  <c:v>9.8140690991250779E-3</c:v>
                </c:pt>
                <c:pt idx="2312">
                  <c:v>9.8140975805314223E-3</c:v>
                </c:pt>
                <c:pt idx="2313">
                  <c:v>9.8140379868132399E-3</c:v>
                </c:pt>
                <c:pt idx="2314">
                  <c:v>9.8139490209667724E-3</c:v>
                </c:pt>
                <c:pt idx="2315">
                  <c:v>9.5944143370949586E-3</c:v>
                </c:pt>
                <c:pt idx="2316">
                  <c:v>9.8133955879897705E-3</c:v>
                </c:pt>
                <c:pt idx="2317">
                  <c:v>9.8133351516638267E-3</c:v>
                </c:pt>
                <c:pt idx="2318">
                  <c:v>9.8132253703668848E-3</c:v>
                </c:pt>
                <c:pt idx="2319">
                  <c:v>9.8131446884426321E-3</c:v>
                </c:pt>
                <c:pt idx="2320">
                  <c:v>9.5937754475921011E-3</c:v>
                </c:pt>
                <c:pt idx="2321">
                  <c:v>9.8122967070986E-3</c:v>
                </c:pt>
                <c:pt idx="2322">
                  <c:v>9.8121084373647971E-3</c:v>
                </c:pt>
                <c:pt idx="2323">
                  <c:v>9.8121541919693467E-3</c:v>
                </c:pt>
                <c:pt idx="2324">
                  <c:v>9.812190475340099E-3</c:v>
                </c:pt>
                <c:pt idx="2325">
                  <c:v>9.593221307544697E-3</c:v>
                </c:pt>
                <c:pt idx="2326">
                  <c:v>9.8126688346724666E-3</c:v>
                </c:pt>
                <c:pt idx="2327">
                  <c:v>9.812832083491152E-3</c:v>
                </c:pt>
                <c:pt idx="2328">
                  <c:v>9.8129170748404437E-3</c:v>
                </c:pt>
                <c:pt idx="2329">
                  <c:v>9.8135331201203435E-3</c:v>
                </c:pt>
                <c:pt idx="2330">
                  <c:v>9.5947587864988471E-3</c:v>
                </c:pt>
                <c:pt idx="2331">
                  <c:v>9.8127149891149568E-3</c:v>
                </c:pt>
                <c:pt idx="2332">
                  <c:v>9.8127784605770429E-3</c:v>
                </c:pt>
                <c:pt idx="2333">
                  <c:v>9.8129504308146487E-3</c:v>
                </c:pt>
                <c:pt idx="2334">
                  <c:v>9.813082474744439E-3</c:v>
                </c:pt>
                <c:pt idx="2335">
                  <c:v>9.5940803222207549E-3</c:v>
                </c:pt>
                <c:pt idx="2336">
                  <c:v>9.8136991683104302E-3</c:v>
                </c:pt>
                <c:pt idx="2337">
                  <c:v>9.8138994431042903E-3</c:v>
                </c:pt>
                <c:pt idx="2338">
                  <c:v>9.8139530992868984E-3</c:v>
                </c:pt>
                <c:pt idx="2339">
                  <c:v>9.8070522198692167E-3</c:v>
                </c:pt>
                <c:pt idx="2340">
                  <c:v>9.5808832583152981E-3</c:v>
                </c:pt>
                <c:pt idx="2341">
                  <c:v>9.7793256691451891E-3</c:v>
                </c:pt>
                <c:pt idx="2342">
                  <c:v>9.7724317207965594E-3</c:v>
                </c:pt>
                <c:pt idx="2343">
                  <c:v>9.7656362764166893E-3</c:v>
                </c:pt>
                <c:pt idx="2344">
                  <c:v>9.7587939982728411E-3</c:v>
                </c:pt>
                <c:pt idx="2345">
                  <c:v>9.5326837724398761E-3</c:v>
                </c:pt>
                <c:pt idx="2346">
                  <c:v>9.7312809880514273E-3</c:v>
                </c:pt>
                <c:pt idx="2347">
                  <c:v>9.7244651972987484E-3</c:v>
                </c:pt>
                <c:pt idx="2348">
                  <c:v>9.7176507908827148E-3</c:v>
                </c:pt>
                <c:pt idx="2349">
                  <c:v>9.2737856661821993E-3</c:v>
                </c:pt>
                <c:pt idx="2350">
                  <c:v>9.3764576728803117E-3</c:v>
                </c:pt>
                <c:pt idx="2351">
                  <c:v>9.6839786308269282E-3</c:v>
                </c:pt>
                <c:pt idx="2352">
                  <c:v>9.6772111131491201E-3</c:v>
                </c:pt>
                <c:pt idx="2353">
                  <c:v>9.670230146155312E-3</c:v>
                </c:pt>
                <c:pt idx="2354">
                  <c:v>9.6632503205671405E-3</c:v>
                </c:pt>
                <c:pt idx="2355">
                  <c:v>9.4373267877121414E-3</c:v>
                </c:pt>
                <c:pt idx="2356">
                  <c:v>9.6358548644894793E-3</c:v>
                </c:pt>
                <c:pt idx="2357">
                  <c:v>9.628931332249957E-3</c:v>
                </c:pt>
                <c:pt idx="2358">
                  <c:v>9.6220581645332093E-3</c:v>
                </c:pt>
                <c:pt idx="2359">
                  <c:v>9.6152251814018985E-3</c:v>
                </c:pt>
                <c:pt idx="2360">
                  <c:v>9.3890284562399007E-3</c:v>
                </c:pt>
                <c:pt idx="2361">
                  <c:v>9.587410509113159E-3</c:v>
                </c:pt>
                <c:pt idx="2362">
                  <c:v>9.5803991853022907E-3</c:v>
                </c:pt>
                <c:pt idx="2363">
                  <c:v>9.5734967195533205E-3</c:v>
                </c:pt>
                <c:pt idx="2364">
                  <c:v>9.5665662209656332E-3</c:v>
                </c:pt>
                <c:pt idx="2365">
                  <c:v>9.3404192704009681E-3</c:v>
                </c:pt>
                <c:pt idx="2366">
                  <c:v>9.5388770694291303E-3</c:v>
                </c:pt>
                <c:pt idx="2367">
                  <c:v>9.5320312839013432E-3</c:v>
                </c:pt>
                <c:pt idx="2368">
                  <c:v>9.5251377398566373E-3</c:v>
                </c:pt>
                <c:pt idx="2369">
                  <c:v>9.5182944710563433E-3</c:v>
                </c:pt>
                <c:pt idx="2370">
                  <c:v>9.2924510679368577E-3</c:v>
                </c:pt>
                <c:pt idx="2371">
                  <c:v>9.4910152317324581E-3</c:v>
                </c:pt>
                <c:pt idx="2372">
                  <c:v>9.3756450869524333E-3</c:v>
                </c:pt>
                <c:pt idx="2373">
                  <c:v>9.4784090863462289E-3</c:v>
                </c:pt>
                <c:pt idx="2374">
                  <c:v>9.4712074372893529E-3</c:v>
                </c:pt>
                <c:pt idx="2375">
                  <c:v>9.2452670574942886E-3</c:v>
                </c:pt>
                <c:pt idx="2376">
                  <c:v>9.4438195820245596E-3</c:v>
                </c:pt>
                <c:pt idx="2377">
                  <c:v>9.4370321594383633E-3</c:v>
                </c:pt>
                <c:pt idx="2378">
                  <c:v>9.4302463917601553E-3</c:v>
                </c:pt>
                <c:pt idx="2379">
                  <c:v>9.4235790126735441E-3</c:v>
                </c:pt>
                <c:pt idx="2380">
                  <c:v>9.1978442267808269E-3</c:v>
                </c:pt>
                <c:pt idx="2381">
                  <c:v>9.3963572212838464E-3</c:v>
                </c:pt>
                <c:pt idx="2382">
                  <c:v>9.3895404494304113E-3</c:v>
                </c:pt>
                <c:pt idx="2383">
                  <c:v>9.3826957210230155E-3</c:v>
                </c:pt>
                <c:pt idx="2384">
                  <c:v>9.3759114335763005E-3</c:v>
                </c:pt>
                <c:pt idx="2385">
                  <c:v>9.1505292214726364E-3</c:v>
                </c:pt>
                <c:pt idx="2386">
                  <c:v>9.3492057165329712E-3</c:v>
                </c:pt>
                <c:pt idx="2387">
                  <c:v>9.3422523354087517E-3</c:v>
                </c:pt>
                <c:pt idx="2388">
                  <c:v>9.3353490932477357E-3</c:v>
                </c:pt>
                <c:pt idx="2389">
                  <c:v>9.3283695001964428E-3</c:v>
                </c:pt>
                <c:pt idx="2390">
                  <c:v>9.1023059221961855E-3</c:v>
                </c:pt>
                <c:pt idx="2391">
                  <c:v>9.3007665526418926E-3</c:v>
                </c:pt>
                <c:pt idx="2392">
                  <c:v>9.293920187335436E-3</c:v>
                </c:pt>
                <c:pt idx="2393">
                  <c:v>9.287084865096551E-3</c:v>
                </c:pt>
                <c:pt idx="2394">
                  <c:v>9.2802409341972147E-3</c:v>
                </c:pt>
                <c:pt idx="2395">
                  <c:v>9.0556970527135849E-3</c:v>
                </c:pt>
                <c:pt idx="2396">
                  <c:v>9.2532590047917918E-3</c:v>
                </c:pt>
                <c:pt idx="2397">
                  <c:v>9.2463252491812309E-3</c:v>
                </c:pt>
                <c:pt idx="2398">
                  <c:v>9.2393249933926391E-3</c:v>
                </c:pt>
                <c:pt idx="2399">
                  <c:v>9.2323748040521458E-3</c:v>
                </c:pt>
                <c:pt idx="2400">
                  <c:v>9.0061014164957154E-3</c:v>
                </c:pt>
                <c:pt idx="2401">
                  <c:v>9.2044235944626074E-3</c:v>
                </c:pt>
                <c:pt idx="2402">
                  <c:v>9.1975387641145545E-3</c:v>
                </c:pt>
                <c:pt idx="2403">
                  <c:v>9.197595340132203E-3</c:v>
                </c:pt>
                <c:pt idx="2404">
                  <c:v>9.1976712544927786E-3</c:v>
                </c:pt>
                <c:pt idx="2405">
                  <c:v>8.9924718335927523E-3</c:v>
                </c:pt>
                <c:pt idx="2406">
                  <c:v>9.197809598104012E-3</c:v>
                </c:pt>
                <c:pt idx="2407">
                  <c:v>9.1977008808781235E-3</c:v>
                </c:pt>
                <c:pt idx="2408">
                  <c:v>9.1977565148886331E-3</c:v>
                </c:pt>
                <c:pt idx="2409">
                  <c:v>9.1908347202642737E-3</c:v>
                </c:pt>
                <c:pt idx="2410">
                  <c:v>8.978458501531561E-3</c:v>
                </c:pt>
                <c:pt idx="2411">
                  <c:v>9.162669685610636E-3</c:v>
                </c:pt>
                <c:pt idx="2412">
                  <c:v>9.1556872068776496E-3</c:v>
                </c:pt>
                <c:pt idx="2413">
                  <c:v>9.1487931498961395E-3</c:v>
                </c:pt>
                <c:pt idx="2414">
                  <c:v>9.141890438241207E-3</c:v>
                </c:pt>
                <c:pt idx="2415">
                  <c:v>8.9302419467687244E-3</c:v>
                </c:pt>
                <c:pt idx="2416">
                  <c:v>9.114633501284386E-3</c:v>
                </c:pt>
                <c:pt idx="2417">
                  <c:v>9.1075643143223584E-3</c:v>
                </c:pt>
                <c:pt idx="2418">
                  <c:v>9.1006403814037906E-3</c:v>
                </c:pt>
                <c:pt idx="2419">
                  <c:v>9.0935544857819739E-3</c:v>
                </c:pt>
                <c:pt idx="2420">
                  <c:v>8.8810937291854408E-3</c:v>
                </c:pt>
                <c:pt idx="2421">
                  <c:v>9.0654743786826586E-3</c:v>
                </c:pt>
                <c:pt idx="2422">
                  <c:v>9.0585010579791181E-3</c:v>
                </c:pt>
                <c:pt idx="2423">
                  <c:v>9.0515095125267564E-3</c:v>
                </c:pt>
                <c:pt idx="2424">
                  <c:v>9.0445964762080333E-3</c:v>
                </c:pt>
                <c:pt idx="2425">
                  <c:v>8.8325030258999959E-3</c:v>
                </c:pt>
                <c:pt idx="2426">
                  <c:v>9.016824169773674E-3</c:v>
                </c:pt>
                <c:pt idx="2427">
                  <c:v>9.0098505521178929E-3</c:v>
                </c:pt>
                <c:pt idx="2428">
                  <c:v>9.00286858261512E-3</c:v>
                </c:pt>
                <c:pt idx="2429">
                  <c:v>8.9958876879703276E-3</c:v>
                </c:pt>
                <c:pt idx="2430">
                  <c:v>8.7836687981051043E-3</c:v>
                </c:pt>
                <c:pt idx="2431">
                  <c:v>8.96806378081072E-3</c:v>
                </c:pt>
                <c:pt idx="2432">
                  <c:v>8.9610602554828223E-3</c:v>
                </c:pt>
                <c:pt idx="2433">
                  <c:v>8.954077251090764E-3</c:v>
                </c:pt>
                <c:pt idx="2434">
                  <c:v>8.9400951903719772E-3</c:v>
                </c:pt>
                <c:pt idx="2435">
                  <c:v>8.7209100002640927E-3</c:v>
                </c:pt>
                <c:pt idx="2436">
                  <c:v>8.8843979781547677E-3</c:v>
                </c:pt>
                <c:pt idx="2437">
                  <c:v>8.870352929765124E-3</c:v>
                </c:pt>
                <c:pt idx="2438">
                  <c:v>8.8566490569175205E-3</c:v>
                </c:pt>
                <c:pt idx="2439">
                  <c:v>8.8426672684125407E-3</c:v>
                </c:pt>
                <c:pt idx="2440">
                  <c:v>8.6231191325349954E-3</c:v>
                </c:pt>
                <c:pt idx="2441">
                  <c:v>8.7862986080566863E-3</c:v>
                </c:pt>
                <c:pt idx="2442">
                  <c:v>8.7722926077091756E-3</c:v>
                </c:pt>
                <c:pt idx="2443">
                  <c:v>8.7582797122485179E-3</c:v>
                </c:pt>
                <c:pt idx="2444">
                  <c:v>8.7441925581432933E-3</c:v>
                </c:pt>
                <c:pt idx="2445">
                  <c:v>8.5249636304718379E-3</c:v>
                </c:pt>
                <c:pt idx="2446">
                  <c:v>8.688141624120016E-3</c:v>
                </c:pt>
                <c:pt idx="2447">
                  <c:v>8.6740780924299266E-3</c:v>
                </c:pt>
                <c:pt idx="2448">
                  <c:v>8.6600943979795453E-3</c:v>
                </c:pt>
                <c:pt idx="2449">
                  <c:v>8.6461421724264298E-3</c:v>
                </c:pt>
                <c:pt idx="2450">
                  <c:v>8.4269052673617839E-3</c:v>
                </c:pt>
                <c:pt idx="2451">
                  <c:v>8.5902346630923887E-3</c:v>
                </c:pt>
                <c:pt idx="2452">
                  <c:v>8.576257476178295E-3</c:v>
                </c:pt>
                <c:pt idx="2453">
                  <c:v>8.562331031948256E-3</c:v>
                </c:pt>
                <c:pt idx="2454">
                  <c:v>8.5484070943144808E-3</c:v>
                </c:pt>
                <c:pt idx="2455">
                  <c:v>8.329249168446351E-3</c:v>
                </c:pt>
                <c:pt idx="2456">
                  <c:v>8.4927868160680209E-3</c:v>
                </c:pt>
                <c:pt idx="2457">
                  <c:v>8.4788381571971883E-3</c:v>
                </c:pt>
                <c:pt idx="2458">
                  <c:v>8.464806006166059E-3</c:v>
                </c:pt>
                <c:pt idx="2459">
                  <c:v>8.4508248936565611E-3</c:v>
                </c:pt>
                <c:pt idx="2460">
                  <c:v>8.2324500678858659E-3</c:v>
                </c:pt>
                <c:pt idx="2461">
                  <c:v>8.3955751802853307E-3</c:v>
                </c:pt>
                <c:pt idx="2462">
                  <c:v>8.381627070501052E-3</c:v>
                </c:pt>
                <c:pt idx="2463">
                  <c:v>8.3676435201116561E-3</c:v>
                </c:pt>
                <c:pt idx="2464">
                  <c:v>8.3537202665451282E-3</c:v>
                </c:pt>
                <c:pt idx="2465">
                  <c:v>8.1346442600416236E-3</c:v>
                </c:pt>
                <c:pt idx="2466">
                  <c:v>8.297939521645592E-3</c:v>
                </c:pt>
                <c:pt idx="2467">
                  <c:v>8.2839436698434188E-3</c:v>
                </c:pt>
                <c:pt idx="2468">
                  <c:v>8.2699124159792969E-3</c:v>
                </c:pt>
                <c:pt idx="2469">
                  <c:v>8.2559125645091935E-3</c:v>
                </c:pt>
                <c:pt idx="2470">
                  <c:v>8.0368201601854761E-3</c:v>
                </c:pt>
                <c:pt idx="2471">
                  <c:v>8.2003044761844723E-3</c:v>
                </c:pt>
                <c:pt idx="2472">
                  <c:v>8.1863086622231407E-3</c:v>
                </c:pt>
                <c:pt idx="2473">
                  <c:v>8.179247595351713E-3</c:v>
                </c:pt>
                <c:pt idx="2474">
                  <c:v>8.1653325051669334E-3</c:v>
                </c:pt>
                <c:pt idx="2475">
                  <c:v>7.9604739778649236E-3</c:v>
                </c:pt>
                <c:pt idx="2476">
                  <c:v>8.109813520317255E-3</c:v>
                </c:pt>
                <c:pt idx="2477">
                  <c:v>8.0957013105347198E-3</c:v>
                </c:pt>
                <c:pt idx="2478">
                  <c:v>8.2444082351986747E-3</c:v>
                </c:pt>
                <c:pt idx="2479">
                  <c:v>8.148765931683899E-3</c:v>
                </c:pt>
                <c:pt idx="2480">
                  <c:v>7.8619478619845751E-3</c:v>
                </c:pt>
                <c:pt idx="2481">
                  <c:v>8.0113789883178299E-3</c:v>
                </c:pt>
                <c:pt idx="2482">
                  <c:v>7.9973513823257125E-3</c:v>
                </c:pt>
                <c:pt idx="2483">
                  <c:v>8.0645440082658393E-3</c:v>
                </c:pt>
                <c:pt idx="2484">
                  <c:v>8.0509062837901268E-3</c:v>
                </c:pt>
                <c:pt idx="2485">
                  <c:v>8.0093374742884471E-3</c:v>
                </c:pt>
                <c:pt idx="2486">
                  <c:v>7.9954515302766982E-3</c:v>
                </c:pt>
                <c:pt idx="2487">
                  <c:v>7.9815679908674664E-3</c:v>
                </c:pt>
                <c:pt idx="2488">
                  <c:v>7.9676200847365042E-3</c:v>
                </c:pt>
                <c:pt idx="2489">
                  <c:v>7.9537987629940687E-3</c:v>
                </c:pt>
                <c:pt idx="2490">
                  <c:v>7.9121415225604785E-3</c:v>
                </c:pt>
                <c:pt idx="2491">
                  <c:v>7.8982830605260901E-3</c:v>
                </c:pt>
                <c:pt idx="2492">
                  <c:v>7.8844556859019033E-3</c:v>
                </c:pt>
                <c:pt idx="2493">
                  <c:v>7.8706306331119968E-3</c:v>
                </c:pt>
                <c:pt idx="2494">
                  <c:v>7.8567698632687755E-3</c:v>
                </c:pt>
                <c:pt idx="2495">
                  <c:v>7.8152126102966069E-3</c:v>
                </c:pt>
                <c:pt idx="2496">
                  <c:v>7.8013240302605702E-3</c:v>
                </c:pt>
                <c:pt idx="2497">
                  <c:v>7.7874758844562741E-3</c:v>
                </c:pt>
                <c:pt idx="2498">
                  <c:v>7.7805845724314704E-3</c:v>
                </c:pt>
                <c:pt idx="2499">
                  <c:v>7.773751421039421E-3</c:v>
                </c:pt>
                <c:pt idx="2500">
                  <c:v>7.753183018277765E-3</c:v>
                </c:pt>
                <c:pt idx="2501">
                  <c:v>7.7463834006232801E-3</c:v>
                </c:pt>
                <c:pt idx="2502">
                  <c:v>7.7395849044274989E-3</c:v>
                </c:pt>
                <c:pt idx="2503">
                  <c:v>7.7328063067501063E-3</c:v>
                </c:pt>
                <c:pt idx="2504">
                  <c:v>7.7263063953250111E-3</c:v>
                </c:pt>
                <c:pt idx="2505">
                  <c:v>7.7052416274721036E-3</c:v>
                </c:pt>
                <c:pt idx="2506">
                  <c:v>7.6983837180633063E-3</c:v>
                </c:pt>
                <c:pt idx="2507">
                  <c:v>7.691498459244217E-3</c:v>
                </c:pt>
                <c:pt idx="2508">
                  <c:v>7.6776087802610249E-3</c:v>
                </c:pt>
                <c:pt idx="2509">
                  <c:v>7.663787767258734E-3</c:v>
                </c:pt>
                <c:pt idx="2510">
                  <c:v>7.6219784008106917E-3</c:v>
                </c:pt>
                <c:pt idx="2511">
                  <c:v>7.6080437026884162E-3</c:v>
                </c:pt>
                <c:pt idx="2512">
                  <c:v>7.5941396996610511E-3</c:v>
                </c:pt>
                <c:pt idx="2513">
                  <c:v>7.5801714420622446E-3</c:v>
                </c:pt>
                <c:pt idx="2514">
                  <c:v>7.5662338109301341E-3</c:v>
                </c:pt>
                <c:pt idx="2515">
                  <c:v>7.5243405650147199E-3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6E-4A45-A6AB-FF86BE16D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4915311"/>
        <c:axId val="254923119"/>
      </c:lineChart>
      <c:dateAx>
        <c:axId val="2549153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4923119"/>
        <c:crosses val="autoZero"/>
        <c:auto val="1"/>
        <c:lblOffset val="100"/>
        <c:baseTimeUnit val="days"/>
      </c:dateAx>
      <c:valAx>
        <c:axId val="2549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4915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de</a:t>
            </a:r>
            <a:r>
              <a:rPr lang="fr-FR" baseline="0"/>
              <a:t> l'allocation en fonction de l'horizon de retraite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v>Actions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'Poids Allocation Dynamique'!$A$3:$A$43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 Dynamique'!$B$3:$B$43</c:f>
              <c:numCache>
                <c:formatCode>0.00</c:formatCode>
                <c:ptCount val="4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0.98</c:v>
                </c:pt>
                <c:pt idx="26">
                  <c:v>0.96</c:v>
                </c:pt>
                <c:pt idx="27">
                  <c:v>0.94</c:v>
                </c:pt>
                <c:pt idx="28">
                  <c:v>0.8899999999999999</c:v>
                </c:pt>
                <c:pt idx="29">
                  <c:v>0.83999999999999986</c:v>
                </c:pt>
                <c:pt idx="30">
                  <c:v>0.78999999999999981</c:v>
                </c:pt>
                <c:pt idx="31">
                  <c:v>0.73999999999999977</c:v>
                </c:pt>
                <c:pt idx="32">
                  <c:v>0.68999999999999972</c:v>
                </c:pt>
                <c:pt idx="33">
                  <c:v>0.63999999999999968</c:v>
                </c:pt>
                <c:pt idx="34">
                  <c:v>0.58999999999999964</c:v>
                </c:pt>
                <c:pt idx="35">
                  <c:v>0.53999999999999959</c:v>
                </c:pt>
                <c:pt idx="36">
                  <c:v>0.46999999999999958</c:v>
                </c:pt>
                <c:pt idx="37">
                  <c:v>0.39999999999999958</c:v>
                </c:pt>
                <c:pt idx="38">
                  <c:v>0.32999999999999957</c:v>
                </c:pt>
                <c:pt idx="39">
                  <c:v>0.25999999999999956</c:v>
                </c:pt>
                <c:pt idx="40">
                  <c:v>0.25999999999999956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D2-47C4-ACD1-E1E5B53A45BB}"/>
            </c:ext>
          </c:extLst>
        </c:ser>
        <c:ser>
          <c:idx val="1"/>
          <c:order val="1"/>
          <c:tx>
            <c:v>Obligations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'Poids Allocation Dynamique'!$A$3:$A$43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 Dynamique'!$C$3:$C$43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0.02</c:v>
                </c:pt>
                <c:pt idx="26">
                  <c:v>4.0000000000000036E-2</c:v>
                </c:pt>
                <c:pt idx="27">
                  <c:v>6.0000000000000053E-2</c:v>
                </c:pt>
                <c:pt idx="28">
                  <c:v>0.1100000000000001</c:v>
                </c:pt>
                <c:pt idx="29">
                  <c:v>0.16000000000000014</c:v>
                </c:pt>
                <c:pt idx="30">
                  <c:v>0.18000000000000019</c:v>
                </c:pt>
                <c:pt idx="31">
                  <c:v>0.20000000000000023</c:v>
                </c:pt>
                <c:pt idx="32">
                  <c:v>0.22000000000000028</c:v>
                </c:pt>
                <c:pt idx="33">
                  <c:v>0.24000000000000032</c:v>
                </c:pt>
                <c:pt idx="34">
                  <c:v>0.26000000000000034</c:v>
                </c:pt>
                <c:pt idx="35">
                  <c:v>0.28000000000000042</c:v>
                </c:pt>
                <c:pt idx="36">
                  <c:v>0.3300000000000004</c:v>
                </c:pt>
                <c:pt idx="37">
                  <c:v>0.30000000000000049</c:v>
                </c:pt>
                <c:pt idx="38">
                  <c:v>0.27000000000000046</c:v>
                </c:pt>
                <c:pt idx="39">
                  <c:v>0.24000000000000044</c:v>
                </c:pt>
                <c:pt idx="40">
                  <c:v>0.24000000000000044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D2-47C4-ACD1-E1E5B53A45BB}"/>
            </c:ext>
          </c:extLst>
        </c:ser>
        <c:ser>
          <c:idx val="2"/>
          <c:order val="2"/>
          <c:tx>
            <c:v>Monétaire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'Poids Allocation Dynamique'!$A$3:$A$43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 Dynamique'!$D$3:$D$43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0.03</c:v>
                </c:pt>
                <c:pt idx="31">
                  <c:v>0.06</c:v>
                </c:pt>
                <c:pt idx="32">
                  <c:v>0.09</c:v>
                </c:pt>
                <c:pt idx="33">
                  <c:v>0.12</c:v>
                </c:pt>
                <c:pt idx="34">
                  <c:v>0.15</c:v>
                </c:pt>
                <c:pt idx="35">
                  <c:v>0.18</c:v>
                </c:pt>
                <c:pt idx="36">
                  <c:v>0.2</c:v>
                </c:pt>
                <c:pt idx="37">
                  <c:v>0.3</c:v>
                </c:pt>
                <c:pt idx="38">
                  <c:v>0.4</c:v>
                </c:pt>
                <c:pt idx="39">
                  <c:v>0.5</c:v>
                </c:pt>
                <c:pt idx="4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D2-47C4-ACD1-E1E5B53A4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089616"/>
        <c:axId val="1257040943"/>
      </c:areaChart>
      <c:catAx>
        <c:axId val="1947089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7040943"/>
        <c:crosses val="autoZero"/>
        <c:auto val="1"/>
        <c:lblAlgn val="ctr"/>
        <c:lblOffset val="100"/>
        <c:noMultiLvlLbl val="0"/>
      </c:catAx>
      <c:valAx>
        <c:axId val="1257040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708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Rendement</a:t>
            </a:r>
            <a:r>
              <a:rPr lang="fr-FR" baseline="0"/>
              <a:t> annuel</a:t>
            </a:r>
            <a:r>
              <a:rPr lang="fr-FR"/>
              <a:t> en fonction de l'horizon d'investissement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'Poids Allocation Dynamique'!$A$3:$A$43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 Dynamique'!$G$3:$G$43</c:f>
              <c:numCache>
                <c:formatCode>0.00%</c:formatCode>
                <c:ptCount val="41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5.9499999999999997E-2</c:v>
                </c:pt>
                <c:pt idx="26">
                  <c:v>5.8999999999999997E-2</c:v>
                </c:pt>
                <c:pt idx="27">
                  <c:v>5.8499999999999996E-2</c:v>
                </c:pt>
                <c:pt idx="28">
                  <c:v>5.7249999999999995E-2</c:v>
                </c:pt>
                <c:pt idx="29">
                  <c:v>5.5999999999999994E-2</c:v>
                </c:pt>
                <c:pt idx="30">
                  <c:v>5.4299999999999994E-2</c:v>
                </c:pt>
                <c:pt idx="31">
                  <c:v>5.2599999999999987E-2</c:v>
                </c:pt>
                <c:pt idx="32">
                  <c:v>5.0899999999999994E-2</c:v>
                </c:pt>
                <c:pt idx="33">
                  <c:v>4.9199999999999994E-2</c:v>
                </c:pt>
                <c:pt idx="34">
                  <c:v>4.7499999999999994E-2</c:v>
                </c:pt>
                <c:pt idx="35">
                  <c:v>4.5799999999999993E-2</c:v>
                </c:pt>
                <c:pt idx="36">
                  <c:v>4.3749999999999997E-2</c:v>
                </c:pt>
                <c:pt idx="37">
                  <c:v>4.0499999999999987E-2</c:v>
                </c:pt>
                <c:pt idx="38">
                  <c:v>3.7249999999999991E-2</c:v>
                </c:pt>
                <c:pt idx="39">
                  <c:v>3.3999999999999989E-2</c:v>
                </c:pt>
                <c:pt idx="40">
                  <c:v>3.3999999999999989E-2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73-40EE-A455-129C2DA08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953935"/>
        <c:axId val="1387624351"/>
      </c:lineChart>
      <c:catAx>
        <c:axId val="138795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7624351"/>
        <c:crosses val="autoZero"/>
        <c:auto val="1"/>
        <c:lblAlgn val="ctr"/>
        <c:lblOffset val="100"/>
        <c:noMultiLvlLbl val="0"/>
      </c:catAx>
      <c:valAx>
        <c:axId val="138762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7953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Vol annuelle</a:t>
            </a:r>
            <a:r>
              <a:rPr lang="fr-FR" baseline="0"/>
              <a:t> en fonction de l'horizon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'Poids Allocation Dynamique'!$A$3:$A$43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 Dynamique'!$I$3:$I$43</c:f>
              <c:numCache>
                <c:formatCode>0.00%</c:formatCode>
                <c:ptCount val="41"/>
                <c:pt idx="0">
                  <c:v>0.13864325645361686</c:v>
                </c:pt>
                <c:pt idx="1">
                  <c:v>0.13864325645361686</c:v>
                </c:pt>
                <c:pt idx="2">
                  <c:v>0.13864325645361686</c:v>
                </c:pt>
                <c:pt idx="3">
                  <c:v>0.13864325645361686</c:v>
                </c:pt>
                <c:pt idx="4">
                  <c:v>0.13864325645361686</c:v>
                </c:pt>
                <c:pt idx="5">
                  <c:v>0.13864325645361686</c:v>
                </c:pt>
                <c:pt idx="6">
                  <c:v>0.13864325645361686</c:v>
                </c:pt>
                <c:pt idx="7">
                  <c:v>0.13864325645361686</c:v>
                </c:pt>
                <c:pt idx="8">
                  <c:v>0.13864325645361686</c:v>
                </c:pt>
                <c:pt idx="9">
                  <c:v>0.13864325645361686</c:v>
                </c:pt>
                <c:pt idx="10">
                  <c:v>0.13864325645361686</c:v>
                </c:pt>
                <c:pt idx="11">
                  <c:v>0.13864325645361686</c:v>
                </c:pt>
                <c:pt idx="12">
                  <c:v>0.13864325645361686</c:v>
                </c:pt>
                <c:pt idx="13">
                  <c:v>0.13864325645361686</c:v>
                </c:pt>
                <c:pt idx="14">
                  <c:v>0.13864325645361686</c:v>
                </c:pt>
                <c:pt idx="15">
                  <c:v>0.13864325645361686</c:v>
                </c:pt>
                <c:pt idx="16">
                  <c:v>0.13864325645361686</c:v>
                </c:pt>
                <c:pt idx="17">
                  <c:v>0.13864325645361686</c:v>
                </c:pt>
                <c:pt idx="18">
                  <c:v>0.13864325645361686</c:v>
                </c:pt>
                <c:pt idx="19">
                  <c:v>0.13864325645361686</c:v>
                </c:pt>
                <c:pt idx="20">
                  <c:v>0.13864325645361686</c:v>
                </c:pt>
                <c:pt idx="21">
                  <c:v>0.13864325645361686</c:v>
                </c:pt>
                <c:pt idx="22">
                  <c:v>0.13864325645361686</c:v>
                </c:pt>
                <c:pt idx="23">
                  <c:v>0.13864325645361686</c:v>
                </c:pt>
                <c:pt idx="24">
                  <c:v>0.13864325645361686</c:v>
                </c:pt>
                <c:pt idx="25">
                  <c:v>0.13613412868208652</c:v>
                </c:pt>
                <c:pt idx="26">
                  <c:v>0.13363192398892088</c:v>
                </c:pt>
                <c:pt idx="27">
                  <c:v>0.13113703866914517</c:v>
                </c:pt>
                <c:pt idx="28">
                  <c:v>0.12493472210534935</c:v>
                </c:pt>
                <c:pt idx="29">
                  <c:v>0.11878849773992571</c:v>
                </c:pt>
                <c:pt idx="30">
                  <c:v>0.11222584773238532</c:v>
                </c:pt>
                <c:pt idx="31">
                  <c:v>0.10568396202402372</c:v>
                </c:pt>
                <c:pt idx="32">
                  <c:v>9.9166950063196896E-2</c:v>
                </c:pt>
                <c:pt idx="33">
                  <c:v>9.2680059163103887E-2</c:v>
                </c:pt>
                <c:pt idx="34">
                  <c:v>8.623008740581703E-2</c:v>
                </c:pt>
                <c:pt idx="35">
                  <c:v>7.9825984537942291E-2</c:v>
                </c:pt>
                <c:pt idx="36">
                  <c:v>7.1442000793090585E-2</c:v>
                </c:pt>
                <c:pt idx="37">
                  <c:v>6.1422498256422535E-2</c:v>
                </c:pt>
                <c:pt idx="38">
                  <c:v>5.1447693128319393E-2</c:v>
                </c:pt>
                <c:pt idx="39">
                  <c:v>4.1549789239133758E-2</c:v>
                </c:pt>
                <c:pt idx="40">
                  <c:v>4.1549789239133758E-2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D-44CA-89F1-56933B45F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51647"/>
        <c:axId val="1931736112"/>
      </c:lineChart>
      <c:catAx>
        <c:axId val="2285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1736112"/>
        <c:crosses val="autoZero"/>
        <c:auto val="1"/>
        <c:lblAlgn val="ctr"/>
        <c:lblOffset val="100"/>
        <c:noMultiLvlLbl val="0"/>
      </c:catAx>
      <c:valAx>
        <c:axId val="193173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851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</xdr:row>
      <xdr:rowOff>127000</xdr:rowOff>
    </xdr:from>
    <xdr:to>
      <xdr:col>18</xdr:col>
      <xdr:colOff>139700</xdr:colOff>
      <xdr:row>19</xdr:row>
      <xdr:rowOff>177800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B598DB5-D2F9-0D50-D5B4-E54672D41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590550</xdr:colOff>
      <xdr:row>21</xdr:row>
      <xdr:rowOff>50800</xdr:rowOff>
    </xdr:from>
    <xdr:to>
      <xdr:col>18</xdr:col>
      <xdr:colOff>190500</xdr:colOff>
      <xdr:row>36</xdr:row>
      <xdr:rowOff>152400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F22D8C55-561A-2029-1CDC-012D456C8C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666750</xdr:colOff>
      <xdr:row>38</xdr:row>
      <xdr:rowOff>38100</xdr:rowOff>
    </xdr:from>
    <xdr:to>
      <xdr:col>18</xdr:col>
      <xdr:colOff>317500</xdr:colOff>
      <xdr:row>57</xdr:row>
      <xdr:rowOff>114300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0C14FC6-ED2E-63C3-902F-393E7E6BE9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12700</xdr:rowOff>
        </xdr:from>
        <xdr:to>
          <xdr:col>6</xdr:col>
          <xdr:colOff>736600</xdr:colOff>
          <xdr:row>6</xdr:row>
          <xdr:rowOff>190500</xdr:rowOff>
        </xdr:to>
        <xdr:sp macro="" textlink="">
          <xdr:nvSpPr>
            <xdr:cNvPr id="3074" name="Button 2" descr="Période de versement&#10;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/>
                </a:rPr>
                <a:t>Set flux period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101600</xdr:rowOff>
    </xdr:from>
    <xdr:to>
      <xdr:col>17</xdr:col>
      <xdr:colOff>88900</xdr:colOff>
      <xdr:row>32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B713F76-745B-4E1A-38EF-3D608219DB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12700</xdr:rowOff>
        </xdr:from>
        <xdr:to>
          <xdr:col>6</xdr:col>
          <xdr:colOff>736600</xdr:colOff>
          <xdr:row>6</xdr:row>
          <xdr:rowOff>190500</xdr:rowOff>
        </xdr:to>
        <xdr:sp macro="" textlink="">
          <xdr:nvSpPr>
            <xdr:cNvPr id="11265" name="Button 1" descr="Période de versement&#10;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/>
                </a:rPr>
                <a:t>Set flux period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12700</xdr:rowOff>
        </xdr:from>
        <xdr:to>
          <xdr:col>6</xdr:col>
          <xdr:colOff>736600</xdr:colOff>
          <xdr:row>6</xdr:row>
          <xdr:rowOff>190500</xdr:rowOff>
        </xdr:to>
        <xdr:sp macro="" textlink="">
          <xdr:nvSpPr>
            <xdr:cNvPr id="17409" name="Button 1" descr="Période de versement&#10;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/>
                </a:rPr>
                <a:t>Set flux period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</xdr:row>
      <xdr:rowOff>127000</xdr:rowOff>
    </xdr:from>
    <xdr:to>
      <xdr:col>18</xdr:col>
      <xdr:colOff>139700</xdr:colOff>
      <xdr:row>19</xdr:row>
      <xdr:rowOff>177800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D120941-126F-4761-AE65-8AE0C5BB4C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590550</xdr:colOff>
      <xdr:row>21</xdr:row>
      <xdr:rowOff>50800</xdr:rowOff>
    </xdr:from>
    <xdr:to>
      <xdr:col>18</xdr:col>
      <xdr:colOff>190500</xdr:colOff>
      <xdr:row>36</xdr:row>
      <xdr:rowOff>152400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99BC1E9A-F1EB-4928-B147-7A4B96F86D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666750</xdr:colOff>
      <xdr:row>38</xdr:row>
      <xdr:rowOff>38100</xdr:rowOff>
    </xdr:from>
    <xdr:to>
      <xdr:col>18</xdr:col>
      <xdr:colOff>317500</xdr:colOff>
      <xdr:row>57</xdr:row>
      <xdr:rowOff>114300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665CF7D-F989-42C0-944F-E1FAACB19A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12700</xdr:rowOff>
        </xdr:from>
        <xdr:to>
          <xdr:col>6</xdr:col>
          <xdr:colOff>736600</xdr:colOff>
          <xdr:row>6</xdr:row>
          <xdr:rowOff>190500</xdr:rowOff>
        </xdr:to>
        <xdr:sp macro="" textlink="">
          <xdr:nvSpPr>
            <xdr:cNvPr id="24577" name="Button 1" descr="Période de versement&#10;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B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/>
                </a:rPr>
                <a:t>Set flux period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954BA-27E5-49D9-9C5B-29D69183967A}">
  <sheetPr>
    <tabColor rgb="FFFF0000"/>
  </sheetPr>
  <dimension ref="B2:P21"/>
  <sheetViews>
    <sheetView showGridLines="0" tabSelected="1" workbookViewId="0">
      <selection activeCell="B35" sqref="B35"/>
    </sheetView>
  </sheetViews>
  <sheetFormatPr baseColWidth="10" defaultRowHeight="16" x14ac:dyDescent="0.4"/>
  <sheetData>
    <row r="2" spans="2:16" ht="16.5" thickBot="1" x14ac:dyDescent="0.45"/>
    <row r="3" spans="2:16" x14ac:dyDescent="0.4">
      <c r="B3" s="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0"/>
    </row>
    <row r="4" spans="2:16" x14ac:dyDescent="0.4">
      <c r="B4" s="21"/>
      <c r="C4" s="110" t="s">
        <v>55</v>
      </c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22"/>
    </row>
    <row r="5" spans="2:16" x14ac:dyDescent="0.4">
      <c r="B5" s="21"/>
      <c r="C5" s="108"/>
      <c r="D5" s="108" t="s">
        <v>56</v>
      </c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22"/>
    </row>
    <row r="6" spans="2:16" x14ac:dyDescent="0.4">
      <c r="B6" s="21"/>
      <c r="C6" s="108"/>
      <c r="D6" s="108" t="s">
        <v>57</v>
      </c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22"/>
    </row>
    <row r="7" spans="2:16" x14ac:dyDescent="0.4">
      <c r="B7" s="21"/>
      <c r="C7" s="108"/>
      <c r="D7" s="108" t="s">
        <v>58</v>
      </c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22"/>
    </row>
    <row r="8" spans="2:16" x14ac:dyDescent="0.4">
      <c r="B8" s="21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22"/>
    </row>
    <row r="9" spans="2:16" x14ac:dyDescent="0.4">
      <c r="B9" s="21"/>
      <c r="C9" s="110" t="s">
        <v>59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22"/>
    </row>
    <row r="10" spans="2:16" x14ac:dyDescent="0.4">
      <c r="B10" s="21"/>
      <c r="C10" s="108"/>
      <c r="D10" s="108" t="s">
        <v>60</v>
      </c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22"/>
    </row>
    <row r="11" spans="2:16" x14ac:dyDescent="0.4">
      <c r="B11" s="21"/>
      <c r="C11" s="108"/>
      <c r="D11" s="109" t="s">
        <v>61</v>
      </c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22"/>
    </row>
    <row r="12" spans="2:16" x14ac:dyDescent="0.4">
      <c r="B12" s="21"/>
      <c r="C12" s="108"/>
      <c r="D12" s="108" t="s">
        <v>63</v>
      </c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22"/>
    </row>
    <row r="13" spans="2:16" x14ac:dyDescent="0.4">
      <c r="B13" s="21"/>
      <c r="C13" s="108"/>
      <c r="D13" s="108" t="s">
        <v>62</v>
      </c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22"/>
    </row>
    <row r="14" spans="2:16" x14ac:dyDescent="0.4">
      <c r="B14" s="21"/>
      <c r="C14" s="108"/>
      <c r="D14" s="108" t="s">
        <v>64</v>
      </c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22"/>
    </row>
    <row r="15" spans="2:16" x14ac:dyDescent="0.4">
      <c r="B15" s="21"/>
      <c r="C15" s="108"/>
      <c r="D15" s="108" t="s">
        <v>65</v>
      </c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22"/>
    </row>
    <row r="16" spans="2:16" x14ac:dyDescent="0.4">
      <c r="B16" s="21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22"/>
    </row>
    <row r="17" spans="2:16" x14ac:dyDescent="0.4">
      <c r="B17" s="21"/>
      <c r="C17" s="110" t="s">
        <v>66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22"/>
    </row>
    <row r="18" spans="2:16" x14ac:dyDescent="0.4">
      <c r="B18" s="21"/>
      <c r="C18" s="108"/>
      <c r="D18" s="108" t="s">
        <v>67</v>
      </c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22"/>
    </row>
    <row r="19" spans="2:16" x14ac:dyDescent="0.4">
      <c r="B19" s="21"/>
      <c r="C19" s="108"/>
      <c r="D19" s="108" t="s">
        <v>68</v>
      </c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22"/>
    </row>
    <row r="20" spans="2:16" x14ac:dyDescent="0.4">
      <c r="B20" s="21"/>
      <c r="C20" s="108"/>
      <c r="D20" s="108" t="s">
        <v>69</v>
      </c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22"/>
    </row>
    <row r="21" spans="2:16" ht="16.5" thickBot="1" x14ac:dyDescent="0.45">
      <c r="B21" s="23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CEEB9-A58B-EC44-BE3A-4DEE93FDC377}">
  <sheetPr codeName="Feuil7">
    <tabColor rgb="FFFF0000"/>
  </sheetPr>
  <dimension ref="D2:R39"/>
  <sheetViews>
    <sheetView showGridLines="0" zoomScaleNormal="100" workbookViewId="0">
      <selection activeCell="B35" sqref="B35"/>
    </sheetView>
  </sheetViews>
  <sheetFormatPr baseColWidth="10" defaultRowHeight="16" x14ac:dyDescent="0.4"/>
  <cols>
    <col min="14" max="14" width="36" bestFit="1" customWidth="1"/>
    <col min="16" max="16" width="11.75" bestFit="1" customWidth="1"/>
  </cols>
  <sheetData>
    <row r="2" spans="4:18" x14ac:dyDescent="0.4">
      <c r="G2" s="100" t="s">
        <v>47</v>
      </c>
      <c r="P2" s="101" t="s">
        <v>48</v>
      </c>
    </row>
    <row r="3" spans="4:18" ht="16.5" thickBot="1" x14ac:dyDescent="0.45"/>
    <row r="4" spans="4:18" x14ac:dyDescent="0.4">
      <c r="D4" s="9"/>
      <c r="E4" s="19"/>
      <c r="F4" s="19"/>
      <c r="G4" s="19"/>
      <c r="H4" s="19"/>
      <c r="I4" s="19"/>
      <c r="J4" s="19"/>
      <c r="K4" s="20"/>
      <c r="N4" s="106" t="s">
        <v>49</v>
      </c>
      <c r="O4" s="107"/>
      <c r="P4" s="102">
        <f>H25-H17</f>
        <v>7.9660275954069881E-3</v>
      </c>
      <c r="Q4" s="19"/>
      <c r="R4" s="20"/>
    </row>
    <row r="5" spans="4:18" x14ac:dyDescent="0.4">
      <c r="D5" s="21"/>
      <c r="K5" s="22"/>
      <c r="N5" s="21" t="s">
        <v>50</v>
      </c>
      <c r="P5" s="94">
        <f>H26-H18</f>
        <v>1.4629895424457473E-2</v>
      </c>
      <c r="R5" s="22"/>
    </row>
    <row r="6" spans="4:18" x14ac:dyDescent="0.4">
      <c r="D6" s="21"/>
      <c r="F6" s="99" t="s">
        <v>40</v>
      </c>
      <c r="K6" s="22"/>
      <c r="N6" s="21" t="s">
        <v>51</v>
      </c>
      <c r="P6" s="94">
        <f>H27-H19</f>
        <v>1.1184439924404765E-2</v>
      </c>
      <c r="R6" s="22"/>
    </row>
    <row r="7" spans="4:18" ht="16.5" thickBot="1" x14ac:dyDescent="0.45">
      <c r="D7" s="21"/>
      <c r="K7" s="22"/>
      <c r="N7" s="23" t="s">
        <v>52</v>
      </c>
      <c r="O7" s="24"/>
      <c r="P7" s="103">
        <f>AVERAGE(P4:P6)</f>
        <v>1.1260120981423075E-2</v>
      </c>
      <c r="Q7" s="24"/>
      <c r="R7" s="25"/>
    </row>
    <row r="8" spans="4:18" ht="16.5" thickBot="1" x14ac:dyDescent="0.45">
      <c r="D8" s="21"/>
      <c r="G8" s="82"/>
      <c r="H8" s="78" t="s">
        <v>27</v>
      </c>
      <c r="I8" s="85" t="s">
        <v>28</v>
      </c>
      <c r="K8" s="22"/>
    </row>
    <row r="9" spans="4:18" x14ac:dyDescent="0.4">
      <c r="D9" s="21"/>
      <c r="G9" s="86" t="s">
        <v>36</v>
      </c>
      <c r="H9" s="51">
        <v>3.0211323351155395E-2</v>
      </c>
      <c r="I9" s="75">
        <v>59108.593155264534</v>
      </c>
      <c r="K9" s="22"/>
    </row>
    <row r="10" spans="4:18" x14ac:dyDescent="0.4">
      <c r="D10" s="21"/>
      <c r="G10" s="87" t="s">
        <v>37</v>
      </c>
      <c r="H10" s="89">
        <v>4.4622655257401167E-2</v>
      </c>
      <c r="I10" s="22">
        <v>64070.140990654807</v>
      </c>
      <c r="K10" s="22"/>
    </row>
    <row r="11" spans="4:18" x14ac:dyDescent="0.4">
      <c r="D11" s="21"/>
      <c r="G11" s="87" t="s">
        <v>38</v>
      </c>
      <c r="H11" s="54">
        <v>5.4659851671177151E-2</v>
      </c>
      <c r="I11" s="83">
        <v>67787.560261107341</v>
      </c>
      <c r="K11" s="22"/>
    </row>
    <row r="12" spans="4:18" ht="16.5" thickBot="1" x14ac:dyDescent="0.45">
      <c r="D12" s="21"/>
      <c r="G12" s="88" t="s">
        <v>39</v>
      </c>
      <c r="H12" s="57">
        <v>4.4143451649265586E-2</v>
      </c>
      <c r="I12" s="84">
        <v>62518.2981040292</v>
      </c>
      <c r="K12" s="22"/>
    </row>
    <row r="13" spans="4:18" x14ac:dyDescent="0.4">
      <c r="D13" s="21"/>
      <c r="K13" s="22"/>
    </row>
    <row r="14" spans="4:18" x14ac:dyDescent="0.4">
      <c r="D14" s="21"/>
      <c r="F14" s="99" t="s">
        <v>42</v>
      </c>
      <c r="K14" s="22"/>
    </row>
    <row r="15" spans="4:18" ht="16.5" thickBot="1" x14ac:dyDescent="0.45">
      <c r="D15" s="21"/>
      <c r="K15" s="22"/>
    </row>
    <row r="16" spans="4:18" ht="16.5" thickBot="1" x14ac:dyDescent="0.45">
      <c r="D16" s="21"/>
      <c r="G16" s="82"/>
      <c r="H16" s="78" t="s">
        <v>27</v>
      </c>
      <c r="I16" s="85" t="s">
        <v>28</v>
      </c>
      <c r="K16" s="22"/>
    </row>
    <row r="17" spans="4:11" x14ac:dyDescent="0.4">
      <c r="D17" s="21"/>
      <c r="G17" s="86" t="s">
        <v>36</v>
      </c>
      <c r="H17" s="51">
        <v>1.3589295425193493E-2</v>
      </c>
      <c r="I17" s="75">
        <v>53893.628693351617</v>
      </c>
      <c r="K17" s="22"/>
    </row>
    <row r="18" spans="4:11" x14ac:dyDescent="0.4">
      <c r="D18" s="21"/>
      <c r="G18" s="87" t="s">
        <v>37</v>
      </c>
      <c r="H18" s="89">
        <v>3.0645552729770653E-2</v>
      </c>
      <c r="I18" s="22">
        <v>59251.915188791259</v>
      </c>
      <c r="K18" s="22"/>
    </row>
    <row r="19" spans="4:11" x14ac:dyDescent="0.4">
      <c r="D19" s="21"/>
      <c r="G19" s="87" t="s">
        <v>38</v>
      </c>
      <c r="H19" s="54">
        <v>5.7089915516611356E-2</v>
      </c>
      <c r="I19" s="83">
        <v>68721.630078027694</v>
      </c>
      <c r="K19" s="22"/>
    </row>
    <row r="20" spans="4:11" ht="16.5" thickBot="1" x14ac:dyDescent="0.45">
      <c r="D20" s="21"/>
      <c r="G20" s="88" t="s">
        <v>39</v>
      </c>
      <c r="H20" s="57">
        <v>2.3990691185237889E-2</v>
      </c>
      <c r="I20" s="84">
        <v>56419.072208829391</v>
      </c>
      <c r="K20" s="22"/>
    </row>
    <row r="21" spans="4:11" x14ac:dyDescent="0.4">
      <c r="D21" s="21"/>
      <c r="K21" s="22"/>
    </row>
    <row r="22" spans="4:11" x14ac:dyDescent="0.4">
      <c r="D22" s="21"/>
      <c r="F22" s="99" t="s">
        <v>43</v>
      </c>
      <c r="K22" s="22"/>
    </row>
    <row r="23" spans="4:11" ht="16.5" thickBot="1" x14ac:dyDescent="0.45">
      <c r="D23" s="21"/>
      <c r="K23" s="22"/>
    </row>
    <row r="24" spans="4:11" ht="16.5" thickBot="1" x14ac:dyDescent="0.45">
      <c r="D24" s="21"/>
      <c r="G24" s="82"/>
      <c r="H24" s="82" t="s">
        <v>27</v>
      </c>
      <c r="I24" s="75" t="s">
        <v>28</v>
      </c>
      <c r="K24" s="22"/>
    </row>
    <row r="25" spans="4:11" x14ac:dyDescent="0.4">
      <c r="D25" s="21"/>
      <c r="G25" s="86" t="s">
        <v>36</v>
      </c>
      <c r="H25" s="104">
        <v>2.1555323020600481E-2</v>
      </c>
      <c r="I25" s="105">
        <v>56328.070027376358</v>
      </c>
      <c r="K25" s="22"/>
    </row>
    <row r="26" spans="4:11" x14ac:dyDescent="0.4">
      <c r="D26" s="21"/>
      <c r="G26" s="87" t="s">
        <v>37</v>
      </c>
      <c r="H26" s="89">
        <v>4.5275448154228126E-2</v>
      </c>
      <c r="I26" s="22">
        <v>64305.182583513997</v>
      </c>
      <c r="K26" s="22"/>
    </row>
    <row r="27" spans="4:11" x14ac:dyDescent="0.4">
      <c r="D27" s="21"/>
      <c r="G27" s="87" t="s">
        <v>38</v>
      </c>
      <c r="H27" s="54">
        <v>6.8274355441016121E-2</v>
      </c>
      <c r="I27" s="83">
        <v>73200.003122922877</v>
      </c>
      <c r="K27" s="22"/>
    </row>
    <row r="28" spans="4:11" ht="16.5" thickBot="1" x14ac:dyDescent="0.45">
      <c r="D28" s="21"/>
      <c r="G28" s="88" t="s">
        <v>39</v>
      </c>
      <c r="H28" s="57">
        <v>4.1546817885146359E-2</v>
      </c>
      <c r="I28" s="84">
        <v>61693.365360444237</v>
      </c>
      <c r="K28" s="22"/>
    </row>
    <row r="29" spans="4:11" x14ac:dyDescent="0.4">
      <c r="D29" s="21"/>
      <c r="K29" s="22"/>
    </row>
    <row r="30" spans="4:11" x14ac:dyDescent="0.4">
      <c r="D30" s="21"/>
      <c r="K30" s="22"/>
    </row>
    <row r="31" spans="4:11" x14ac:dyDescent="0.4">
      <c r="D31" s="21"/>
      <c r="F31" s="99" t="s">
        <v>54</v>
      </c>
      <c r="K31" s="22"/>
    </row>
    <row r="32" spans="4:11" ht="16.5" thickBot="1" x14ac:dyDescent="0.45">
      <c r="D32" s="21"/>
      <c r="K32" s="22"/>
    </row>
    <row r="33" spans="4:11" ht="16.5" thickBot="1" x14ac:dyDescent="0.45">
      <c r="D33" s="21"/>
      <c r="G33" s="82"/>
      <c r="H33" s="82" t="s">
        <v>27</v>
      </c>
      <c r="I33" s="75" t="s">
        <v>28</v>
      </c>
      <c r="K33" s="22"/>
    </row>
    <row r="34" spans="4:11" x14ac:dyDescent="0.4">
      <c r="D34" s="21"/>
      <c r="G34" s="86" t="s">
        <v>36</v>
      </c>
      <c r="H34" s="104">
        <v>4.6117031281045051E-2</v>
      </c>
      <c r="I34" s="105">
        <v>64609.557590185228</v>
      </c>
      <c r="K34" s="22"/>
    </row>
    <row r="35" spans="4:11" x14ac:dyDescent="0.4">
      <c r="D35" s="21"/>
      <c r="G35" s="87" t="s">
        <v>37</v>
      </c>
      <c r="H35" s="89">
        <v>6.5388639378394675E-2</v>
      </c>
      <c r="I35" s="22">
        <v>72015.739516967355</v>
      </c>
      <c r="K35" s="22"/>
    </row>
    <row r="36" spans="4:11" x14ac:dyDescent="0.4">
      <c r="D36" s="21"/>
      <c r="G36" s="87" t="s">
        <v>38</v>
      </c>
      <c r="H36" s="54">
        <v>7.780680616746416E-2</v>
      </c>
      <c r="I36" s="83">
        <v>77260.174141952739</v>
      </c>
      <c r="K36" s="22"/>
    </row>
    <row r="37" spans="4:11" ht="16.5" thickBot="1" x14ac:dyDescent="0.45">
      <c r="D37" s="21"/>
      <c r="G37" s="88" t="s">
        <v>39</v>
      </c>
      <c r="H37" s="57">
        <v>6.1461944387413148E-2</v>
      </c>
      <c r="I37" s="84">
        <v>68336.652027428441</v>
      </c>
      <c r="K37" s="22"/>
    </row>
    <row r="38" spans="4:11" x14ac:dyDescent="0.4">
      <c r="D38" s="21"/>
      <c r="K38" s="22"/>
    </row>
    <row r="39" spans="4:11" ht="16.5" thickBot="1" x14ac:dyDescent="0.45">
      <c r="D39" s="23"/>
      <c r="E39" s="24"/>
      <c r="F39" s="24"/>
      <c r="G39" s="24"/>
      <c r="H39" s="24"/>
      <c r="I39" s="24"/>
      <c r="J39" s="24"/>
      <c r="K39" s="25"/>
    </row>
  </sheetData>
  <mergeCells count="1">
    <mergeCell ref="N4:O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30508-C02D-1E49-AA51-BCD72A529C45}">
  <sheetPr codeName="Feuil3">
    <tabColor rgb="FFFFFF00"/>
  </sheetPr>
  <dimension ref="D9:N23"/>
  <sheetViews>
    <sheetView workbookViewId="0">
      <selection activeCell="I11" sqref="I11"/>
    </sheetView>
  </sheetViews>
  <sheetFormatPr baseColWidth="10" defaultRowHeight="16" x14ac:dyDescent="0.4"/>
  <cols>
    <col min="6" max="6" width="10.5" bestFit="1" customWidth="1"/>
  </cols>
  <sheetData>
    <row r="9" spans="4:14" ht="16.5" thickBot="1" x14ac:dyDescent="0.45"/>
    <row r="10" spans="4:14" ht="16.5" thickBot="1" x14ac:dyDescent="0.45">
      <c r="F10" s="9"/>
      <c r="G10" s="10" t="s">
        <v>10</v>
      </c>
      <c r="H10" s="11" t="s">
        <v>11</v>
      </c>
      <c r="I10" s="12" t="s">
        <v>12</v>
      </c>
    </row>
    <row r="11" spans="4:14" x14ac:dyDescent="0.4">
      <c r="F11" s="13" t="s">
        <v>7</v>
      </c>
      <c r="G11" s="15">
        <v>0.06</v>
      </c>
      <c r="H11" s="15">
        <v>3.5000000000000003E-2</v>
      </c>
      <c r="I11" s="33">
        <v>0.02</v>
      </c>
    </row>
    <row r="12" spans="4:14" x14ac:dyDescent="0.4">
      <c r="D12" s="69"/>
      <c r="F12" s="59" t="s">
        <v>8</v>
      </c>
      <c r="G12" s="70">
        <f>_xlfn.VAR.S('Rendement hist'!B2:B2517) * 4</f>
        <v>1.9221952560063371E-2</v>
      </c>
      <c r="H12" s="70">
        <f>_xlfn.VAR.S('Rendement hist'!C2:C2517) * 4</f>
        <v>2.4404382617754326E-3</v>
      </c>
      <c r="I12" s="71">
        <f>_xlfn.VAR.S('Rendement hist'!E2:E2517) * 4</f>
        <v>6.2908716702623994E-5</v>
      </c>
    </row>
    <row r="13" spans="4:14" ht="16.5" thickBot="1" x14ac:dyDescent="0.45">
      <c r="D13" s="69"/>
      <c r="F13" s="14" t="s">
        <v>9</v>
      </c>
      <c r="G13" s="72">
        <f>_xlfn.STDEV.S('Rendement hist'!B2:B2517) * SQRT(4)</f>
        <v>0.13864325645361686</v>
      </c>
      <c r="H13" s="72">
        <f>_xlfn.STDEV.S('Rendement hist'!C2:C2517) * SQRT(4)</f>
        <v>4.9400792116882426E-2</v>
      </c>
      <c r="I13" s="73">
        <f>_xlfn.STDEV.S('Rendement hist'!E2:E2517) * SQRT(4)</f>
        <v>7.9315015414878412E-3</v>
      </c>
    </row>
    <row r="15" spans="4:14" ht="16.5" thickBot="1" x14ac:dyDescent="0.45">
      <c r="F15" t="s">
        <v>13</v>
      </c>
      <c r="G15" t="s">
        <v>10</v>
      </c>
      <c r="H15" t="s">
        <v>11</v>
      </c>
      <c r="I15" t="s">
        <v>12</v>
      </c>
      <c r="K15" t="s">
        <v>19</v>
      </c>
      <c r="L15" t="s">
        <v>10</v>
      </c>
      <c r="M15" t="s">
        <v>11</v>
      </c>
      <c r="N15" t="s">
        <v>12</v>
      </c>
    </row>
    <row r="16" spans="4:14" x14ac:dyDescent="0.4">
      <c r="F16" t="s">
        <v>10</v>
      </c>
      <c r="G16" s="44">
        <v>1</v>
      </c>
      <c r="H16" s="45">
        <f>CORREL('Rendement hist'!B2:B2517,'Rendement hist'!C2:C2517)</f>
        <v>0.26355956327482011</v>
      </c>
      <c r="I16" s="46">
        <f>CORREL('Rendement hist'!B2:B2517,'Rendement hist'!E2:E2517)</f>
        <v>9.343171185981386E-2</v>
      </c>
      <c r="K16" t="s">
        <v>10</v>
      </c>
      <c r="L16" s="51">
        <v>0.13864325645361686</v>
      </c>
      <c r="M16" s="52">
        <v>0</v>
      </c>
      <c r="N16" s="53">
        <v>0</v>
      </c>
    </row>
    <row r="17" spans="6:14" x14ac:dyDescent="0.4">
      <c r="F17" t="s">
        <v>11</v>
      </c>
      <c r="G17" s="47">
        <f>CORREL('Rendement hist'!B2:B2517,'Rendement hist'!C2:C2517)</f>
        <v>0.26355956327482011</v>
      </c>
      <c r="H17" s="48">
        <v>1</v>
      </c>
      <c r="I17" s="49">
        <f>CORREL('Rendement hist'!C2:C2517,'Rendement hist'!E2:E2517)</f>
        <v>0.19874927503735024</v>
      </c>
      <c r="K17" t="s">
        <v>11</v>
      </c>
      <c r="L17" s="54">
        <v>0</v>
      </c>
      <c r="M17" s="55">
        <v>4.9400792116882426E-2</v>
      </c>
      <c r="N17" s="56">
        <v>0</v>
      </c>
    </row>
    <row r="18" spans="6:14" ht="16.5" thickBot="1" x14ac:dyDescent="0.45">
      <c r="F18" t="s">
        <v>12</v>
      </c>
      <c r="G18" s="50">
        <f>CORREL('Rendement hist'!B2:B2517,'Rendement hist'!E2:E2517)</f>
        <v>9.343171185981386E-2</v>
      </c>
      <c r="H18" s="30">
        <f>CORREL('Rendement hist'!C2:C2517,'Rendement hist'!E2:E2517)</f>
        <v>0.19874927503735024</v>
      </c>
      <c r="I18" s="32">
        <v>1</v>
      </c>
      <c r="K18" t="s">
        <v>12</v>
      </c>
      <c r="L18" s="57">
        <v>0</v>
      </c>
      <c r="M18" s="31">
        <v>0</v>
      </c>
      <c r="N18" s="34">
        <v>7.9315015414878412E-3</v>
      </c>
    </row>
    <row r="20" spans="6:14" ht="16.5" thickBot="1" x14ac:dyDescent="0.45">
      <c r="F20" t="s">
        <v>18</v>
      </c>
      <c r="G20" t="s">
        <v>10</v>
      </c>
      <c r="H20" t="s">
        <v>11</v>
      </c>
      <c r="I20" t="s">
        <v>12</v>
      </c>
    </row>
    <row r="21" spans="6:14" x14ac:dyDescent="0.4">
      <c r="F21" t="s">
        <v>10</v>
      </c>
      <c r="G21" s="35" cm="1">
        <f t="array" ref="G21:I23">MMULT(L16:N18,MMULT(G16:I18,L16:N18))</f>
        <v>1.9221952560063371E-2</v>
      </c>
      <c r="H21" s="36">
        <v>1.8051422969723794E-3</v>
      </c>
      <c r="I21" s="37">
        <v>1.0274210741418292E-4</v>
      </c>
    </row>
    <row r="22" spans="6:14" x14ac:dyDescent="0.4">
      <c r="F22" t="s">
        <v>11</v>
      </c>
      <c r="G22" s="38">
        <v>1.8051422969723797E-3</v>
      </c>
      <c r="H22" s="39">
        <v>2.440438261775433E-3</v>
      </c>
      <c r="I22" s="40">
        <v>7.7874429634974468E-5</v>
      </c>
    </row>
    <row r="23" spans="6:14" ht="16.5" thickBot="1" x14ac:dyDescent="0.45">
      <c r="F23" t="s">
        <v>12</v>
      </c>
      <c r="G23" s="41">
        <v>1.0274210741418291E-4</v>
      </c>
      <c r="H23" s="42">
        <v>7.7874429634974468E-5</v>
      </c>
      <c r="I23" s="43">
        <v>6.2908716702624008E-5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00E1B-FB9D-FA45-B22E-CB7472FBE375}">
  <sheetPr codeName="Feuil2">
    <tabColor rgb="FFFFFF00"/>
  </sheetPr>
  <dimension ref="A1:J45"/>
  <sheetViews>
    <sheetView workbookViewId="0">
      <selection activeCell="C3" sqref="C3"/>
    </sheetView>
  </sheetViews>
  <sheetFormatPr baseColWidth="10" defaultRowHeight="16" x14ac:dyDescent="0.4"/>
  <cols>
    <col min="1" max="1" width="13.83203125" bestFit="1" customWidth="1"/>
    <col min="2" max="2" width="13.58203125" customWidth="1"/>
    <col min="3" max="3" width="16.58203125" customWidth="1"/>
    <col min="4" max="5" width="12.58203125" customWidth="1"/>
    <col min="7" max="7" width="11.08203125" bestFit="1" customWidth="1"/>
    <col min="9" max="9" width="12.33203125" bestFit="1" customWidth="1"/>
  </cols>
  <sheetData>
    <row r="1" spans="1:10" ht="32.5" thickBot="1" x14ac:dyDescent="0.45">
      <c r="A1" s="1" t="s">
        <v>6</v>
      </c>
      <c r="B1" s="1" t="s">
        <v>0</v>
      </c>
      <c r="C1" s="2" t="s">
        <v>1</v>
      </c>
      <c r="D1" s="2" t="s">
        <v>2</v>
      </c>
      <c r="E1" s="61"/>
    </row>
    <row r="2" spans="1:10" ht="32.5" thickBot="1" x14ac:dyDescent="0.45">
      <c r="A2" s="3"/>
      <c r="B2" s="4" t="s">
        <v>3</v>
      </c>
      <c r="C2" s="5" t="s">
        <v>4</v>
      </c>
      <c r="D2" s="5" t="s">
        <v>5</v>
      </c>
      <c r="E2" s="61"/>
      <c r="G2" s="61" t="s">
        <v>7</v>
      </c>
      <c r="H2" s="61" t="s">
        <v>8</v>
      </c>
      <c r="I2" s="61" t="s">
        <v>9</v>
      </c>
    </row>
    <row r="3" spans="1:10" ht="16.5" thickBot="1" x14ac:dyDescent="0.45">
      <c r="A3" s="4">
        <v>40</v>
      </c>
      <c r="B3" s="6">
        <v>0.9</v>
      </c>
      <c r="C3" s="7">
        <v>0.1</v>
      </c>
      <c r="D3" s="7">
        <v>0</v>
      </c>
      <c r="E3" s="74"/>
      <c r="F3" s="4">
        <v>40</v>
      </c>
      <c r="G3" s="58">
        <f>B3*Hypothèses!$G$11 + 'Poids Allocation'!C3*Hypothèses!$H$11 + 'Poids Allocation'!D3*Hypothèses!$I$11</f>
        <v>5.7500000000000002E-2</v>
      </c>
      <c r="H3" s="60">
        <f>B3^2 * Hypothèses!$G$12 + 'Poids Allocation'!C3^2*Hypothèses!$H$12 + 'Poids Allocation'!D3^2 * Hypothèses!$I$12 + 2 * 'Poids Allocation'!B3 * 'Poids Allocation'!C3 * Hypothèses!$H$21 + 2 * 'Poids Allocation'!C3 * 'Poids Allocation'!D3 * Hypothèses!$I$22 + 2 * 'Poids Allocation'!B3 * 'Poids Allocation'!D3 * Hypothèses!$I$21</f>
        <v>1.5919111569724115E-2</v>
      </c>
      <c r="I3" s="58">
        <f>SQRT(H3)</f>
        <v>0.12617096167392922</v>
      </c>
      <c r="J3">
        <v>40</v>
      </c>
    </row>
    <row r="4" spans="1:10" ht="16.5" thickBot="1" x14ac:dyDescent="0.45">
      <c r="A4" s="4">
        <v>39</v>
      </c>
      <c r="B4" s="6">
        <v>0.9</v>
      </c>
      <c r="C4" s="7">
        <v>0.1</v>
      </c>
      <c r="D4" s="7">
        <v>0</v>
      </c>
      <c r="E4" s="74"/>
      <c r="F4" s="4">
        <v>39</v>
      </c>
      <c r="G4" s="58">
        <f>B4*Hypothèses!$G$11 + 'Poids Allocation'!C4*Hypothèses!$H$11 + 'Poids Allocation'!D4*Hypothèses!$I$11</f>
        <v>5.7500000000000002E-2</v>
      </c>
      <c r="H4" s="60">
        <f>B4^2 * Hypothèses!$G$12 + 'Poids Allocation'!C4^2*Hypothèses!$H$12 + 'Poids Allocation'!D4^2 * Hypothèses!$I$12 + 2 * 'Poids Allocation'!B4 * 'Poids Allocation'!C4 * Hypothèses!$H$21 + 2 * 'Poids Allocation'!C4 * 'Poids Allocation'!D4 * Hypothèses!$I$22 + 2 * 'Poids Allocation'!B4 * 'Poids Allocation'!D4 * Hypothèses!$I$21</f>
        <v>1.5919111569724115E-2</v>
      </c>
      <c r="I4" s="58">
        <f t="shared" ref="I4:I43" si="0">SQRT(H4)</f>
        <v>0.12617096167392922</v>
      </c>
      <c r="J4">
        <f>J3-1</f>
        <v>39</v>
      </c>
    </row>
    <row r="5" spans="1:10" ht="16.5" thickBot="1" x14ac:dyDescent="0.45">
      <c r="A5" s="4">
        <v>38</v>
      </c>
      <c r="B5" s="6">
        <v>0.9</v>
      </c>
      <c r="C5" s="7">
        <v>0.1</v>
      </c>
      <c r="D5" s="7">
        <v>0</v>
      </c>
      <c r="E5" s="74"/>
      <c r="F5" s="4">
        <v>38</v>
      </c>
      <c r="G5" s="58">
        <f>B5*Hypothèses!$G$11 + 'Poids Allocation'!C5*Hypothèses!$H$11 + 'Poids Allocation'!D5*Hypothèses!$I$11</f>
        <v>5.7500000000000002E-2</v>
      </c>
      <c r="H5" s="60">
        <f>B5^2 * Hypothèses!$G$12 + 'Poids Allocation'!C5^2*Hypothèses!$H$12 + 'Poids Allocation'!D5^2 * Hypothèses!$I$12 + 2 * 'Poids Allocation'!B5 * 'Poids Allocation'!C5 * Hypothèses!$H$21 + 2 * 'Poids Allocation'!C5 * 'Poids Allocation'!D5 * Hypothèses!$I$22 + 2 * 'Poids Allocation'!B5 * 'Poids Allocation'!D5 * Hypothèses!$I$21</f>
        <v>1.5919111569724115E-2</v>
      </c>
      <c r="I5" s="58">
        <f t="shared" si="0"/>
        <v>0.12617096167392922</v>
      </c>
      <c r="J5">
        <f t="shared" ref="J5:J43" si="1">J4-1</f>
        <v>38</v>
      </c>
    </row>
    <row r="6" spans="1:10" ht="16.5" thickBot="1" x14ac:dyDescent="0.45">
      <c r="A6" s="4">
        <v>37</v>
      </c>
      <c r="B6" s="6">
        <v>0.9</v>
      </c>
      <c r="C6" s="7">
        <v>0.1</v>
      </c>
      <c r="D6" s="7">
        <v>0</v>
      </c>
      <c r="E6" s="74"/>
      <c r="F6" s="4">
        <v>37</v>
      </c>
      <c r="G6" s="58">
        <f>B6*Hypothèses!$G$11 + 'Poids Allocation'!C6*Hypothèses!$H$11 + 'Poids Allocation'!D6*Hypothèses!$I$11</f>
        <v>5.7500000000000002E-2</v>
      </c>
      <c r="H6" s="60">
        <f>B6^2 * Hypothèses!$G$12 + 'Poids Allocation'!C6^2*Hypothèses!$H$12 + 'Poids Allocation'!D6^2 * Hypothèses!$I$12 + 2 * 'Poids Allocation'!B6 * 'Poids Allocation'!C6 * Hypothèses!$H$21 + 2 * 'Poids Allocation'!C6 * 'Poids Allocation'!D6 * Hypothèses!$I$22 + 2 * 'Poids Allocation'!B6 * 'Poids Allocation'!D6 * Hypothèses!$I$21</f>
        <v>1.5919111569724115E-2</v>
      </c>
      <c r="I6" s="58">
        <f t="shared" si="0"/>
        <v>0.12617096167392922</v>
      </c>
      <c r="J6">
        <f t="shared" si="1"/>
        <v>37</v>
      </c>
    </row>
    <row r="7" spans="1:10" ht="16.5" thickBot="1" x14ac:dyDescent="0.45">
      <c r="A7" s="4">
        <v>36</v>
      </c>
      <c r="B7" s="6">
        <v>0.9</v>
      </c>
      <c r="C7" s="7">
        <v>0.1</v>
      </c>
      <c r="D7" s="7">
        <v>0</v>
      </c>
      <c r="E7" s="74"/>
      <c r="F7" s="4">
        <v>36</v>
      </c>
      <c r="G7" s="58">
        <f>B7*Hypothèses!$G$11 + 'Poids Allocation'!C7*Hypothèses!$H$11 + 'Poids Allocation'!D7*Hypothèses!$I$11</f>
        <v>5.7500000000000002E-2</v>
      </c>
      <c r="H7" s="60">
        <f>B7^2 * Hypothèses!$G$12 + 'Poids Allocation'!C7^2*Hypothèses!$H$12 + 'Poids Allocation'!D7^2 * Hypothèses!$I$12 + 2 * 'Poids Allocation'!B7 * 'Poids Allocation'!C7 * Hypothèses!$H$21 + 2 * 'Poids Allocation'!C7 * 'Poids Allocation'!D7 * Hypothèses!$I$22 + 2 * 'Poids Allocation'!B7 * 'Poids Allocation'!D7 * Hypothèses!$I$21</f>
        <v>1.5919111569724115E-2</v>
      </c>
      <c r="I7" s="58">
        <f t="shared" si="0"/>
        <v>0.12617096167392922</v>
      </c>
      <c r="J7">
        <f t="shared" si="1"/>
        <v>36</v>
      </c>
    </row>
    <row r="8" spans="1:10" ht="16.5" thickBot="1" x14ac:dyDescent="0.45">
      <c r="A8" s="4">
        <v>35</v>
      </c>
      <c r="B8" s="6">
        <v>0.9</v>
      </c>
      <c r="C8" s="7">
        <v>0.1</v>
      </c>
      <c r="D8" s="7">
        <v>0</v>
      </c>
      <c r="E8" s="74"/>
      <c r="F8" s="4">
        <v>35</v>
      </c>
      <c r="G8" s="58">
        <f>B8*Hypothèses!$G$11 + 'Poids Allocation'!C8*Hypothèses!$H$11 + 'Poids Allocation'!D8*Hypothèses!$I$11</f>
        <v>5.7500000000000002E-2</v>
      </c>
      <c r="H8" s="60">
        <f>B8^2 * Hypothèses!$G$12 + 'Poids Allocation'!C8^2*Hypothèses!$H$12 + 'Poids Allocation'!D8^2 * Hypothèses!$I$12 + 2 * 'Poids Allocation'!B8 * 'Poids Allocation'!C8 * Hypothèses!$H$21 + 2 * 'Poids Allocation'!C8 * 'Poids Allocation'!D8 * Hypothèses!$I$22 + 2 * 'Poids Allocation'!B8 * 'Poids Allocation'!D8 * Hypothèses!$I$21</f>
        <v>1.5919111569724115E-2</v>
      </c>
      <c r="I8" s="58">
        <f t="shared" si="0"/>
        <v>0.12617096167392922</v>
      </c>
      <c r="J8">
        <f t="shared" si="1"/>
        <v>35</v>
      </c>
    </row>
    <row r="9" spans="1:10" ht="16.5" thickBot="1" x14ac:dyDescent="0.45">
      <c r="A9" s="4">
        <v>34</v>
      </c>
      <c r="B9" s="6">
        <v>0.9</v>
      </c>
      <c r="C9" s="7">
        <v>0.1</v>
      </c>
      <c r="D9" s="7">
        <v>0</v>
      </c>
      <c r="E9" s="74"/>
      <c r="F9" s="4">
        <v>34</v>
      </c>
      <c r="G9" s="58">
        <f>B9*Hypothèses!$G$11 + 'Poids Allocation'!C9*Hypothèses!$H$11 + 'Poids Allocation'!D9*Hypothèses!$I$11</f>
        <v>5.7500000000000002E-2</v>
      </c>
      <c r="H9" s="60">
        <f>B9^2 * Hypothèses!$G$12 + 'Poids Allocation'!C9^2*Hypothèses!$H$12 + 'Poids Allocation'!D9^2 * Hypothèses!$I$12 + 2 * 'Poids Allocation'!B9 * 'Poids Allocation'!C9 * Hypothèses!$H$21 + 2 * 'Poids Allocation'!C9 * 'Poids Allocation'!D9 * Hypothèses!$I$22 + 2 * 'Poids Allocation'!B9 * 'Poids Allocation'!D9 * Hypothèses!$I$21</f>
        <v>1.5919111569724115E-2</v>
      </c>
      <c r="I9" s="58">
        <f t="shared" si="0"/>
        <v>0.12617096167392922</v>
      </c>
      <c r="J9">
        <f t="shared" si="1"/>
        <v>34</v>
      </c>
    </row>
    <row r="10" spans="1:10" ht="16.5" thickBot="1" x14ac:dyDescent="0.45">
      <c r="A10" s="4">
        <v>33</v>
      </c>
      <c r="B10" s="6">
        <v>0.9</v>
      </c>
      <c r="C10" s="7">
        <v>0.1</v>
      </c>
      <c r="D10" s="7">
        <v>0</v>
      </c>
      <c r="E10" s="74"/>
      <c r="F10" s="4">
        <v>33</v>
      </c>
      <c r="G10" s="58">
        <f>B10*Hypothèses!$G$11 + 'Poids Allocation'!C10*Hypothèses!$H$11 + 'Poids Allocation'!D10*Hypothèses!$I$11</f>
        <v>5.7500000000000002E-2</v>
      </c>
      <c r="H10" s="60">
        <f>B10^2 * Hypothèses!$G$12 + 'Poids Allocation'!C10^2*Hypothèses!$H$12 + 'Poids Allocation'!D10^2 * Hypothèses!$I$12 + 2 * 'Poids Allocation'!B10 * 'Poids Allocation'!C10 * Hypothèses!$H$21 + 2 * 'Poids Allocation'!C10 * 'Poids Allocation'!D10 * Hypothèses!$I$22 + 2 * 'Poids Allocation'!B10 * 'Poids Allocation'!D10 * Hypothèses!$I$21</f>
        <v>1.5919111569724115E-2</v>
      </c>
      <c r="I10" s="58">
        <f t="shared" si="0"/>
        <v>0.12617096167392922</v>
      </c>
      <c r="J10">
        <f t="shared" si="1"/>
        <v>33</v>
      </c>
    </row>
    <row r="11" spans="1:10" ht="16.5" thickBot="1" x14ac:dyDescent="0.45">
      <c r="A11" s="4">
        <v>32</v>
      </c>
      <c r="B11" s="6">
        <v>0.9</v>
      </c>
      <c r="C11" s="7">
        <v>0.1</v>
      </c>
      <c r="D11" s="7">
        <v>0</v>
      </c>
      <c r="E11" s="74"/>
      <c r="F11" s="4">
        <v>32</v>
      </c>
      <c r="G11" s="58">
        <f>B11*Hypothèses!$G$11 + 'Poids Allocation'!C11*Hypothèses!$H$11 + 'Poids Allocation'!D11*Hypothèses!$I$11</f>
        <v>5.7500000000000002E-2</v>
      </c>
      <c r="H11" s="60">
        <f>B11^2 * Hypothèses!$G$12 + 'Poids Allocation'!C11^2*Hypothèses!$H$12 + 'Poids Allocation'!D11^2 * Hypothèses!$I$12 + 2 * 'Poids Allocation'!B11 * 'Poids Allocation'!C11 * Hypothèses!$H$21 + 2 * 'Poids Allocation'!C11 * 'Poids Allocation'!D11 * Hypothèses!$I$22 + 2 * 'Poids Allocation'!B11 * 'Poids Allocation'!D11 * Hypothèses!$I$21</f>
        <v>1.5919111569724115E-2</v>
      </c>
      <c r="I11" s="58">
        <f t="shared" si="0"/>
        <v>0.12617096167392922</v>
      </c>
      <c r="J11">
        <f t="shared" si="1"/>
        <v>32</v>
      </c>
    </row>
    <row r="12" spans="1:10" ht="16.5" thickBot="1" x14ac:dyDescent="0.45">
      <c r="A12" s="4">
        <v>31</v>
      </c>
      <c r="B12" s="6">
        <v>0.9</v>
      </c>
      <c r="C12" s="7">
        <v>0.1</v>
      </c>
      <c r="D12" s="7">
        <v>0</v>
      </c>
      <c r="E12" s="74"/>
      <c r="F12" s="4">
        <v>31</v>
      </c>
      <c r="G12" s="58">
        <f>B12*Hypothèses!$G$11 + 'Poids Allocation'!C12*Hypothèses!$H$11 + 'Poids Allocation'!D12*Hypothèses!$I$11</f>
        <v>5.7500000000000002E-2</v>
      </c>
      <c r="H12" s="60">
        <f>B12^2 * Hypothèses!$G$12 + 'Poids Allocation'!C12^2*Hypothèses!$H$12 + 'Poids Allocation'!D12^2 * Hypothèses!$I$12 + 2 * 'Poids Allocation'!B12 * 'Poids Allocation'!C12 * Hypothèses!$H$21 + 2 * 'Poids Allocation'!C12 * 'Poids Allocation'!D12 * Hypothèses!$I$22 + 2 * 'Poids Allocation'!B12 * 'Poids Allocation'!D12 * Hypothèses!$I$21</f>
        <v>1.5919111569724115E-2</v>
      </c>
      <c r="I12" s="58">
        <f t="shared" si="0"/>
        <v>0.12617096167392922</v>
      </c>
      <c r="J12">
        <f t="shared" si="1"/>
        <v>31</v>
      </c>
    </row>
    <row r="13" spans="1:10" ht="16.5" thickBot="1" x14ac:dyDescent="0.45">
      <c r="A13" s="4">
        <v>30</v>
      </c>
      <c r="B13" s="6">
        <v>0.9</v>
      </c>
      <c r="C13" s="7">
        <v>0.1</v>
      </c>
      <c r="D13" s="7">
        <v>0</v>
      </c>
      <c r="E13" s="74"/>
      <c r="F13" s="4">
        <v>30</v>
      </c>
      <c r="G13" s="58">
        <f>B13*Hypothèses!$G$11 + 'Poids Allocation'!C13*Hypothèses!$H$11 + 'Poids Allocation'!D13*Hypothèses!$I$11</f>
        <v>5.7500000000000002E-2</v>
      </c>
      <c r="H13" s="60">
        <f>B13^2 * Hypothèses!$G$12 + 'Poids Allocation'!C13^2*Hypothèses!$H$12 + 'Poids Allocation'!D13^2 * Hypothèses!$I$12 + 2 * 'Poids Allocation'!B13 * 'Poids Allocation'!C13 * Hypothèses!$H$21 + 2 * 'Poids Allocation'!C13 * 'Poids Allocation'!D13 * Hypothèses!$I$22 + 2 * 'Poids Allocation'!B13 * 'Poids Allocation'!D13 * Hypothèses!$I$21</f>
        <v>1.5919111569724115E-2</v>
      </c>
      <c r="I13" s="58">
        <f t="shared" si="0"/>
        <v>0.12617096167392922</v>
      </c>
      <c r="J13">
        <f t="shared" si="1"/>
        <v>30</v>
      </c>
    </row>
    <row r="14" spans="1:10" ht="16.5" thickBot="1" x14ac:dyDescent="0.45">
      <c r="A14" s="4">
        <v>29</v>
      </c>
      <c r="B14" s="6">
        <v>0.9</v>
      </c>
      <c r="C14" s="7">
        <v>0.1</v>
      </c>
      <c r="D14" s="7">
        <v>0</v>
      </c>
      <c r="E14" s="74"/>
      <c r="F14" s="4">
        <v>29</v>
      </c>
      <c r="G14" s="58">
        <f>B14*Hypothèses!$G$11 + 'Poids Allocation'!C14*Hypothèses!$H$11 + 'Poids Allocation'!D14*Hypothèses!$I$11</f>
        <v>5.7500000000000002E-2</v>
      </c>
      <c r="H14" s="60">
        <f>B14^2 * Hypothèses!$G$12 + 'Poids Allocation'!C14^2*Hypothèses!$H$12 + 'Poids Allocation'!D14^2 * Hypothèses!$I$12 + 2 * 'Poids Allocation'!B14 * 'Poids Allocation'!C14 * Hypothèses!$H$21 + 2 * 'Poids Allocation'!C14 * 'Poids Allocation'!D14 * Hypothèses!$I$22 + 2 * 'Poids Allocation'!B14 * 'Poids Allocation'!D14 * Hypothèses!$I$21</f>
        <v>1.5919111569724115E-2</v>
      </c>
      <c r="I14" s="58">
        <f t="shared" si="0"/>
        <v>0.12617096167392922</v>
      </c>
      <c r="J14">
        <f t="shared" si="1"/>
        <v>29</v>
      </c>
    </row>
    <row r="15" spans="1:10" ht="16.5" thickBot="1" x14ac:dyDescent="0.45">
      <c r="A15" s="4">
        <v>28</v>
      </c>
      <c r="B15" s="6">
        <v>0.9</v>
      </c>
      <c r="C15" s="7">
        <v>0.1</v>
      </c>
      <c r="D15" s="7">
        <v>0</v>
      </c>
      <c r="E15" s="74"/>
      <c r="F15" s="4">
        <v>28</v>
      </c>
      <c r="G15" s="58">
        <f>B15*Hypothèses!$G$11 + 'Poids Allocation'!C15*Hypothèses!$H$11 + 'Poids Allocation'!D15*Hypothèses!$I$11</f>
        <v>5.7500000000000002E-2</v>
      </c>
      <c r="H15" s="60">
        <f>B15^2 * Hypothèses!$G$12 + 'Poids Allocation'!C15^2*Hypothèses!$H$12 + 'Poids Allocation'!D15^2 * Hypothèses!$I$12 + 2 * 'Poids Allocation'!B15 * 'Poids Allocation'!C15 * Hypothèses!$H$21 + 2 * 'Poids Allocation'!C15 * 'Poids Allocation'!D15 * Hypothèses!$I$22 + 2 * 'Poids Allocation'!B15 * 'Poids Allocation'!D15 * Hypothèses!$I$21</f>
        <v>1.5919111569724115E-2</v>
      </c>
      <c r="I15" s="58">
        <f t="shared" si="0"/>
        <v>0.12617096167392922</v>
      </c>
      <c r="J15">
        <f t="shared" si="1"/>
        <v>28</v>
      </c>
    </row>
    <row r="16" spans="1:10" ht="16.5" thickBot="1" x14ac:dyDescent="0.45">
      <c r="A16" s="4">
        <v>27</v>
      </c>
      <c r="B16" s="6">
        <v>0.9</v>
      </c>
      <c r="C16" s="7">
        <v>0.1</v>
      </c>
      <c r="D16" s="7">
        <v>0</v>
      </c>
      <c r="E16" s="74"/>
      <c r="F16" s="4">
        <v>27</v>
      </c>
      <c r="G16" s="58">
        <f>B16*Hypothèses!$G$11 + 'Poids Allocation'!C16*Hypothèses!$H$11 + 'Poids Allocation'!D16*Hypothèses!$I$11</f>
        <v>5.7500000000000002E-2</v>
      </c>
      <c r="H16" s="60">
        <f>B16^2 * Hypothèses!$G$12 + 'Poids Allocation'!C16^2*Hypothèses!$H$12 + 'Poids Allocation'!D16^2 * Hypothèses!$I$12 + 2 * 'Poids Allocation'!B16 * 'Poids Allocation'!C16 * Hypothèses!$H$21 + 2 * 'Poids Allocation'!C16 * 'Poids Allocation'!D16 * Hypothèses!$I$22 + 2 * 'Poids Allocation'!B16 * 'Poids Allocation'!D16 * Hypothèses!$I$21</f>
        <v>1.5919111569724115E-2</v>
      </c>
      <c r="I16" s="58">
        <f t="shared" si="0"/>
        <v>0.12617096167392922</v>
      </c>
      <c r="J16">
        <f t="shared" si="1"/>
        <v>27</v>
      </c>
    </row>
    <row r="17" spans="1:10" ht="16.5" thickBot="1" x14ac:dyDescent="0.45">
      <c r="A17" s="4">
        <v>26</v>
      </c>
      <c r="B17" s="6">
        <v>0.9</v>
      </c>
      <c r="C17" s="7">
        <v>0.1</v>
      </c>
      <c r="D17" s="7">
        <v>0</v>
      </c>
      <c r="E17" s="74"/>
      <c r="F17" s="4">
        <v>26</v>
      </c>
      <c r="G17" s="58">
        <f>B17*Hypothèses!$G$11 + 'Poids Allocation'!C17*Hypothèses!$H$11 + 'Poids Allocation'!D17*Hypothèses!$I$11</f>
        <v>5.7500000000000002E-2</v>
      </c>
      <c r="H17" s="60">
        <f>B17^2 * Hypothèses!$G$12 + 'Poids Allocation'!C17^2*Hypothèses!$H$12 + 'Poids Allocation'!D17^2 * Hypothèses!$I$12 + 2 * 'Poids Allocation'!B17 * 'Poids Allocation'!C17 * Hypothèses!$H$21 + 2 * 'Poids Allocation'!C17 * 'Poids Allocation'!D17 * Hypothèses!$I$22 + 2 * 'Poids Allocation'!B17 * 'Poids Allocation'!D17 * Hypothèses!$I$21</f>
        <v>1.5919111569724115E-2</v>
      </c>
      <c r="I17" s="58">
        <f t="shared" si="0"/>
        <v>0.12617096167392922</v>
      </c>
      <c r="J17">
        <f t="shared" si="1"/>
        <v>26</v>
      </c>
    </row>
    <row r="18" spans="1:10" ht="16.5" thickBot="1" x14ac:dyDescent="0.45">
      <c r="A18" s="4">
        <v>25</v>
      </c>
      <c r="B18" s="6">
        <v>0.9</v>
      </c>
      <c r="C18" s="7">
        <v>0.1</v>
      </c>
      <c r="D18" s="7">
        <v>0</v>
      </c>
      <c r="E18" s="74"/>
      <c r="F18" s="4">
        <v>25</v>
      </c>
      <c r="G18" s="58">
        <f>B18*Hypothèses!$G$11 + 'Poids Allocation'!C18*Hypothèses!$H$11 + 'Poids Allocation'!D18*Hypothèses!$I$11</f>
        <v>5.7500000000000002E-2</v>
      </c>
      <c r="H18" s="60">
        <f>B18^2 * Hypothèses!$G$12 + 'Poids Allocation'!C18^2*Hypothèses!$H$12 + 'Poids Allocation'!D18^2 * Hypothèses!$I$12 + 2 * 'Poids Allocation'!B18 * 'Poids Allocation'!C18 * Hypothèses!$H$21 + 2 * 'Poids Allocation'!C18 * 'Poids Allocation'!D18 * Hypothèses!$I$22 + 2 * 'Poids Allocation'!B18 * 'Poids Allocation'!D18 * Hypothèses!$I$21</f>
        <v>1.5919111569724115E-2</v>
      </c>
      <c r="I18" s="58">
        <f t="shared" si="0"/>
        <v>0.12617096167392922</v>
      </c>
      <c r="J18">
        <f t="shared" si="1"/>
        <v>25</v>
      </c>
    </row>
    <row r="19" spans="1:10" ht="16.5" thickBot="1" x14ac:dyDescent="0.45">
      <c r="A19" s="4">
        <v>24</v>
      </c>
      <c r="B19" s="6">
        <v>0.9</v>
      </c>
      <c r="C19" s="7">
        <v>0.1</v>
      </c>
      <c r="D19" s="7">
        <v>0</v>
      </c>
      <c r="E19" s="74"/>
      <c r="F19" s="4">
        <v>24</v>
      </c>
      <c r="G19" s="58">
        <f>B19*Hypothèses!$G$11 + 'Poids Allocation'!C19*Hypothèses!$H$11 + 'Poids Allocation'!D19*Hypothèses!$I$11</f>
        <v>5.7500000000000002E-2</v>
      </c>
      <c r="H19" s="60">
        <f>B19^2 * Hypothèses!$G$12 + 'Poids Allocation'!C19^2*Hypothèses!$H$12 + 'Poids Allocation'!D19^2 * Hypothèses!$I$12 + 2 * 'Poids Allocation'!B19 * 'Poids Allocation'!C19 * Hypothèses!$H$21 + 2 * 'Poids Allocation'!C19 * 'Poids Allocation'!D19 * Hypothèses!$I$22 + 2 * 'Poids Allocation'!B19 * 'Poids Allocation'!D19 * Hypothèses!$I$21</f>
        <v>1.5919111569724115E-2</v>
      </c>
      <c r="I19" s="58">
        <f t="shared" si="0"/>
        <v>0.12617096167392922</v>
      </c>
      <c r="J19">
        <f t="shared" si="1"/>
        <v>24</v>
      </c>
    </row>
    <row r="20" spans="1:10" ht="16.5" thickBot="1" x14ac:dyDescent="0.45">
      <c r="A20" s="4">
        <v>23</v>
      </c>
      <c r="B20" s="6">
        <v>0.9</v>
      </c>
      <c r="C20" s="7">
        <v>0.1</v>
      </c>
      <c r="D20" s="7">
        <v>0</v>
      </c>
      <c r="E20" s="74"/>
      <c r="F20" s="4">
        <v>23</v>
      </c>
      <c r="G20" s="58">
        <f>B20*Hypothèses!$G$11 + 'Poids Allocation'!C20*Hypothèses!$H$11 + 'Poids Allocation'!D20*Hypothèses!$I$11</f>
        <v>5.7500000000000002E-2</v>
      </c>
      <c r="H20" s="60">
        <f>B20^2 * Hypothèses!$G$12 + 'Poids Allocation'!C20^2*Hypothèses!$H$12 + 'Poids Allocation'!D20^2 * Hypothèses!$I$12 + 2 * 'Poids Allocation'!B20 * 'Poids Allocation'!C20 * Hypothèses!$H$21 + 2 * 'Poids Allocation'!C20 * 'Poids Allocation'!D20 * Hypothèses!$I$22 + 2 * 'Poids Allocation'!B20 * 'Poids Allocation'!D20 * Hypothèses!$I$21</f>
        <v>1.5919111569724115E-2</v>
      </c>
      <c r="I20" s="58">
        <f t="shared" si="0"/>
        <v>0.12617096167392922</v>
      </c>
      <c r="J20">
        <f t="shared" si="1"/>
        <v>23</v>
      </c>
    </row>
    <row r="21" spans="1:10" ht="16.5" thickBot="1" x14ac:dyDescent="0.45">
      <c r="A21" s="4">
        <v>22</v>
      </c>
      <c r="B21" s="6">
        <v>0.9</v>
      </c>
      <c r="C21" s="7">
        <v>0.1</v>
      </c>
      <c r="D21" s="7">
        <v>0</v>
      </c>
      <c r="E21" s="74"/>
      <c r="F21" s="4">
        <v>22</v>
      </c>
      <c r="G21" s="58">
        <f>B21*Hypothèses!$G$11 + 'Poids Allocation'!C21*Hypothèses!$H$11 + 'Poids Allocation'!D21*Hypothèses!$I$11</f>
        <v>5.7500000000000002E-2</v>
      </c>
      <c r="H21" s="60">
        <f>B21^2 * Hypothèses!$G$12 + 'Poids Allocation'!C21^2*Hypothèses!$H$12 + 'Poids Allocation'!D21^2 * Hypothèses!$I$12 + 2 * 'Poids Allocation'!B21 * 'Poids Allocation'!C21 * Hypothèses!$H$21 + 2 * 'Poids Allocation'!C21 * 'Poids Allocation'!D21 * Hypothèses!$I$22 + 2 * 'Poids Allocation'!B21 * 'Poids Allocation'!D21 * Hypothèses!$I$21</f>
        <v>1.5919111569724115E-2</v>
      </c>
      <c r="I21" s="58">
        <f t="shared" si="0"/>
        <v>0.12617096167392922</v>
      </c>
      <c r="J21">
        <f t="shared" si="1"/>
        <v>22</v>
      </c>
    </row>
    <row r="22" spans="1:10" ht="16.5" thickBot="1" x14ac:dyDescent="0.45">
      <c r="A22" s="4">
        <v>21</v>
      </c>
      <c r="B22" s="6">
        <v>0.9</v>
      </c>
      <c r="C22" s="7">
        <v>0.1</v>
      </c>
      <c r="D22" s="7">
        <v>0</v>
      </c>
      <c r="E22" s="74"/>
      <c r="F22" s="4">
        <v>21</v>
      </c>
      <c r="G22" s="58">
        <f>B22*Hypothèses!$G$11 + 'Poids Allocation'!C22*Hypothèses!$H$11 + 'Poids Allocation'!D22*Hypothèses!$I$11</f>
        <v>5.7500000000000002E-2</v>
      </c>
      <c r="H22" s="60">
        <f>B22^2 * Hypothèses!$G$12 + 'Poids Allocation'!C22^2*Hypothèses!$H$12 + 'Poids Allocation'!D22^2 * Hypothèses!$I$12 + 2 * 'Poids Allocation'!B22 * 'Poids Allocation'!C22 * Hypothèses!$H$21 + 2 * 'Poids Allocation'!C22 * 'Poids Allocation'!D22 * Hypothèses!$I$22 + 2 * 'Poids Allocation'!B22 * 'Poids Allocation'!D22 * Hypothèses!$I$21</f>
        <v>1.5919111569724115E-2</v>
      </c>
      <c r="I22" s="58">
        <f t="shared" si="0"/>
        <v>0.12617096167392922</v>
      </c>
      <c r="J22">
        <f t="shared" si="1"/>
        <v>21</v>
      </c>
    </row>
    <row r="23" spans="1:10" ht="16.5" thickBot="1" x14ac:dyDescent="0.45">
      <c r="A23" s="4">
        <v>20</v>
      </c>
      <c r="B23" s="6">
        <v>0.9</v>
      </c>
      <c r="C23" s="7">
        <v>0.1</v>
      </c>
      <c r="D23" s="7">
        <v>0</v>
      </c>
      <c r="E23" s="74"/>
      <c r="F23" s="4">
        <v>20</v>
      </c>
      <c r="G23" s="58">
        <f>B23*Hypothèses!$G$11 + 'Poids Allocation'!C23*Hypothèses!$H$11 + 'Poids Allocation'!D23*Hypothèses!$I$11</f>
        <v>5.7500000000000002E-2</v>
      </c>
      <c r="H23" s="60">
        <f>B23^2 * Hypothèses!$G$12 + 'Poids Allocation'!C23^2*Hypothèses!$H$12 + 'Poids Allocation'!D23^2 * Hypothèses!$I$12 + 2 * 'Poids Allocation'!B23 * 'Poids Allocation'!C23 * Hypothèses!$H$21 + 2 * 'Poids Allocation'!C23 * 'Poids Allocation'!D23 * Hypothèses!$I$22 + 2 * 'Poids Allocation'!B23 * 'Poids Allocation'!D23 * Hypothèses!$I$21</f>
        <v>1.5919111569724115E-2</v>
      </c>
      <c r="I23" s="58">
        <f t="shared" si="0"/>
        <v>0.12617096167392922</v>
      </c>
      <c r="J23">
        <f t="shared" si="1"/>
        <v>20</v>
      </c>
    </row>
    <row r="24" spans="1:10" ht="16.5" thickBot="1" x14ac:dyDescent="0.45">
      <c r="A24" s="4">
        <v>19</v>
      </c>
      <c r="B24" s="6">
        <v>0.9</v>
      </c>
      <c r="C24" s="7">
        <v>0.1</v>
      </c>
      <c r="D24" s="7">
        <v>0</v>
      </c>
      <c r="E24" s="74"/>
      <c r="F24" s="4">
        <v>19</v>
      </c>
      <c r="G24" s="58">
        <f>B24*Hypothèses!$G$11 + 'Poids Allocation'!C24*Hypothèses!$H$11 + 'Poids Allocation'!D24*Hypothèses!$I$11</f>
        <v>5.7500000000000002E-2</v>
      </c>
      <c r="H24" s="60">
        <f>B24^2 * Hypothèses!$G$12 + 'Poids Allocation'!C24^2*Hypothèses!$H$12 + 'Poids Allocation'!D24^2 * Hypothèses!$I$12 + 2 * 'Poids Allocation'!B24 * 'Poids Allocation'!C24 * Hypothèses!$H$21 + 2 * 'Poids Allocation'!C24 * 'Poids Allocation'!D24 * Hypothèses!$I$22 + 2 * 'Poids Allocation'!B24 * 'Poids Allocation'!D24 * Hypothèses!$I$21</f>
        <v>1.5919111569724115E-2</v>
      </c>
      <c r="I24" s="58">
        <f t="shared" si="0"/>
        <v>0.12617096167392922</v>
      </c>
      <c r="J24">
        <f t="shared" si="1"/>
        <v>19</v>
      </c>
    </row>
    <row r="25" spans="1:10" ht="16.5" thickBot="1" x14ac:dyDescent="0.45">
      <c r="A25" s="4">
        <v>18</v>
      </c>
      <c r="B25" s="6">
        <v>0.9</v>
      </c>
      <c r="C25" s="7">
        <v>0.1</v>
      </c>
      <c r="D25" s="7">
        <v>0</v>
      </c>
      <c r="E25" s="74"/>
      <c r="F25" s="4">
        <v>18</v>
      </c>
      <c r="G25" s="58">
        <f>B25*Hypothèses!$G$11 + 'Poids Allocation'!C25*Hypothèses!$H$11 + 'Poids Allocation'!D25*Hypothèses!$I$11</f>
        <v>5.7500000000000002E-2</v>
      </c>
      <c r="H25" s="60">
        <f>B25^2 * Hypothèses!$G$12 + 'Poids Allocation'!C25^2*Hypothèses!$H$12 + 'Poids Allocation'!D25^2 * Hypothèses!$I$12 + 2 * 'Poids Allocation'!B25 * 'Poids Allocation'!C25 * Hypothèses!$H$21 + 2 * 'Poids Allocation'!C25 * 'Poids Allocation'!D25 * Hypothèses!$I$22 + 2 * 'Poids Allocation'!B25 * 'Poids Allocation'!D25 * Hypothèses!$I$21</f>
        <v>1.5919111569724115E-2</v>
      </c>
      <c r="I25" s="58">
        <f t="shared" si="0"/>
        <v>0.12617096167392922</v>
      </c>
      <c r="J25">
        <f t="shared" si="1"/>
        <v>18</v>
      </c>
    </row>
    <row r="26" spans="1:10" ht="16.5" thickBot="1" x14ac:dyDescent="0.45">
      <c r="A26" s="4">
        <v>17</v>
      </c>
      <c r="B26" s="6">
        <v>0.9</v>
      </c>
      <c r="C26" s="7">
        <v>0.1</v>
      </c>
      <c r="D26" s="7">
        <v>0</v>
      </c>
      <c r="E26" s="74"/>
      <c r="F26" s="4">
        <v>17</v>
      </c>
      <c r="G26" s="58">
        <f>B26*Hypothèses!$G$11 + 'Poids Allocation'!C26*Hypothèses!$H$11 + 'Poids Allocation'!D26*Hypothèses!$I$11</f>
        <v>5.7500000000000002E-2</v>
      </c>
      <c r="H26" s="60">
        <f>B26^2 * Hypothèses!$G$12 + 'Poids Allocation'!C26^2*Hypothèses!$H$12 + 'Poids Allocation'!D26^2 * Hypothèses!$I$12 + 2 * 'Poids Allocation'!B26 * 'Poids Allocation'!C26 * Hypothèses!$H$21 + 2 * 'Poids Allocation'!C26 * 'Poids Allocation'!D26 * Hypothèses!$I$22 + 2 * 'Poids Allocation'!B26 * 'Poids Allocation'!D26 * Hypothèses!$I$21</f>
        <v>1.5919111569724115E-2</v>
      </c>
      <c r="I26" s="58">
        <f t="shared" si="0"/>
        <v>0.12617096167392922</v>
      </c>
      <c r="J26">
        <f t="shared" si="1"/>
        <v>17</v>
      </c>
    </row>
    <row r="27" spans="1:10" ht="16.5" thickBot="1" x14ac:dyDescent="0.45">
      <c r="A27" s="4">
        <v>16</v>
      </c>
      <c r="B27" s="6">
        <v>0.88</v>
      </c>
      <c r="C27" s="7">
        <v>0.12</v>
      </c>
      <c r="D27" s="7">
        <v>0</v>
      </c>
      <c r="E27" s="74"/>
      <c r="F27" s="4">
        <v>16</v>
      </c>
      <c r="G27" s="58">
        <f>B27*Hypothèses!$G$11 + 'Poids Allocation'!C27*Hypothèses!$H$11 + 'Poids Allocation'!D27*Hypothèses!$I$11</f>
        <v>5.7000000000000002E-2</v>
      </c>
      <c r="H27" s="60">
        <f>B27^2 * Hypothèses!$G$12 + 'Poids Allocation'!C27^2*Hypothèses!$H$12 + 'Poids Allocation'!D27^2 * Hypothèses!$I$12 + 2 * 'Poids Allocation'!B27 * 'Poids Allocation'!C27 * Hypothèses!$H$21 + 2 * 'Poids Allocation'!C27 * 'Poids Allocation'!D27 * Hypothèses!$I$22 + 2 * 'Poids Allocation'!B27 * 'Poids Allocation'!D27 * Hypothèses!$I$21</f>
        <v>1.5301868426603207E-2</v>
      </c>
      <c r="I27" s="58">
        <f t="shared" si="0"/>
        <v>0.12370072120486286</v>
      </c>
      <c r="J27">
        <f t="shared" si="1"/>
        <v>16</v>
      </c>
    </row>
    <row r="28" spans="1:10" ht="16.5" thickBot="1" x14ac:dyDescent="0.45">
      <c r="A28" s="4">
        <v>15</v>
      </c>
      <c r="B28" s="6">
        <v>0.85</v>
      </c>
      <c r="C28" s="7">
        <v>0.15</v>
      </c>
      <c r="D28" s="7">
        <v>0</v>
      </c>
      <c r="E28" s="74"/>
      <c r="F28" s="4">
        <v>15</v>
      </c>
      <c r="G28" s="58">
        <f>B28*Hypothèses!$G$11 + 'Poids Allocation'!C28*Hypothèses!$H$11 + 'Poids Allocation'!D28*Hypothèses!$I$11</f>
        <v>5.6249999999999994E-2</v>
      </c>
      <c r="H28" s="60">
        <f>B28^2 * Hypothèses!$G$12 + 'Poids Allocation'!C28^2*Hypothèses!$H$12 + 'Poids Allocation'!D28^2 * Hypothèses!$I$12 + 2 * 'Poids Allocation'!B28 * 'Poids Allocation'!C28 * Hypothèses!$H$21 + 2 * 'Poids Allocation'!C28 * 'Poids Allocation'!D28 * Hypothèses!$I$22 + 2 * 'Poids Allocation'!B28 * 'Poids Allocation'!D28 * Hypothèses!$I$21</f>
        <v>1.4403081871263688E-2</v>
      </c>
      <c r="I28" s="58">
        <f t="shared" si="0"/>
        <v>0.12001284044327794</v>
      </c>
      <c r="J28">
        <f t="shared" si="1"/>
        <v>15</v>
      </c>
    </row>
    <row r="29" spans="1:10" ht="16.5" thickBot="1" x14ac:dyDescent="0.45">
      <c r="A29" s="4">
        <v>14</v>
      </c>
      <c r="B29" s="6">
        <v>0.82</v>
      </c>
      <c r="C29" s="7">
        <v>0.18</v>
      </c>
      <c r="D29" s="7">
        <v>0</v>
      </c>
      <c r="E29" s="74"/>
      <c r="F29" s="4">
        <v>14</v>
      </c>
      <c r="G29" s="58">
        <f>B29*Hypothèses!$G$11 + 'Poids Allocation'!C29*Hypothèses!$H$11 + 'Poids Allocation'!D29*Hypothèses!$I$11</f>
        <v>5.5499999999999994E-2</v>
      </c>
      <c r="H29" s="60">
        <f>B29^2 * Hypothèses!$G$12 + 'Poids Allocation'!C29^2*Hypothèses!$H$12 + 'Poids Allocation'!D29^2 * Hypothèses!$I$12 + 2 * 'Poids Allocation'!B29 * 'Poids Allocation'!C29 * Hypothèses!$H$21 + 2 * 'Poids Allocation'!C29 * 'Poids Allocation'!D29 * Hypothèses!$I$22 + 2 * 'Poids Allocation'!B29 * 'Poids Allocation'!D29 * Hypothèses!$I$21</f>
        <v>1.353678910713438E-2</v>
      </c>
      <c r="I29" s="58">
        <f t="shared" si="0"/>
        <v>0.11634770778633492</v>
      </c>
      <c r="J29">
        <f t="shared" si="1"/>
        <v>14</v>
      </c>
    </row>
    <row r="30" spans="1:10" ht="16.5" thickBot="1" x14ac:dyDescent="0.45">
      <c r="A30" s="4">
        <v>13</v>
      </c>
      <c r="B30" s="6">
        <v>0.77</v>
      </c>
      <c r="C30" s="7">
        <v>0.23</v>
      </c>
      <c r="D30" s="7">
        <v>0</v>
      </c>
      <c r="E30" s="74"/>
      <c r="F30" s="4">
        <v>13</v>
      </c>
      <c r="G30" s="58">
        <f>B30*Hypothèses!$G$11 + 'Poids Allocation'!C30*Hypothèses!$H$11 + 'Poids Allocation'!D30*Hypothèses!$I$11</f>
        <v>5.425E-2</v>
      </c>
      <c r="H30" s="60">
        <f>B30^2 * Hypothèses!$G$12 + 'Poids Allocation'!C30^2*Hypothèses!$H$12 + 'Poids Allocation'!D30^2 * Hypothèses!$I$12 + 2 * 'Poids Allocation'!B30 * 'Poids Allocation'!C30 * Hypothèses!$H$21 + 2 * 'Poids Allocation'!C30 * 'Poids Allocation'!D30 * Hypothèses!$I$22 + 2 * 'Poids Allocation'!B30 * 'Poids Allocation'!D30 * Hypothèses!$I$21</f>
        <v>1.2165176258497109E-2</v>
      </c>
      <c r="I30" s="58">
        <f t="shared" si="0"/>
        <v>0.11029585784832134</v>
      </c>
      <c r="J30">
        <f t="shared" si="1"/>
        <v>13</v>
      </c>
    </row>
    <row r="31" spans="1:10" ht="16.5" thickBot="1" x14ac:dyDescent="0.45">
      <c r="A31" s="4">
        <v>12</v>
      </c>
      <c r="B31" s="6">
        <v>0.7</v>
      </c>
      <c r="C31" s="7">
        <v>0.3</v>
      </c>
      <c r="D31" s="7">
        <v>0</v>
      </c>
      <c r="E31" s="74"/>
      <c r="F31" s="4">
        <v>12</v>
      </c>
      <c r="G31" s="58">
        <f>B31*Hypothèses!$G$11 + 'Poids Allocation'!C31*Hypothèses!$H$11 + 'Poids Allocation'!D31*Hypothèses!$I$11</f>
        <v>5.2499999999999998E-2</v>
      </c>
      <c r="H31" s="60">
        <f>B31^2 * Hypothèses!$G$12 + 'Poids Allocation'!C31^2*Hypothèses!$H$12 + 'Poids Allocation'!D31^2 * Hypothèses!$I$12 + 2 * 'Poids Allocation'!B31 * 'Poids Allocation'!C31 * Hypothèses!$H$21 + 2 * 'Poids Allocation'!C31 * 'Poids Allocation'!D31 * Hypothèses!$I$22 + 2 * 'Poids Allocation'!B31 * 'Poids Allocation'!D31 * Hypothèses!$I$21</f>
        <v>1.0396555962719239E-2</v>
      </c>
      <c r="I31" s="58">
        <f t="shared" si="0"/>
        <v>0.10196350309164176</v>
      </c>
      <c r="J31">
        <f t="shared" si="1"/>
        <v>12</v>
      </c>
    </row>
    <row r="32" spans="1:10" ht="16.5" thickBot="1" x14ac:dyDescent="0.45">
      <c r="A32" s="4">
        <v>11</v>
      </c>
      <c r="B32" s="6">
        <v>0.63</v>
      </c>
      <c r="C32" s="7">
        <v>0.36</v>
      </c>
      <c r="D32" s="7">
        <v>0.01</v>
      </c>
      <c r="E32" s="74"/>
      <c r="F32" s="4">
        <v>11</v>
      </c>
      <c r="G32" s="58">
        <f>B32*Hypothèses!$G$11 + 'Poids Allocation'!C32*Hypothèses!$H$11 + 'Poids Allocation'!D32*Hypothèses!$I$11</f>
        <v>5.0599999999999999E-2</v>
      </c>
      <c r="H32" s="60">
        <f>B32^2 * Hypothèses!$G$12 + 'Poids Allocation'!C32^2*Hypothèses!$H$12 + 'Poids Allocation'!D32^2 * Hypothèses!$I$12 + 2 * 'Poids Allocation'!B32 * 'Poids Allocation'!C32 * Hypothèses!$H$21 + 2 * 'Poids Allocation'!C32 * 'Poids Allocation'!D32 * Hypothèses!$I$22 + 2 * 'Poids Allocation'!B32 * 'Poids Allocation'!D32 * Hypothèses!$I$21</f>
        <v>8.7661478530403816E-3</v>
      </c>
      <c r="I32" s="58">
        <f t="shared" si="0"/>
        <v>9.3627708788800237E-2</v>
      </c>
      <c r="J32">
        <f t="shared" si="1"/>
        <v>11</v>
      </c>
    </row>
    <row r="33" spans="1:10" ht="16.5" thickBot="1" x14ac:dyDescent="0.45">
      <c r="A33" s="4">
        <v>10</v>
      </c>
      <c r="B33" s="6">
        <v>0.54</v>
      </c>
      <c r="C33" s="7">
        <v>0.43</v>
      </c>
      <c r="D33" s="7">
        <v>0.03</v>
      </c>
      <c r="E33" s="74"/>
      <c r="F33" s="4">
        <v>10</v>
      </c>
      <c r="G33" s="58">
        <f>B33*Hypothèses!$G$11 + 'Poids Allocation'!C33*Hypothèses!$H$11 + 'Poids Allocation'!D33*Hypothèses!$I$11</f>
        <v>4.8050000000000002E-2</v>
      </c>
      <c r="H33" s="60">
        <f>B33^2 * Hypothèses!$G$12 + 'Poids Allocation'!C33^2*Hypothèses!$H$12 + 'Poids Allocation'!D33^2 * Hypothèses!$I$12 + 2 * 'Poids Allocation'!B33 * 'Poids Allocation'!C33 * Hypothèses!$H$21 + 2 * 'Poids Allocation'!C33 * 'Poids Allocation'!D33 * Hypothèses!$I$22 + 2 * 'Poids Allocation'!B33 * 'Poids Allocation'!D33 * Hypothèses!$I$21</f>
        <v>6.9000611062405648E-3</v>
      </c>
      <c r="I33" s="58">
        <f t="shared" si="0"/>
        <v>8.3066606444711366E-2</v>
      </c>
      <c r="J33">
        <f t="shared" si="1"/>
        <v>10</v>
      </c>
    </row>
    <row r="34" spans="1:10" ht="16.5" thickBot="1" x14ac:dyDescent="0.45">
      <c r="A34" s="4">
        <v>9</v>
      </c>
      <c r="B34" s="6">
        <v>0.44</v>
      </c>
      <c r="C34" s="7">
        <v>0.5</v>
      </c>
      <c r="D34" s="7">
        <v>0.06</v>
      </c>
      <c r="E34" s="74"/>
      <c r="F34" s="4">
        <v>9</v>
      </c>
      <c r="G34" s="58">
        <f>B34*Hypothèses!$G$11 + 'Poids Allocation'!C34*Hypothèses!$H$11 + 'Poids Allocation'!D34*Hypothèses!$I$11</f>
        <v>4.5100000000000001E-2</v>
      </c>
      <c r="H34" s="60">
        <f>B34^2 * Hypothèses!$G$12 + 'Poids Allocation'!C34^2*Hypothèses!$H$12 + 'Poids Allocation'!D34^2 * Hypothèses!$I$12 + 2 * 'Poids Allocation'!B34 * 'Poids Allocation'!C34 * Hypothèses!$H$21 + 2 * 'Poids Allocation'!C34 * 'Poids Allocation'!D34 * Hypothèses!$I$22 + 2 * 'Poids Allocation'!B34 * 'Poids Allocation'!D34 * Hypothèses!$I$21</f>
        <v>5.1360659121696701E-3</v>
      </c>
      <c r="I34" s="58">
        <f t="shared" si="0"/>
        <v>7.1666351324520983E-2</v>
      </c>
      <c r="J34">
        <f t="shared" si="1"/>
        <v>9</v>
      </c>
    </row>
    <row r="35" spans="1:10" ht="16.5" thickBot="1" x14ac:dyDescent="0.45">
      <c r="A35" s="4">
        <v>8</v>
      </c>
      <c r="B35" s="6">
        <v>0.34</v>
      </c>
      <c r="C35" s="7">
        <v>0.56000000000000005</v>
      </c>
      <c r="D35" s="7">
        <v>0.1</v>
      </c>
      <c r="E35" s="74"/>
      <c r="F35" s="4">
        <v>8</v>
      </c>
      <c r="G35" s="58">
        <f>B35*Hypothèses!$G$11 + 'Poids Allocation'!C35*Hypothèses!$H$11 + 'Poids Allocation'!D35*Hypothèses!$I$11</f>
        <v>4.200000000000001E-2</v>
      </c>
      <c r="H35" s="60">
        <f>B35^2 * Hypothèses!$G$12 + 'Poids Allocation'!C35^2*Hypothèses!$H$12 + 'Poids Allocation'!D35^2 * Hypothèses!$I$12 + 2 * 'Poids Allocation'!B35 * 'Poids Allocation'!C35 * Hypothèses!$H$21 + 2 * 'Poids Allocation'!C35 * 'Poids Allocation'!D35 * Hypothèses!$I$22 + 2 * 'Poids Allocation'!B35 * 'Poids Allocation'!D35 * Hypothèses!$I$21</f>
        <v>3.6911148281134924E-3</v>
      </c>
      <c r="I35" s="58">
        <f t="shared" si="0"/>
        <v>6.0754545740327057E-2</v>
      </c>
      <c r="J35">
        <f t="shared" si="1"/>
        <v>8</v>
      </c>
    </row>
    <row r="36" spans="1:10" ht="16.5" thickBot="1" x14ac:dyDescent="0.45">
      <c r="A36" s="4">
        <v>7</v>
      </c>
      <c r="B36" s="6">
        <v>0.25</v>
      </c>
      <c r="C36" s="7">
        <v>0.59</v>
      </c>
      <c r="D36" s="7">
        <v>0.16</v>
      </c>
      <c r="E36" s="74"/>
      <c r="F36" s="4">
        <v>7</v>
      </c>
      <c r="G36" s="58">
        <f>B36*Hypothèses!$G$11 + 'Poids Allocation'!C36*Hypothèses!$H$11 + 'Poids Allocation'!D36*Hypothèses!$I$11</f>
        <v>3.8850000000000003E-2</v>
      </c>
      <c r="H36" s="60">
        <f>B36^2 * Hypothèses!$G$12 + 'Poids Allocation'!C36^2*Hypothèses!$H$12 + 'Poids Allocation'!D36^2 * Hypothèses!$I$12 + 2 * 'Poids Allocation'!B36 * 'Poids Allocation'!C36 * Hypothèses!$H$21 + 2 * 'Poids Allocation'!C36 * 'Poids Allocation'!D36 * Hypothèses!$I$22 + 2 * 'Poids Allocation'!B36 * 'Poids Allocation'!D36 * Hypothèses!$I$21</f>
        <v>2.6079380955906454E-3</v>
      </c>
      <c r="I36" s="58">
        <f t="shared" si="0"/>
        <v>5.1067975244674088E-2</v>
      </c>
      <c r="J36">
        <f t="shared" si="1"/>
        <v>7</v>
      </c>
    </row>
    <row r="37" spans="1:10" ht="16.5" thickBot="1" x14ac:dyDescent="0.45">
      <c r="A37" s="4">
        <v>6</v>
      </c>
      <c r="B37" s="6">
        <v>0.16</v>
      </c>
      <c r="C37" s="7">
        <v>0.6</v>
      </c>
      <c r="D37" s="7">
        <v>0.24</v>
      </c>
      <c r="E37" s="74"/>
      <c r="F37" s="4">
        <v>6</v>
      </c>
      <c r="G37" s="58">
        <f>B37*Hypothèses!$G$11 + 'Poids Allocation'!C37*Hypothèses!$H$11 + 'Poids Allocation'!D37*Hypothèses!$I$11</f>
        <v>3.5400000000000001E-2</v>
      </c>
      <c r="H37" s="60">
        <f>B37^2 * Hypothèses!$G$12 + 'Poids Allocation'!C37^2*Hypothèses!$H$12 + 'Poids Allocation'!D37^2 * Hypothèses!$I$12 + 2 * 'Poids Allocation'!B37 * 'Poids Allocation'!C37 * Hypothèses!$H$21 + 2 * 'Poids Allocation'!C37 * 'Poids Allocation'!D37 * Hypothèses!$I$22 + 2 * 'Poids Allocation'!B37 * 'Poids Allocation'!D37 * Hypothèses!$I$21</f>
        <v>1.751169052461828E-3</v>
      </c>
      <c r="I37" s="58">
        <f t="shared" si="0"/>
        <v>4.1846971843394212E-2</v>
      </c>
      <c r="J37">
        <f t="shared" si="1"/>
        <v>6</v>
      </c>
    </row>
    <row r="38" spans="1:10" ht="16.5" thickBot="1" x14ac:dyDescent="0.45">
      <c r="A38" s="4">
        <v>5</v>
      </c>
      <c r="B38" s="6">
        <v>0.1</v>
      </c>
      <c r="C38" s="7">
        <v>0.56999999999999995</v>
      </c>
      <c r="D38" s="7">
        <v>0.33</v>
      </c>
      <c r="E38" s="74"/>
      <c r="F38" s="4">
        <v>5</v>
      </c>
      <c r="G38" s="58">
        <f>B38*Hypothèses!$G$11 + 'Poids Allocation'!C38*Hypothèses!$H$11 + 'Poids Allocation'!D38*Hypothèses!$I$11</f>
        <v>3.2550000000000003E-2</v>
      </c>
      <c r="H38" s="60">
        <f>B38^2 * Hypothèses!$G$12 + 'Poids Allocation'!C38^2*Hypothèses!$H$12 + 'Poids Allocation'!D38^2 * Hypothèses!$I$12 + 2 * 'Poids Allocation'!B38 * 'Poids Allocation'!C38 * Hypothèses!$H$21 + 2 * 'Poids Allocation'!C38 * 'Poids Allocation'!D38 * Hypothèses!$I$22 + 2 * 'Poids Allocation'!B38 * 'Poids Allocation'!D38 * Hypothèses!$I$21</f>
        <v>1.2338322374732522E-3</v>
      </c>
      <c r="I38" s="58">
        <f t="shared" si="0"/>
        <v>3.5125948207461281E-2</v>
      </c>
      <c r="J38">
        <f t="shared" si="1"/>
        <v>5</v>
      </c>
    </row>
    <row r="39" spans="1:10" ht="16.5" thickBot="1" x14ac:dyDescent="0.45">
      <c r="A39" s="4">
        <v>4</v>
      </c>
      <c r="B39" s="6">
        <v>0.05</v>
      </c>
      <c r="C39" s="7">
        <v>0.51</v>
      </c>
      <c r="D39" s="7">
        <v>0.44</v>
      </c>
      <c r="E39" s="74"/>
      <c r="F39" s="4">
        <v>4</v>
      </c>
      <c r="G39" s="58">
        <f>B39*Hypothèses!$G$11 + 'Poids Allocation'!C39*Hypothèses!$H$11 + 'Poids Allocation'!D39*Hypothèses!$I$11</f>
        <v>2.9650000000000003E-2</v>
      </c>
      <c r="H39" s="60">
        <f>B39^2 * Hypothèses!$G$12 + 'Poids Allocation'!C39^2*Hypothèses!$H$12 + 'Poids Allocation'!D39^2 * Hypothèses!$I$12 + 2 * 'Poids Allocation'!B39 * 'Poids Allocation'!C39 * Hypothèses!$H$21 + 2 * 'Poids Allocation'!C39 * 'Poids Allocation'!D39 * Hypothèses!$I$22 + 2 * 'Poids Allocation'!B39 * 'Poids Allocation'!D39 * Hypothèses!$I$21</f>
        <v>8.2652495473356838E-4</v>
      </c>
      <c r="I39" s="58">
        <f t="shared" si="0"/>
        <v>2.8749347031429572E-2</v>
      </c>
      <c r="J39">
        <f t="shared" si="1"/>
        <v>4</v>
      </c>
    </row>
    <row r="40" spans="1:10" ht="16.5" thickBot="1" x14ac:dyDescent="0.45">
      <c r="A40" s="4">
        <v>3</v>
      </c>
      <c r="B40" s="6">
        <v>0.02</v>
      </c>
      <c r="C40" s="7">
        <v>0.42</v>
      </c>
      <c r="D40" s="7">
        <v>0.56000000000000005</v>
      </c>
      <c r="E40" s="74"/>
      <c r="F40" s="4">
        <v>3</v>
      </c>
      <c r="G40" s="58">
        <f>B40*Hypothèses!$G$11 + 'Poids Allocation'!C40*Hypothèses!$H$11 + 'Poids Allocation'!D40*Hypothèses!$I$11</f>
        <v>2.7100000000000003E-2</v>
      </c>
      <c r="H40" s="60">
        <f>B40^2 * Hypothèses!$G$12 + 'Poids Allocation'!C40^2*Hypothèses!$H$12 + 'Poids Allocation'!D40^2 * Hypothèses!$I$12 + 2 * 'Poids Allocation'!B40 * 'Poids Allocation'!C40 * Hypothèses!$H$21 + 2 * 'Poids Allocation'!C40 * 'Poids Allocation'!D40 * Hypothèses!$I$22 + 2 * 'Poids Allocation'!B40 * 'Poids Allocation'!D40 * Hypothèses!$I$21</f>
        <v>5.271702094546602E-4</v>
      </c>
      <c r="I40" s="58">
        <f t="shared" si="0"/>
        <v>2.296018748735864E-2</v>
      </c>
      <c r="J40">
        <f t="shared" si="1"/>
        <v>3</v>
      </c>
    </row>
    <row r="41" spans="1:10" ht="16.5" thickBot="1" x14ac:dyDescent="0.45">
      <c r="A41" s="4">
        <v>2</v>
      </c>
      <c r="B41" s="6">
        <v>0</v>
      </c>
      <c r="C41" s="7">
        <v>0.28999999999999998</v>
      </c>
      <c r="D41" s="7">
        <v>0.71</v>
      </c>
      <c r="E41" s="74"/>
      <c r="F41" s="4">
        <v>2</v>
      </c>
      <c r="G41" s="58">
        <f>B41*Hypothèses!$G$11 + 'Poids Allocation'!C41*Hypothèses!$H$11 + 'Poids Allocation'!D41*Hypothèses!$I$11</f>
        <v>2.435E-2</v>
      </c>
      <c r="H41" s="60">
        <f>B41^2 * Hypothèses!$G$12 + 'Poids Allocation'!C41^2*Hypothèses!$H$12 + 'Poids Allocation'!D41^2 * Hypothèses!$I$12 + 2 * 'Poids Allocation'!B41 * 'Poids Allocation'!C41 * Hypothèses!$H$21 + 2 * 'Poids Allocation'!C41 * 'Poids Allocation'!D41 * Hypothèses!$I$22 + 2 * 'Poids Allocation'!B41 * 'Poids Allocation'!D41 * Hypothèses!$I$21</f>
        <v>2.6902183202878911E-4</v>
      </c>
      <c r="I41" s="58">
        <f t="shared" si="0"/>
        <v>1.6401885014497238E-2</v>
      </c>
      <c r="J41">
        <f t="shared" si="1"/>
        <v>2</v>
      </c>
    </row>
    <row r="42" spans="1:10" ht="16.5" thickBot="1" x14ac:dyDescent="0.45">
      <c r="A42" s="4">
        <v>1</v>
      </c>
      <c r="B42" s="6">
        <v>0</v>
      </c>
      <c r="C42" s="7">
        <v>0.1</v>
      </c>
      <c r="D42" s="7">
        <v>0.9</v>
      </c>
      <c r="E42" s="74"/>
      <c r="F42" s="4">
        <v>1</v>
      </c>
      <c r="G42" s="58">
        <f>B42*Hypothèses!$G$11 + 'Poids Allocation'!C42*Hypothèses!$H$11 + 'Poids Allocation'!D42*Hypothèses!$I$11</f>
        <v>2.1500000000000002E-2</v>
      </c>
      <c r="H42" s="60">
        <f>B42^2 * Hypothèses!$G$12 + 'Poids Allocation'!C42^2*Hypothèses!$H$12 + 'Poids Allocation'!D42^2 * Hypothèses!$I$12 + 2 * 'Poids Allocation'!B42 * 'Poids Allocation'!C42 * Hypothèses!$H$21 + 2 * 'Poids Allocation'!C42 * 'Poids Allocation'!D42 * Hypothèses!$I$22 + 2 * 'Poids Allocation'!B42 * 'Poids Allocation'!D42 * Hypothèses!$I$21</f>
        <v>8.9377840481175171E-5</v>
      </c>
      <c r="I42" s="58">
        <f t="shared" si="0"/>
        <v>9.4539854284410221E-3</v>
      </c>
      <c r="J42">
        <f t="shared" si="1"/>
        <v>1</v>
      </c>
    </row>
    <row r="43" spans="1:10" ht="16" customHeight="1" thickBot="1" x14ac:dyDescent="0.45">
      <c r="A43" s="4">
        <v>0</v>
      </c>
      <c r="B43" s="6">
        <v>0</v>
      </c>
      <c r="C43" s="7">
        <v>0</v>
      </c>
      <c r="D43" s="7">
        <v>1</v>
      </c>
      <c r="E43" s="74"/>
      <c r="F43" s="4">
        <v>0</v>
      </c>
      <c r="G43" s="58">
        <f>B43*Hypothèses!$G$11 + 'Poids Allocation'!C43*Hypothèses!$H$11 + 'Poids Allocation'!D43*Hypothèses!$I$11</f>
        <v>0.02</v>
      </c>
      <c r="H43" s="60">
        <f>B43^2 * Hypothèses!$G$12 + 'Poids Allocation'!C43^2*Hypothèses!$H$12 + 'Poids Allocation'!D43^2 * Hypothèses!$I$12 + 2 * 'Poids Allocation'!B43 * 'Poids Allocation'!C43 * Hypothèses!$H$21 + 2 * 'Poids Allocation'!C43 * 'Poids Allocation'!D43 * Hypothèses!$I$22 + 2 * 'Poids Allocation'!B43 * 'Poids Allocation'!D43 * Hypothèses!$I$21</f>
        <v>6.2908716702623994E-5</v>
      </c>
      <c r="I43" s="58">
        <f t="shared" si="0"/>
        <v>7.9315015414878412E-3</v>
      </c>
      <c r="J43">
        <f t="shared" si="1"/>
        <v>0</v>
      </c>
    </row>
    <row r="44" spans="1:10" x14ac:dyDescent="0.4">
      <c r="G44" s="8"/>
    </row>
    <row r="45" spans="1:10" x14ac:dyDescent="0.4">
      <c r="G45" s="8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B1ED1-1C22-4B43-80CA-20DED4C82CE4}">
  <sheetPr codeName="Feuil1">
    <tabColor theme="3" tint="0.89999084444715716"/>
  </sheetPr>
  <dimension ref="B2:K50"/>
  <sheetViews>
    <sheetView workbookViewId="0">
      <selection activeCell="J12" sqref="J12"/>
    </sheetView>
  </sheetViews>
  <sheetFormatPr baseColWidth="10" defaultRowHeight="16" x14ac:dyDescent="0.4"/>
  <cols>
    <col min="2" max="2" width="29.58203125" bestFit="1" customWidth="1"/>
    <col min="3" max="3" width="16.58203125" bestFit="1" customWidth="1"/>
    <col min="9" max="9" width="22" bestFit="1" customWidth="1"/>
    <col min="10" max="10" width="16" bestFit="1" customWidth="1"/>
    <col min="11" max="11" width="21.58203125" bestFit="1" customWidth="1"/>
  </cols>
  <sheetData>
    <row r="2" spans="2:11" ht="16.5" thickBot="1" x14ac:dyDescent="0.45">
      <c r="C2" t="s">
        <v>25</v>
      </c>
    </row>
    <row r="3" spans="2:11" ht="16.5" thickBot="1" x14ac:dyDescent="0.45">
      <c r="B3" s="9"/>
      <c r="C3" s="62" t="s">
        <v>20</v>
      </c>
    </row>
    <row r="4" spans="2:11" x14ac:dyDescent="0.4">
      <c r="B4" s="63" t="s">
        <v>21</v>
      </c>
      <c r="C4" s="68">
        <v>10000</v>
      </c>
    </row>
    <row r="5" spans="2:11" x14ac:dyDescent="0.4">
      <c r="B5" s="64" t="s">
        <v>22</v>
      </c>
      <c r="C5" s="66" t="s">
        <v>23</v>
      </c>
    </row>
    <row r="6" spans="2:11" x14ac:dyDescent="0.4">
      <c r="B6" s="64" t="s">
        <v>24</v>
      </c>
      <c r="C6" s="66">
        <v>15</v>
      </c>
    </row>
    <row r="7" spans="2:11" x14ac:dyDescent="0.4">
      <c r="B7" s="64" t="s">
        <v>41</v>
      </c>
      <c r="C7" s="66">
        <v>10</v>
      </c>
    </row>
    <row r="8" spans="2:11" ht="16.5" thickBot="1" x14ac:dyDescent="0.45">
      <c r="B8" s="65" t="s">
        <v>31</v>
      </c>
      <c r="C8" s="67">
        <v>2</v>
      </c>
    </row>
    <row r="9" spans="2:11" ht="16.5" thickBot="1" x14ac:dyDescent="0.45">
      <c r="G9" s="78" t="s">
        <v>29</v>
      </c>
      <c r="H9" s="79" t="s">
        <v>30</v>
      </c>
      <c r="I9" s="80" t="s">
        <v>33</v>
      </c>
      <c r="J9" s="80" t="s">
        <v>34</v>
      </c>
      <c r="K9" s="81" t="s">
        <v>35</v>
      </c>
    </row>
    <row r="10" spans="2:11" x14ac:dyDescent="0.4">
      <c r="B10" s="9"/>
      <c r="C10" s="75" t="s">
        <v>26</v>
      </c>
      <c r="G10">
        <f>C6</f>
        <v>15</v>
      </c>
      <c r="H10">
        <f>IF(G10="","",IF(G10&lt;0,K9,IF(F10="versement",-$C$4,0)))</f>
        <v>0</v>
      </c>
      <c r="I10">
        <f>-H10</f>
        <v>0</v>
      </c>
      <c r="J10">
        <f>I10*VLOOKUP(G10-1,'Poids Allocation'!F3:I43,2,0)</f>
        <v>0</v>
      </c>
      <c r="K10">
        <f>I10+J10</f>
        <v>0</v>
      </c>
    </row>
    <row r="11" spans="2:11" x14ac:dyDescent="0.4">
      <c r="B11" s="76" t="s">
        <v>27</v>
      </c>
      <c r="C11" s="90">
        <f ca="1">IRR(H10:OFFSET(H10,duree_inv+1,0))</f>
        <v>4.4143451649265586E-2</v>
      </c>
      <c r="F11" t="s">
        <v>32</v>
      </c>
      <c r="G11">
        <f t="shared" ref="G11:G45" si="0">IFERROR(IF(G10-1&gt;=horizon-duree_inv,G10-1,""),"")</f>
        <v>14</v>
      </c>
      <c r="H11">
        <f t="shared" ref="H11:H48" si="1">IF(G11 = horizon-duree_inv,K10,IF(G11="","",IF(G11&lt;horizon-duree_inv,K10,IF(F11="versement",-$C$4,0))))</f>
        <v>-10000</v>
      </c>
      <c r="I11">
        <f t="shared" ref="I11:I48" si="2">IF(G11=horizon-duree_inv,"",IF(AND(G11&lt;&gt;"",G11&gt;=horizon-duree_inv),K10-H11,""))</f>
        <v>10000</v>
      </c>
      <c r="J11">
        <f>IF(AND(G11&lt;&gt;"",G11&gt;horizon-duree_inv),I11*VLOOKUP(G11,'Poids Allocation'!$F$3:$I$43,2,FALSE),"")</f>
        <v>554.99999999999989</v>
      </c>
      <c r="K11">
        <f t="shared" ref="K11:K48" si="3">IF(AND(G11&lt;&gt;"",G11&gt;horizon-duree_inv),I11+J11,"")</f>
        <v>10555</v>
      </c>
    </row>
    <row r="12" spans="2:11" ht="16.5" thickBot="1" x14ac:dyDescent="0.45">
      <c r="B12" s="77" t="s">
        <v>28</v>
      </c>
      <c r="C12" s="25">
        <f ca="1">OFFSET(start_year,duree_inv,1)</f>
        <v>62518.2981040292</v>
      </c>
      <c r="G12">
        <f t="shared" si="0"/>
        <v>13</v>
      </c>
      <c r="H12">
        <f t="shared" si="1"/>
        <v>0</v>
      </c>
      <c r="I12">
        <f t="shared" si="2"/>
        <v>10555</v>
      </c>
      <c r="J12">
        <f>IF(AND(G12&lt;&gt;"",G12&gt;horizon-duree_inv),I12*VLOOKUP(G12,'Poids Allocation'!$F$3:$I$43,2,FALSE),"")</f>
        <v>572.60874999999999</v>
      </c>
      <c r="K12">
        <f t="shared" si="3"/>
        <v>11127.608749999999</v>
      </c>
    </row>
    <row r="13" spans="2:11" x14ac:dyDescent="0.4">
      <c r="F13" t="s">
        <v>32</v>
      </c>
      <c r="G13">
        <f t="shared" si="0"/>
        <v>12</v>
      </c>
      <c r="H13">
        <f t="shared" si="1"/>
        <v>-10000</v>
      </c>
      <c r="I13">
        <f t="shared" si="2"/>
        <v>21127.608749999999</v>
      </c>
      <c r="J13">
        <f>IF(AND(G13&lt;&gt;"",G13&gt;horizon-duree_inv),I13*VLOOKUP(G13,'Poids Allocation'!$F$3:$I$43,2,FALSE),"")</f>
        <v>1109.1994593749998</v>
      </c>
      <c r="K13">
        <f t="shared" si="3"/>
        <v>22236.808209374998</v>
      </c>
    </row>
    <row r="14" spans="2:11" x14ac:dyDescent="0.4">
      <c r="G14">
        <f t="shared" si="0"/>
        <v>11</v>
      </c>
      <c r="H14">
        <f t="shared" si="1"/>
        <v>0</v>
      </c>
      <c r="I14">
        <f t="shared" si="2"/>
        <v>22236.808209374998</v>
      </c>
      <c r="J14">
        <f>IF(AND(G14&lt;&gt;"",G14&gt;horizon-duree_inv),I14*VLOOKUP(G14,'Poids Allocation'!$F$3:$I$43,2,FALSE),"")</f>
        <v>1125.1824953943749</v>
      </c>
      <c r="K14">
        <f t="shared" si="3"/>
        <v>23361.990704769374</v>
      </c>
    </row>
    <row r="15" spans="2:11" x14ac:dyDescent="0.4">
      <c r="F15" t="s">
        <v>32</v>
      </c>
      <c r="G15">
        <f t="shared" si="0"/>
        <v>10</v>
      </c>
      <c r="H15">
        <f t="shared" si="1"/>
        <v>-10000</v>
      </c>
      <c r="I15">
        <f t="shared" si="2"/>
        <v>33361.99070476937</v>
      </c>
      <c r="J15">
        <f>IF(AND(G15&lt;&gt;"",G15&gt;horizon-duree_inv),I15*VLOOKUP(G15,'Poids Allocation'!$F$3:$I$43,2,FALSE),"")</f>
        <v>1603.0436533641682</v>
      </c>
      <c r="K15">
        <f t="shared" si="3"/>
        <v>34965.03435813354</v>
      </c>
    </row>
    <row r="16" spans="2:11" x14ac:dyDescent="0.4">
      <c r="G16">
        <f t="shared" si="0"/>
        <v>9</v>
      </c>
      <c r="H16">
        <f t="shared" si="1"/>
        <v>0</v>
      </c>
      <c r="I16">
        <f t="shared" si="2"/>
        <v>34965.03435813354</v>
      </c>
      <c r="J16">
        <f>IF(AND(G16&lt;&gt;"",G16&gt;horizon-duree_inv),I16*VLOOKUP(G16,'Poids Allocation'!$F$3:$I$43,2,FALSE),"")</f>
        <v>1576.9230495518227</v>
      </c>
      <c r="K16">
        <f t="shared" si="3"/>
        <v>36541.957407685361</v>
      </c>
    </row>
    <row r="17" spans="6:11" x14ac:dyDescent="0.4">
      <c r="F17" t="s">
        <v>32</v>
      </c>
      <c r="G17">
        <f t="shared" si="0"/>
        <v>8</v>
      </c>
      <c r="H17">
        <f t="shared" si="1"/>
        <v>-10000</v>
      </c>
      <c r="I17">
        <f t="shared" si="2"/>
        <v>46541.957407685361</v>
      </c>
      <c r="J17">
        <f>IF(AND(G17&lt;&gt;"",G17&gt;horizon-duree_inv),I17*VLOOKUP(G17,'Poids Allocation'!$F$3:$I$43,2,FALSE),"")</f>
        <v>1954.7622111227856</v>
      </c>
      <c r="K17">
        <f t="shared" si="3"/>
        <v>48496.719618808143</v>
      </c>
    </row>
    <row r="18" spans="6:11" x14ac:dyDescent="0.4">
      <c r="G18">
        <f t="shared" si="0"/>
        <v>7</v>
      </c>
      <c r="H18">
        <f t="shared" si="1"/>
        <v>0</v>
      </c>
      <c r="I18">
        <f t="shared" si="2"/>
        <v>48496.719618808143</v>
      </c>
      <c r="J18">
        <f>IF(AND(G18&lt;&gt;"",G18&gt;horizon-duree_inv),I18*VLOOKUP(G18,'Poids Allocation'!$F$3:$I$43,2,FALSE),"")</f>
        <v>1884.0975571906965</v>
      </c>
      <c r="K18">
        <f t="shared" si="3"/>
        <v>50380.81717599884</v>
      </c>
    </row>
    <row r="19" spans="6:11" x14ac:dyDescent="0.4">
      <c r="F19" t="s">
        <v>32</v>
      </c>
      <c r="G19">
        <f t="shared" si="0"/>
        <v>6</v>
      </c>
      <c r="H19">
        <f t="shared" si="1"/>
        <v>-10000</v>
      </c>
      <c r="I19">
        <f t="shared" si="2"/>
        <v>60380.81717599884</v>
      </c>
      <c r="J19">
        <f>IF(AND(G19&lt;&gt;"",G19&gt;horizon-duree_inv),I19*VLOOKUP(G19,'Poids Allocation'!$F$3:$I$43,2,FALSE),"")</f>
        <v>2137.4809280303589</v>
      </c>
      <c r="K19">
        <f t="shared" si="3"/>
        <v>62518.2981040292</v>
      </c>
    </row>
    <row r="20" spans="6:11" x14ac:dyDescent="0.4">
      <c r="G20">
        <f t="shared" si="0"/>
        <v>5</v>
      </c>
      <c r="H20">
        <f t="shared" si="1"/>
        <v>62518.2981040292</v>
      </c>
      <c r="I20" t="str">
        <f t="shared" si="2"/>
        <v/>
      </c>
      <c r="J20" t="str">
        <f>IF(AND(G20&lt;&gt;"",G20&gt;horizon-duree_inv),I20*VLOOKUP(G20,'Poids Allocation'!$F$3:$I$43,2,FALSE),"")</f>
        <v/>
      </c>
      <c r="K20" t="str">
        <f t="shared" si="3"/>
        <v/>
      </c>
    </row>
    <row r="21" spans="6:11" x14ac:dyDescent="0.4">
      <c r="G21" t="str">
        <f t="shared" si="0"/>
        <v/>
      </c>
      <c r="H21" t="str">
        <f t="shared" si="1"/>
        <v/>
      </c>
      <c r="I21" t="str">
        <f t="shared" si="2"/>
        <v/>
      </c>
      <c r="J21" t="str">
        <f>IF(AND(G21&lt;&gt;"",G21&gt;horizon-duree_inv),I21*VLOOKUP(G21,'Poids Allocation'!$F$3:$I$43,2,FALSE),"")</f>
        <v/>
      </c>
      <c r="K21" t="str">
        <f t="shared" si="3"/>
        <v/>
      </c>
    </row>
    <row r="22" spans="6:11" x14ac:dyDescent="0.4">
      <c r="G22" t="str">
        <f t="shared" si="0"/>
        <v/>
      </c>
      <c r="H22" t="str">
        <f t="shared" si="1"/>
        <v/>
      </c>
      <c r="I22" t="str">
        <f t="shared" si="2"/>
        <v/>
      </c>
      <c r="J22" t="str">
        <f>IF(AND(G22&lt;&gt;"",G22&gt;horizon-duree_inv),I22*VLOOKUP(G22,'Poids Allocation'!$F$3:$I$43,2,FALSE),"")</f>
        <v/>
      </c>
      <c r="K22" t="str">
        <f t="shared" si="3"/>
        <v/>
      </c>
    </row>
    <row r="23" spans="6:11" x14ac:dyDescent="0.4">
      <c r="G23" t="str">
        <f t="shared" si="0"/>
        <v/>
      </c>
      <c r="H23" t="str">
        <f t="shared" si="1"/>
        <v/>
      </c>
      <c r="I23" t="str">
        <f t="shared" si="2"/>
        <v/>
      </c>
      <c r="J23" t="str">
        <f>IF(AND(G23&lt;&gt;"",G23&gt;horizon-duree_inv),I23*VLOOKUP(G23,'Poids Allocation'!$F$3:$I$43,2,FALSE),"")</f>
        <v/>
      </c>
      <c r="K23" t="str">
        <f t="shared" si="3"/>
        <v/>
      </c>
    </row>
    <row r="24" spans="6:11" x14ac:dyDescent="0.4">
      <c r="G24" t="str">
        <f t="shared" si="0"/>
        <v/>
      </c>
      <c r="H24" t="str">
        <f t="shared" si="1"/>
        <v/>
      </c>
      <c r="I24" t="str">
        <f t="shared" si="2"/>
        <v/>
      </c>
      <c r="J24" t="str">
        <f>IF(AND(G24&lt;&gt;"",G24&gt;horizon-duree_inv),I24*VLOOKUP(G24,'Poids Allocation'!$F$3:$I$43,2,FALSE),"")</f>
        <v/>
      </c>
      <c r="K24" t="str">
        <f t="shared" si="3"/>
        <v/>
      </c>
    </row>
    <row r="25" spans="6:11" x14ac:dyDescent="0.4">
      <c r="G25" t="str">
        <f t="shared" si="0"/>
        <v/>
      </c>
      <c r="H25" t="str">
        <f t="shared" si="1"/>
        <v/>
      </c>
      <c r="I25" t="str">
        <f t="shared" si="2"/>
        <v/>
      </c>
      <c r="J25" t="str">
        <f>IF(AND(G25&lt;&gt;"",G25&gt;horizon-duree_inv),I25*VLOOKUP(G25,'Poids Allocation'!$F$3:$I$43,2,FALSE),"")</f>
        <v/>
      </c>
      <c r="K25" t="str">
        <f t="shared" si="3"/>
        <v/>
      </c>
    </row>
    <row r="26" spans="6:11" x14ac:dyDescent="0.4">
      <c r="G26" t="str">
        <f t="shared" si="0"/>
        <v/>
      </c>
      <c r="H26" t="str">
        <f t="shared" si="1"/>
        <v/>
      </c>
      <c r="I26" t="str">
        <f t="shared" si="2"/>
        <v/>
      </c>
      <c r="J26" t="str">
        <f>IF(AND(G26&lt;&gt;"",G26&gt;horizon-duree_inv),I26*VLOOKUP(G26,'Poids Allocation'!$F$3:$I$43,2,FALSE),"")</f>
        <v/>
      </c>
      <c r="K26" t="str">
        <f t="shared" si="3"/>
        <v/>
      </c>
    </row>
    <row r="27" spans="6:11" x14ac:dyDescent="0.4">
      <c r="G27" t="str">
        <f t="shared" si="0"/>
        <v/>
      </c>
      <c r="H27" t="str">
        <f t="shared" si="1"/>
        <v/>
      </c>
      <c r="I27" t="str">
        <f t="shared" si="2"/>
        <v/>
      </c>
      <c r="J27" t="str">
        <f>IF(AND(G27&lt;&gt;"",G27&gt;horizon-duree_inv),I27*VLOOKUP(G27,'Poids Allocation'!$F$3:$I$43,2,FALSE),"")</f>
        <v/>
      </c>
      <c r="K27" t="str">
        <f t="shared" si="3"/>
        <v/>
      </c>
    </row>
    <row r="28" spans="6:11" x14ac:dyDescent="0.4">
      <c r="G28" t="str">
        <f t="shared" si="0"/>
        <v/>
      </c>
      <c r="H28" t="str">
        <f t="shared" si="1"/>
        <v/>
      </c>
      <c r="I28" t="str">
        <f t="shared" si="2"/>
        <v/>
      </c>
      <c r="J28" t="str">
        <f>IF(AND(G28&lt;&gt;"",G28&gt;horizon-duree_inv),I28*VLOOKUP(G28,'Poids Allocation'!$F$3:$I$43,2,FALSE),"")</f>
        <v/>
      </c>
      <c r="K28" t="str">
        <f t="shared" si="3"/>
        <v/>
      </c>
    </row>
    <row r="29" spans="6:11" x14ac:dyDescent="0.4">
      <c r="G29" t="str">
        <f t="shared" si="0"/>
        <v/>
      </c>
      <c r="H29" t="str">
        <f t="shared" si="1"/>
        <v/>
      </c>
      <c r="I29" t="str">
        <f t="shared" si="2"/>
        <v/>
      </c>
      <c r="J29" t="str">
        <f>IF(AND(G29&lt;&gt;"",G29&gt;horizon-duree_inv),I29*VLOOKUP(G29,'Poids Allocation'!$F$3:$I$43,2,FALSE),"")</f>
        <v/>
      </c>
      <c r="K29" t="str">
        <f t="shared" si="3"/>
        <v/>
      </c>
    </row>
    <row r="30" spans="6:11" x14ac:dyDescent="0.4">
      <c r="G30" t="str">
        <f t="shared" si="0"/>
        <v/>
      </c>
      <c r="H30" t="str">
        <f t="shared" si="1"/>
        <v/>
      </c>
      <c r="I30" t="str">
        <f t="shared" si="2"/>
        <v/>
      </c>
      <c r="J30" t="str">
        <f>IF(AND(G30&lt;&gt;"",G30&gt;horizon-duree_inv),I30*VLOOKUP(G30,'Poids Allocation'!$F$3:$I$43,2,FALSE),"")</f>
        <v/>
      </c>
      <c r="K30" t="str">
        <f t="shared" si="3"/>
        <v/>
      </c>
    </row>
    <row r="31" spans="6:11" x14ac:dyDescent="0.4">
      <c r="G31" t="str">
        <f t="shared" si="0"/>
        <v/>
      </c>
      <c r="H31" t="str">
        <f t="shared" si="1"/>
        <v/>
      </c>
      <c r="I31" t="str">
        <f t="shared" si="2"/>
        <v/>
      </c>
      <c r="J31" t="str">
        <f>IF(AND(G31&lt;&gt;"",G31&gt;horizon-duree_inv),I31*VLOOKUP(G31,'Poids Allocation'!$F$3:$I$43,2,FALSE),"")</f>
        <v/>
      </c>
      <c r="K31" t="str">
        <f t="shared" si="3"/>
        <v/>
      </c>
    </row>
    <row r="32" spans="6:11" x14ac:dyDescent="0.4">
      <c r="G32" t="str">
        <f t="shared" si="0"/>
        <v/>
      </c>
      <c r="H32" t="str">
        <f t="shared" si="1"/>
        <v/>
      </c>
      <c r="I32" t="str">
        <f t="shared" si="2"/>
        <v/>
      </c>
      <c r="J32" t="str">
        <f>IF(AND(G32&lt;&gt;"",G32&gt;horizon-duree_inv),I32*VLOOKUP(G32,'Poids Allocation'!$F$3:$I$43,2,FALSE),"")</f>
        <v/>
      </c>
      <c r="K32" t="str">
        <f t="shared" si="3"/>
        <v/>
      </c>
    </row>
    <row r="33" spans="7:11" x14ac:dyDescent="0.4">
      <c r="G33" t="str">
        <f t="shared" si="0"/>
        <v/>
      </c>
      <c r="H33" t="str">
        <f t="shared" si="1"/>
        <v/>
      </c>
      <c r="I33" t="str">
        <f t="shared" si="2"/>
        <v/>
      </c>
      <c r="J33" t="str">
        <f>IF(AND(G33&lt;&gt;"",G33&gt;horizon-duree_inv),I33*VLOOKUP(G33,'Poids Allocation'!$F$3:$I$43,2,FALSE),"")</f>
        <v/>
      </c>
      <c r="K33" t="str">
        <f t="shared" si="3"/>
        <v/>
      </c>
    </row>
    <row r="34" spans="7:11" x14ac:dyDescent="0.4">
      <c r="G34" t="str">
        <f t="shared" si="0"/>
        <v/>
      </c>
      <c r="H34" t="str">
        <f t="shared" si="1"/>
        <v/>
      </c>
      <c r="I34" t="str">
        <f t="shared" si="2"/>
        <v/>
      </c>
      <c r="J34" t="str">
        <f>IF(AND(G34&lt;&gt;"",G34&gt;horizon-duree_inv),I34*VLOOKUP(G34,'Poids Allocation'!$F$3:$I$43,2,FALSE),"")</f>
        <v/>
      </c>
      <c r="K34" t="str">
        <f t="shared" si="3"/>
        <v/>
      </c>
    </row>
    <row r="35" spans="7:11" x14ac:dyDescent="0.4">
      <c r="G35" t="str">
        <f t="shared" si="0"/>
        <v/>
      </c>
      <c r="H35" t="str">
        <f t="shared" si="1"/>
        <v/>
      </c>
      <c r="I35" t="str">
        <f t="shared" si="2"/>
        <v/>
      </c>
      <c r="J35" t="str">
        <f>IF(AND(G35&lt;&gt;"",G35&gt;horizon-duree_inv),I35*VLOOKUP(G35,'Poids Allocation'!$F$3:$I$43,2,FALSE),"")</f>
        <v/>
      </c>
      <c r="K35" t="str">
        <f t="shared" si="3"/>
        <v/>
      </c>
    </row>
    <row r="36" spans="7:11" x14ac:dyDescent="0.4">
      <c r="G36" t="str">
        <f t="shared" si="0"/>
        <v/>
      </c>
      <c r="H36" t="str">
        <f t="shared" si="1"/>
        <v/>
      </c>
      <c r="I36" t="str">
        <f t="shared" si="2"/>
        <v/>
      </c>
      <c r="J36" t="str">
        <f>IF(AND(G36&lt;&gt;"",G36&gt;horizon-duree_inv),I36*VLOOKUP(G36,'Poids Allocation'!$F$3:$I$43,2,FALSE),"")</f>
        <v/>
      </c>
      <c r="K36" t="str">
        <f t="shared" si="3"/>
        <v/>
      </c>
    </row>
    <row r="37" spans="7:11" x14ac:dyDescent="0.4">
      <c r="G37" t="str">
        <f t="shared" si="0"/>
        <v/>
      </c>
      <c r="H37" t="str">
        <f t="shared" si="1"/>
        <v/>
      </c>
      <c r="I37" t="str">
        <f t="shared" si="2"/>
        <v/>
      </c>
      <c r="J37" t="str">
        <f>IF(AND(G37&lt;&gt;"",G37&gt;horizon-duree_inv),I37*VLOOKUP(G37,'Poids Allocation'!$F$3:$I$43,2,FALSE),"")</f>
        <v/>
      </c>
      <c r="K37" t="str">
        <f t="shared" si="3"/>
        <v/>
      </c>
    </row>
    <row r="38" spans="7:11" x14ac:dyDescent="0.4">
      <c r="G38" t="str">
        <f t="shared" si="0"/>
        <v/>
      </c>
      <c r="H38" t="str">
        <f t="shared" si="1"/>
        <v/>
      </c>
      <c r="I38" t="str">
        <f t="shared" si="2"/>
        <v/>
      </c>
      <c r="J38" t="str">
        <f>IF(AND(G38&lt;&gt;"",G38&gt;horizon-duree_inv),I38*VLOOKUP(G38,'Poids Allocation'!$F$3:$I$43,2,FALSE),"")</f>
        <v/>
      </c>
      <c r="K38" t="str">
        <f t="shared" si="3"/>
        <v/>
      </c>
    </row>
    <row r="39" spans="7:11" x14ac:dyDescent="0.4">
      <c r="G39" t="str">
        <f t="shared" si="0"/>
        <v/>
      </c>
      <c r="H39" t="str">
        <f t="shared" si="1"/>
        <v/>
      </c>
      <c r="I39" t="str">
        <f t="shared" si="2"/>
        <v/>
      </c>
      <c r="J39" t="str">
        <f>IF(AND(G39&lt;&gt;"",G39&gt;horizon-duree_inv),I39*VLOOKUP(G39,'Poids Allocation'!$F$3:$I$43,2,FALSE),"")</f>
        <v/>
      </c>
      <c r="K39" t="str">
        <f t="shared" si="3"/>
        <v/>
      </c>
    </row>
    <row r="40" spans="7:11" x14ac:dyDescent="0.4">
      <c r="G40" t="str">
        <f t="shared" si="0"/>
        <v/>
      </c>
      <c r="H40" t="str">
        <f t="shared" si="1"/>
        <v/>
      </c>
      <c r="I40" t="str">
        <f t="shared" si="2"/>
        <v/>
      </c>
      <c r="J40" t="str">
        <f>IF(AND(G40&lt;&gt;"",G40&gt;horizon-duree_inv),I40*VLOOKUP(G40,'Poids Allocation'!$F$3:$I$43,2,FALSE),"")</f>
        <v/>
      </c>
      <c r="K40" t="str">
        <f t="shared" si="3"/>
        <v/>
      </c>
    </row>
    <row r="41" spans="7:11" x14ac:dyDescent="0.4">
      <c r="G41" t="str">
        <f t="shared" si="0"/>
        <v/>
      </c>
      <c r="H41" t="str">
        <f t="shared" si="1"/>
        <v/>
      </c>
      <c r="I41" t="str">
        <f t="shared" si="2"/>
        <v/>
      </c>
      <c r="J41" t="str">
        <f>IF(AND(G41&lt;&gt;"",G41&gt;horizon-duree_inv),I41*VLOOKUP(G41,'Poids Allocation'!$F$3:$I$43,2,FALSE),"")</f>
        <v/>
      </c>
      <c r="K41" t="str">
        <f t="shared" si="3"/>
        <v/>
      </c>
    </row>
    <row r="42" spans="7:11" x14ac:dyDescent="0.4">
      <c r="G42" t="str">
        <f t="shared" si="0"/>
        <v/>
      </c>
      <c r="H42" t="str">
        <f t="shared" si="1"/>
        <v/>
      </c>
      <c r="I42" t="str">
        <f t="shared" si="2"/>
        <v/>
      </c>
      <c r="J42" t="str">
        <f>IF(AND(G42&lt;&gt;"",G42&gt;horizon-duree_inv),I42*VLOOKUP(G42,'Poids Allocation'!$F$3:$I$43,2,FALSE),"")</f>
        <v/>
      </c>
      <c r="K42" t="str">
        <f t="shared" si="3"/>
        <v/>
      </c>
    </row>
    <row r="43" spans="7:11" x14ac:dyDescent="0.4">
      <c r="G43" t="str">
        <f t="shared" si="0"/>
        <v/>
      </c>
      <c r="H43" t="str">
        <f t="shared" si="1"/>
        <v/>
      </c>
      <c r="I43" t="str">
        <f t="shared" si="2"/>
        <v/>
      </c>
      <c r="J43" t="str">
        <f>IF(AND(G43&lt;&gt;"",G43&gt;horizon-duree_inv),I43*VLOOKUP(G43,'Poids Allocation'!$F$3:$I$43,2,FALSE),"")</f>
        <v/>
      </c>
      <c r="K43" t="str">
        <f t="shared" si="3"/>
        <v/>
      </c>
    </row>
    <row r="44" spans="7:11" x14ac:dyDescent="0.4">
      <c r="G44" t="str">
        <f t="shared" si="0"/>
        <v/>
      </c>
      <c r="H44" t="str">
        <f t="shared" si="1"/>
        <v/>
      </c>
      <c r="I44" t="str">
        <f t="shared" si="2"/>
        <v/>
      </c>
      <c r="J44" t="str">
        <f>IF(AND(G44&lt;&gt;"",G44&gt;horizon-duree_inv),I44*VLOOKUP(G44,'Poids Allocation'!$F$3:$I$43,2,FALSE),"")</f>
        <v/>
      </c>
      <c r="K44" t="str">
        <f t="shared" si="3"/>
        <v/>
      </c>
    </row>
    <row r="45" spans="7:11" x14ac:dyDescent="0.4">
      <c r="G45" t="str">
        <f t="shared" si="0"/>
        <v/>
      </c>
      <c r="H45" t="str">
        <f t="shared" si="1"/>
        <v/>
      </c>
      <c r="I45" t="str">
        <f t="shared" si="2"/>
        <v/>
      </c>
      <c r="J45" t="str">
        <f>IF(AND(G45&lt;&gt;"",G45&gt;horizon-duree_inv),I45*VLOOKUP(G45,'Poids Allocation'!$F$3:$I$43,2,FALSE),"")</f>
        <v/>
      </c>
      <c r="K45" t="str">
        <f t="shared" si="3"/>
        <v/>
      </c>
    </row>
    <row r="46" spans="7:11" x14ac:dyDescent="0.4">
      <c r="G46" t="str">
        <f>IFERROR(IF(G45-1&gt;=duree_inv,G45-1,""),"")</f>
        <v/>
      </c>
      <c r="H46" t="str">
        <f t="shared" si="1"/>
        <v/>
      </c>
      <c r="I46" t="str">
        <f t="shared" si="2"/>
        <v/>
      </c>
      <c r="J46" t="str">
        <f>IF(AND(G46&lt;&gt;"",G46&gt;horizon-duree_inv),I46*VLOOKUP(G46,'Poids Allocation'!$F$3:$I$43,2,FALSE),"")</f>
        <v/>
      </c>
      <c r="K46" t="str">
        <f t="shared" si="3"/>
        <v/>
      </c>
    </row>
    <row r="47" spans="7:11" x14ac:dyDescent="0.4">
      <c r="G47" t="str">
        <f t="shared" ref="G47:G50" si="4">IFERROR(IF(G46-1&gt;=0,G46-1,""),"")</f>
        <v/>
      </c>
      <c r="H47" t="str">
        <f t="shared" si="1"/>
        <v/>
      </c>
      <c r="I47" t="str">
        <f t="shared" si="2"/>
        <v/>
      </c>
      <c r="J47" t="str">
        <f>IF(AND(G47&lt;&gt;"",G47&gt;horizon-duree_inv),I47*VLOOKUP(G47,'Poids Allocation'!$F$3:$I$43,2,FALSE),"")</f>
        <v/>
      </c>
      <c r="K47" t="str">
        <f t="shared" si="3"/>
        <v/>
      </c>
    </row>
    <row r="48" spans="7:11" x14ac:dyDescent="0.4">
      <c r="G48" t="str">
        <f t="shared" si="4"/>
        <v/>
      </c>
      <c r="H48" t="str">
        <f t="shared" si="1"/>
        <v/>
      </c>
      <c r="I48" t="str">
        <f t="shared" si="2"/>
        <v/>
      </c>
      <c r="J48" t="str">
        <f>IF(AND(G48&lt;&gt;"",G48&gt;horizon-duree_inv),I48*VLOOKUP(G48,'Poids Allocation'!$F$3:$I$43,2,FALSE),"")</f>
        <v/>
      </c>
      <c r="K48" t="str">
        <f t="shared" si="3"/>
        <v/>
      </c>
    </row>
    <row r="49" spans="7:11" x14ac:dyDescent="0.4">
      <c r="G49" t="str">
        <f t="shared" si="4"/>
        <v/>
      </c>
      <c r="H49" t="str">
        <f t="shared" ref="H49:H50" si="5">IF(G49 = 0,K49,IF(G49="","",IF(G49&lt;0,K48,IF(F49="versement",-$C$4,0))))</f>
        <v/>
      </c>
      <c r="I49" t="str">
        <f t="shared" ref="I49" si="6">IF(AND(G49&lt;&gt;"",G49&lt;&gt;0),K48-H49,"")</f>
        <v/>
      </c>
      <c r="J49" t="str">
        <f>IF(AND(G49&lt;&gt;"",G49&lt;&gt;0),I49*VLOOKUP(G49,'Poids Allocation'!$F$3:$I$43,2,FALSE),"")</f>
        <v/>
      </c>
      <c r="K49" t="str">
        <f t="shared" ref="K49" si="7">IF(AND(G49&lt;&gt;"",G49&lt;&gt;0),I49+J49,"")</f>
        <v/>
      </c>
    </row>
    <row r="50" spans="7:11" x14ac:dyDescent="0.4">
      <c r="G50" t="str">
        <f t="shared" si="4"/>
        <v/>
      </c>
      <c r="H50" t="str">
        <f t="shared" si="5"/>
        <v/>
      </c>
    </row>
  </sheetData>
  <dataValidations count="1">
    <dataValidation type="list" allowBlank="1" showInputMessage="1" showErrorMessage="1" sqref="C5" xr:uid="{242FF589-6236-8D48-A924-9DAB3AF548D0}">
      <formula1>"Equilibré , Dynamique"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Flux.flux" altText="Période de versement_x000a_">
                <anchor moveWithCells="1" sizeWithCells="1">
                  <from>
                    <xdr:col>5</xdr:col>
                    <xdr:colOff>38100</xdr:colOff>
                    <xdr:row>5</xdr:row>
                    <xdr:rowOff>12700</xdr:rowOff>
                  </from>
                  <to>
                    <xdr:col>6</xdr:col>
                    <xdr:colOff>736600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C7B3E-B5A9-7B40-85DD-1223AFCF22AE}">
  <sheetPr codeName="Feuil6">
    <tabColor theme="3" tint="0.89999084444715716"/>
  </sheetPr>
  <dimension ref="A1:E2517"/>
  <sheetViews>
    <sheetView topLeftCell="A18" zoomScale="118" workbookViewId="0">
      <selection activeCell="E30" sqref="E30"/>
    </sheetView>
  </sheetViews>
  <sheetFormatPr baseColWidth="10" defaultRowHeight="16" x14ac:dyDescent="0.4"/>
  <cols>
    <col min="2" max="2" width="15.33203125" bestFit="1" customWidth="1"/>
    <col min="3" max="3" width="15.08203125" bestFit="1" customWidth="1"/>
    <col min="4" max="4" width="14.5" bestFit="1" customWidth="1"/>
    <col min="5" max="5" width="38.5" bestFit="1" customWidth="1"/>
  </cols>
  <sheetData>
    <row r="1" spans="1:5" ht="16.5" thickBot="1" x14ac:dyDescent="0.45">
      <c r="B1" s="16" t="s">
        <v>14</v>
      </c>
      <c r="C1" s="17" t="s">
        <v>15</v>
      </c>
      <c r="D1" s="17" t="s">
        <v>16</v>
      </c>
      <c r="E1" s="18" t="s">
        <v>17</v>
      </c>
    </row>
    <row r="2" spans="1:5" x14ac:dyDescent="0.4">
      <c r="A2" s="27">
        <v>42101</v>
      </c>
      <c r="B2" s="29">
        <f>Cours_Hist_figé!B66/Cours_Hist_figé!B2 - 1</f>
        <v>0.21906056614933811</v>
      </c>
      <c r="C2" s="29">
        <f>Cours_Hist_figé!C66/Cours_Hist_figé!C2 - 1</f>
        <v>3.052334221006614E-2</v>
      </c>
      <c r="D2" s="29">
        <f>Cours_Hist_figé!D66/Cours_Hist_figé!D2 - 1</f>
        <v>-1.0908980577828409E-4</v>
      </c>
      <c r="E2" s="29">
        <f>Cours_Hist_figé!E66/Cours_Hist_figé!E2 - 1</f>
        <v>-1.0908980577828409E-4</v>
      </c>
    </row>
    <row r="3" spans="1:5" x14ac:dyDescent="0.4">
      <c r="A3" s="27">
        <v>42102</v>
      </c>
      <c r="B3" s="29">
        <f>Cours_Hist_figé!B67/Cours_Hist_figé!B3 - 1</f>
        <v>0.22712707172633784</v>
      </c>
      <c r="C3" s="29">
        <f>Cours_Hist_figé!C67/Cours_Hist_figé!C3 - 1</f>
        <v>2.8381132722765656E-2</v>
      </c>
      <c r="D3" s="29">
        <f>Cours_Hist_figé!D67/Cours_Hist_figé!D3 - 1</f>
        <v>-1.0919630811268011E-4</v>
      </c>
      <c r="E3" s="29">
        <f>Cours_Hist_figé!E67/Cours_Hist_figé!E3 - 1</f>
        <v>-1.0919630811279113E-4</v>
      </c>
    </row>
    <row r="4" spans="1:5" x14ac:dyDescent="0.4">
      <c r="A4" s="27">
        <v>42103</v>
      </c>
      <c r="B4" s="29">
        <f>Cours_Hist_figé!B68/Cours_Hist_figé!B4 - 1</f>
        <v>0.23467314911472115</v>
      </c>
      <c r="C4" s="29">
        <f>Cours_Hist_figé!C68/Cours_Hist_figé!C4 - 1</f>
        <v>2.9778320132737512E-2</v>
      </c>
      <c r="D4" s="29">
        <f>Cours_Hist_figé!D68/Cours_Hist_figé!D4 - 1</f>
        <v>-1.0919653772056837E-4</v>
      </c>
      <c r="E4" s="29">
        <f>Cours_Hist_figé!E68/Cours_Hist_figé!E4 - 1</f>
        <v>-1.0919653772056837E-4</v>
      </c>
    </row>
    <row r="5" spans="1:5" x14ac:dyDescent="0.4">
      <c r="A5" s="27">
        <v>42104</v>
      </c>
      <c r="B5" s="29">
        <f>Cours_Hist_figé!B69/Cours_Hist_figé!B5 - 1</f>
        <v>0.21235969676397382</v>
      </c>
      <c r="C5" s="29">
        <f>Cours_Hist_figé!C69/Cours_Hist_figé!C5 - 1</f>
        <v>3.1307077878200307E-2</v>
      </c>
      <c r="D5" s="29">
        <f>Cours_Hist_figé!D69/Cours_Hist_figé!D5 - 1</f>
        <v>-1.0889310436501543E-4</v>
      </c>
      <c r="E5" s="29">
        <f>Cours_Hist_figé!E69/Cours_Hist_figé!E5 - 1</f>
        <v>-1.088931043649044E-4</v>
      </c>
    </row>
    <row r="6" spans="1:5" x14ac:dyDescent="0.4">
      <c r="A6" s="27">
        <v>42107</v>
      </c>
      <c r="B6" s="29">
        <f>Cours_Hist_figé!B70/Cours_Hist_figé!B6 - 1</f>
        <v>0.23096536216350128</v>
      </c>
      <c r="C6" s="29">
        <f>Cours_Hist_figé!C70/Cours_Hist_figé!C6 - 1</f>
        <v>3.1109940584046258E-2</v>
      </c>
      <c r="D6" s="29">
        <f>Cours_Hist_figé!D70/Cours_Hist_figé!D6 - 1</f>
        <v>-1.1278750975118879E-4</v>
      </c>
      <c r="E6" s="29">
        <f>Cours_Hist_figé!E70/Cours_Hist_figé!E6 - 1</f>
        <v>-1.1278750975141083E-4</v>
      </c>
    </row>
    <row r="7" spans="1:5" x14ac:dyDescent="0.4">
      <c r="A7" s="27">
        <v>42108</v>
      </c>
      <c r="B7" s="29">
        <f>Cours_Hist_figé!B71/Cours_Hist_figé!B7 - 1</f>
        <v>0.21873545914876158</v>
      </c>
      <c r="C7" s="29">
        <f>Cours_Hist_figé!C71/Cours_Hist_figé!C7 - 1</f>
        <v>2.9635817369874751E-2</v>
      </c>
      <c r="D7" s="29">
        <f>Cours_Hist_figé!D71/Cours_Hist_figé!D7 - 1</f>
        <v>-1.1089777537354184E-4</v>
      </c>
      <c r="E7" s="29">
        <f>Cours_Hist_figé!E71/Cours_Hist_figé!E7 - 1</f>
        <v>-1.1089777537354184E-4</v>
      </c>
    </row>
    <row r="8" spans="1:5" x14ac:dyDescent="0.4">
      <c r="A8" s="27">
        <v>42109</v>
      </c>
      <c r="B8" s="29">
        <f>Cours_Hist_figé!B72/Cours_Hist_figé!B8 - 1</f>
        <v>0.20922397540902948</v>
      </c>
      <c r="C8" s="29">
        <f>Cours_Hist_figé!C72/Cours_Hist_figé!C8 - 1</f>
        <v>3.1076418739429901E-2</v>
      </c>
      <c r="D8" s="29">
        <f>Cours_Hist_figé!D72/Cours_Hist_figé!D8 - 1</f>
        <v>-1.1169502645436147E-4</v>
      </c>
      <c r="E8" s="29">
        <f>Cours_Hist_figé!E72/Cours_Hist_figé!E8 - 1</f>
        <v>-1.1169502645447249E-4</v>
      </c>
    </row>
    <row r="9" spans="1:5" x14ac:dyDescent="0.4">
      <c r="A9" s="27">
        <v>42110</v>
      </c>
      <c r="B9" s="29">
        <f>Cours_Hist_figé!B73/Cours_Hist_figé!B9 - 1</f>
        <v>0.21917085577754758</v>
      </c>
      <c r="C9" s="29">
        <f>Cours_Hist_figé!C73/Cours_Hist_figé!C9 - 1</f>
        <v>2.7315938392592054E-2</v>
      </c>
      <c r="D9" s="29">
        <f>Cours_Hist_figé!D73/Cours_Hist_figé!D9 - 1</f>
        <v>-1.1189260750965602E-4</v>
      </c>
      <c r="E9" s="29">
        <f>Cours_Hist_figé!E73/Cours_Hist_figé!E9 - 1</f>
        <v>-1.1189260750943397E-4</v>
      </c>
    </row>
    <row r="10" spans="1:5" x14ac:dyDescent="0.4">
      <c r="A10" s="27">
        <v>42111</v>
      </c>
      <c r="B10" s="29">
        <f>Cours_Hist_figé!B74/Cours_Hist_figé!B10 - 1</f>
        <v>0.16645940634789147</v>
      </c>
      <c r="C10" s="29">
        <f>Cours_Hist_figé!C74/Cours_Hist_figé!C10 - 1</f>
        <v>2.6042918044623775E-2</v>
      </c>
      <c r="D10" s="29">
        <f>Cours_Hist_figé!D74/Cours_Hist_figé!D10 - 1</f>
        <v>-1.1259120109319287E-4</v>
      </c>
      <c r="E10" s="29">
        <f>Cours_Hist_figé!E74/Cours_Hist_figé!E10 - 1</f>
        <v>-1.1259120109308185E-4</v>
      </c>
    </row>
    <row r="11" spans="1:5" x14ac:dyDescent="0.4">
      <c r="A11" s="27">
        <v>42114</v>
      </c>
      <c r="B11" s="29">
        <f>Cours_Hist_figé!B75/Cours_Hist_figé!B11 - 1</f>
        <v>0.1627426406311554</v>
      </c>
      <c r="C11" s="29">
        <f>Cours_Hist_figé!C75/Cours_Hist_figé!C11 - 1</f>
        <v>2.4689812537288525E-2</v>
      </c>
      <c r="D11" s="29">
        <f>Cours_Hist_figé!D75/Cours_Hist_figé!D11 - 1</f>
        <v>-1.1679689236765434E-4</v>
      </c>
      <c r="E11" s="29">
        <f>Cours_Hist_figé!E75/Cours_Hist_figé!E11 - 1</f>
        <v>-1.1679689236776536E-4</v>
      </c>
    </row>
    <row r="12" spans="1:5" x14ac:dyDescent="0.4">
      <c r="A12" s="27">
        <v>42115</v>
      </c>
      <c r="B12" s="29">
        <f>Cours_Hist_figé!B76/Cours_Hist_figé!B12 - 1</f>
        <v>0.1667321096590566</v>
      </c>
      <c r="C12" s="29">
        <f>Cours_Hist_figé!C76/Cours_Hist_figé!C12 - 1</f>
        <v>2.2426256549582746E-2</v>
      </c>
      <c r="D12" s="29">
        <f>Cours_Hist_figé!D76/Cours_Hist_figé!D12 - 1</f>
        <v>-1.1229611400487283E-4</v>
      </c>
      <c r="E12" s="29">
        <f>Cours_Hist_figé!E76/Cours_Hist_figé!E12 - 1</f>
        <v>-1.122961140047618E-4</v>
      </c>
    </row>
    <row r="13" spans="1:5" x14ac:dyDescent="0.4">
      <c r="A13" s="27">
        <v>42116</v>
      </c>
      <c r="B13" s="29">
        <f>Cours_Hist_figé!B77/Cours_Hist_figé!B13 - 1</f>
        <v>0.15720311618445293</v>
      </c>
      <c r="C13" s="29">
        <f>Cours_Hist_figé!C77/Cours_Hist_figé!C13 - 1</f>
        <v>2.2212754809304069E-2</v>
      </c>
      <c r="D13" s="29">
        <f>Cours_Hist_figé!D77/Cours_Hist_figé!D13 - 1</f>
        <v>-1.124937200052134E-4</v>
      </c>
      <c r="E13" s="29">
        <f>Cours_Hist_figé!E77/Cours_Hist_figé!E13 - 1</f>
        <v>-1.1249372000510238E-4</v>
      </c>
    </row>
    <row r="14" spans="1:5" x14ac:dyDescent="0.4">
      <c r="A14" s="27">
        <v>42117</v>
      </c>
      <c r="B14" s="29">
        <f>Cours_Hist_figé!B78/Cours_Hist_figé!B14 - 1</f>
        <v>0.14547628494177878</v>
      </c>
      <c r="C14" s="29">
        <f>Cours_Hist_figé!C78/Cours_Hist_figé!C14 - 1</f>
        <v>2.4667907011865831E-2</v>
      </c>
      <c r="D14" s="29">
        <f>Cours_Hist_figé!D78/Cours_Hist_figé!D14 - 1</f>
        <v>-1.1239528207629412E-4</v>
      </c>
      <c r="E14" s="29">
        <f>Cours_Hist_figé!E78/Cours_Hist_figé!E14 - 1</f>
        <v>-1.1239528207629412E-4</v>
      </c>
    </row>
    <row r="15" spans="1:5" x14ac:dyDescent="0.4">
      <c r="A15" s="27">
        <v>42118</v>
      </c>
      <c r="B15" s="29">
        <f>Cours_Hist_figé!B79/Cours_Hist_figé!B15 - 1</f>
        <v>0.13004520302019751</v>
      </c>
      <c r="C15" s="29">
        <f>Cours_Hist_figé!C79/Cours_Hist_figé!C15 - 1</f>
        <v>1.9659486171951013E-2</v>
      </c>
      <c r="D15" s="29">
        <f>Cours_Hist_figé!D79/Cours_Hist_figé!D15 - 1</f>
        <v>-1.1269155353166305E-4</v>
      </c>
      <c r="E15" s="29">
        <f>Cours_Hist_figé!E79/Cours_Hist_figé!E15 - 1</f>
        <v>-1.1269155353177407E-4</v>
      </c>
    </row>
    <row r="16" spans="1:5" x14ac:dyDescent="0.4">
      <c r="A16" s="27">
        <v>42121</v>
      </c>
      <c r="B16" s="29">
        <f>Cours_Hist_figé!B80/Cours_Hist_figé!B16 - 1</f>
        <v>0.12147956388040493</v>
      </c>
      <c r="C16" s="29">
        <f>Cours_Hist_figé!C80/Cours_Hist_figé!C16 - 1</f>
        <v>1.5773874123361731E-2</v>
      </c>
      <c r="D16" s="29">
        <f>Cours_Hist_figé!D80/Cours_Hist_figé!D16 - 1</f>
        <v>-1.1839267205526749E-4</v>
      </c>
      <c r="E16" s="29">
        <f>Cours_Hist_figé!E80/Cours_Hist_figé!E16 - 1</f>
        <v>-1.1839267205526749E-4</v>
      </c>
    </row>
    <row r="17" spans="1:5" x14ac:dyDescent="0.4">
      <c r="A17" s="27">
        <v>42122</v>
      </c>
      <c r="B17" s="29">
        <f>Cours_Hist_figé!B81/Cours_Hist_figé!B17 - 1</f>
        <v>9.8600460660487776E-2</v>
      </c>
      <c r="C17" s="29">
        <f>Cours_Hist_figé!C81/Cours_Hist_figé!C17 - 1</f>
        <v>1.6128810906191893E-2</v>
      </c>
      <c r="D17" s="29">
        <f>Cours_Hist_figé!D81/Cours_Hist_figé!D17 - 1</f>
        <v>-1.1899256905656408E-4</v>
      </c>
      <c r="E17" s="29">
        <f>Cours_Hist_figé!E81/Cours_Hist_figé!E17 - 1</f>
        <v>-1.1899256905645306E-4</v>
      </c>
    </row>
    <row r="18" spans="1:5" x14ac:dyDescent="0.4">
      <c r="A18" s="27">
        <v>42123</v>
      </c>
      <c r="B18" s="29">
        <f>Cours_Hist_figé!B82/Cours_Hist_figé!B18 - 1</f>
        <v>8.5138307779074829E-2</v>
      </c>
      <c r="C18" s="29">
        <f>Cours_Hist_figé!C82/Cours_Hist_figé!C18 - 1</f>
        <v>8.7696094456408691E-3</v>
      </c>
      <c r="D18" s="29">
        <f>Cours_Hist_figé!D82/Cours_Hist_figé!D18 - 1</f>
        <v>-1.2029077847530711E-4</v>
      </c>
      <c r="E18" s="29">
        <f>Cours_Hist_figé!E82/Cours_Hist_figé!E18 - 1</f>
        <v>-1.2029077847530711E-4</v>
      </c>
    </row>
    <row r="19" spans="1:5" x14ac:dyDescent="0.4">
      <c r="A19" s="27">
        <v>42124</v>
      </c>
      <c r="B19" s="29">
        <f>Cours_Hist_figé!B83/Cours_Hist_figé!B19 - 1</f>
        <v>8.0317429708100629E-2</v>
      </c>
      <c r="C19" s="29">
        <f>Cours_Hist_figé!C83/Cours_Hist_figé!C19 - 1</f>
        <v>6.1551531258150494E-3</v>
      </c>
      <c r="D19" s="29">
        <f>Cours_Hist_figé!D83/Cours_Hist_figé!D19 - 1</f>
        <v>-1.2179390395994361E-4</v>
      </c>
      <c r="E19" s="29">
        <f>Cours_Hist_figé!E83/Cours_Hist_figé!E19 - 1</f>
        <v>-1.2179390396005463E-4</v>
      </c>
    </row>
    <row r="20" spans="1:5" x14ac:dyDescent="0.4">
      <c r="A20" s="27">
        <v>42125</v>
      </c>
      <c r="B20" s="29">
        <f>Cours_Hist_figé!B84/Cours_Hist_figé!B20 - 1</f>
        <v>7.8583852561159517E-2</v>
      </c>
      <c r="C20" s="29">
        <f>Cours_Hist_figé!C84/Cours_Hist_figé!C20 - 1</f>
        <v>6.9229145599354336E-3</v>
      </c>
      <c r="D20" s="29">
        <f>Cours_Hist_figé!D84/Cours_Hist_figé!D20 - 1</f>
        <v>-1.2398787297940306E-4</v>
      </c>
      <c r="E20" s="29">
        <f>Cours_Hist_figé!E84/Cours_Hist_figé!E20 - 1</f>
        <v>-1.2398787297929204E-4</v>
      </c>
    </row>
    <row r="21" spans="1:5" x14ac:dyDescent="0.4">
      <c r="A21" s="27">
        <v>42129</v>
      </c>
      <c r="B21" s="29">
        <f>Cours_Hist_figé!B85/Cours_Hist_figé!B21 - 1</f>
        <v>7.5317300036383372E-2</v>
      </c>
      <c r="C21" s="29">
        <f>Cours_Hist_figé!C85/Cours_Hist_figé!C21 - 1</f>
        <v>-6.6489566025912383E-3</v>
      </c>
      <c r="D21" s="29">
        <f>Cours_Hist_figé!D85/Cours_Hist_figé!D21 - 1</f>
        <v>-1.2549104034520475E-4</v>
      </c>
      <c r="E21" s="29">
        <f>Cours_Hist_figé!E85/Cours_Hist_figé!E21 - 1</f>
        <v>-1.2549104034509373E-4</v>
      </c>
    </row>
    <row r="22" spans="1:5" x14ac:dyDescent="0.4">
      <c r="A22" s="27">
        <v>42130</v>
      </c>
      <c r="B22" s="29">
        <f>Cours_Hist_figé!B86/Cours_Hist_figé!B22 - 1</f>
        <v>6.7962157046256522E-2</v>
      </c>
      <c r="C22" s="29">
        <f>Cours_Hist_figé!C86/Cours_Hist_figé!C22 - 1</f>
        <v>-1.2031788662265286E-2</v>
      </c>
      <c r="D22" s="29">
        <f>Cours_Hist_figé!D86/Cours_Hist_figé!D22 - 1</f>
        <v>-1.3509300602343455E-4</v>
      </c>
      <c r="E22" s="29">
        <f>Cours_Hist_figé!E86/Cours_Hist_figé!E22 - 1</f>
        <v>-1.3509300602343455E-4</v>
      </c>
    </row>
    <row r="23" spans="1:5" x14ac:dyDescent="0.4">
      <c r="A23" s="27">
        <v>42131</v>
      </c>
      <c r="B23" s="29">
        <f>Cours_Hist_figé!B87/Cours_Hist_figé!B23 - 1</f>
        <v>5.9831037651138175E-2</v>
      </c>
      <c r="C23" s="29">
        <f>Cours_Hist_figé!C87/Cours_Hist_figé!C23 - 1</f>
        <v>-9.2513754121251734E-3</v>
      </c>
      <c r="D23" s="29">
        <f>Cours_Hist_figé!D87/Cours_Hist_figé!D23 - 1</f>
        <v>-1.367935304950052E-4</v>
      </c>
      <c r="E23" s="29">
        <f>Cours_Hist_figé!E87/Cours_Hist_figé!E23 - 1</f>
        <v>-1.3679353049489418E-4</v>
      </c>
    </row>
    <row r="24" spans="1:5" x14ac:dyDescent="0.4">
      <c r="A24" s="27">
        <v>42132</v>
      </c>
      <c r="B24" s="29">
        <f>Cours_Hist_figé!B88/Cours_Hist_figé!B24 - 1</f>
        <v>8.5040588357011115E-2</v>
      </c>
      <c r="C24" s="29">
        <f>Cours_Hist_figé!C88/Cours_Hist_figé!C24 - 1</f>
        <v>-6.1046902688671745E-3</v>
      </c>
      <c r="D24" s="29">
        <f>Cours_Hist_figé!D88/Cours_Hist_figé!D24 - 1</f>
        <v>-1.3838780874908529E-4</v>
      </c>
      <c r="E24" s="29">
        <f>Cours_Hist_figé!E88/Cours_Hist_figé!E24 - 1</f>
        <v>-1.3838780874908529E-4</v>
      </c>
    </row>
    <row r="25" spans="1:5" x14ac:dyDescent="0.4">
      <c r="A25" s="27">
        <v>42135</v>
      </c>
      <c r="B25" s="29">
        <f>Cours_Hist_figé!B89/Cours_Hist_figé!B25 - 1</f>
        <v>8.785006545511953E-2</v>
      </c>
      <c r="C25" s="29">
        <f>Cours_Hist_figé!C89/Cours_Hist_figé!C25 - 1</f>
        <v>-8.6362813501165148E-3</v>
      </c>
      <c r="D25" s="29">
        <f>Cours_Hist_figé!D89/Cours_Hist_figé!D25 - 1</f>
        <v>-1.4458997336741497E-4</v>
      </c>
      <c r="E25" s="29">
        <f>Cours_Hist_figé!E89/Cours_Hist_figé!E25 - 1</f>
        <v>-1.4458997336763701E-4</v>
      </c>
    </row>
    <row r="26" spans="1:5" x14ac:dyDescent="0.4">
      <c r="A26" s="27">
        <v>42136</v>
      </c>
      <c r="B26" s="29">
        <f>Cours_Hist_figé!B90/Cours_Hist_figé!B26 - 1</f>
        <v>7.16543735702313E-2</v>
      </c>
      <c r="C26" s="29">
        <f>Cours_Hist_figé!C90/Cours_Hist_figé!C26 - 1</f>
        <v>-1.2871294122241861E-2</v>
      </c>
      <c r="D26" s="29">
        <f>Cours_Hist_figé!D90/Cours_Hist_figé!D26 - 1</f>
        <v>-1.4638919593079613E-4</v>
      </c>
      <c r="E26" s="29">
        <f>Cours_Hist_figé!E90/Cours_Hist_figé!E26 - 1</f>
        <v>-1.4638919593057409E-4</v>
      </c>
    </row>
    <row r="27" spans="1:5" x14ac:dyDescent="0.4">
      <c r="A27" s="27">
        <v>42137</v>
      </c>
      <c r="B27" s="29">
        <f>Cours_Hist_figé!B91/Cours_Hist_figé!B27 - 1</f>
        <v>7.7148292782704742E-2</v>
      </c>
      <c r="C27" s="29">
        <f>Cours_Hist_figé!C91/Cours_Hist_figé!C27 - 1</f>
        <v>-1.4077498782014808E-2</v>
      </c>
      <c r="D27" s="29">
        <f>Cours_Hist_figé!D91/Cours_Hist_figé!D27 - 1</f>
        <v>-1.4578994064595729E-4</v>
      </c>
      <c r="E27" s="29">
        <f>Cours_Hist_figé!E91/Cours_Hist_figé!E27 - 1</f>
        <v>-1.4578994064584627E-4</v>
      </c>
    </row>
    <row r="28" spans="1:5" x14ac:dyDescent="0.4">
      <c r="A28" s="27">
        <v>42138</v>
      </c>
      <c r="B28" s="29">
        <f>Cours_Hist_figé!B92/Cours_Hist_figé!B28 - 1</f>
        <v>7.8371174431501656E-2</v>
      </c>
      <c r="C28" s="29">
        <f>Cours_Hist_figé!C92/Cours_Hist_figé!C28 - 1</f>
        <v>-1.3120790510149472E-2</v>
      </c>
      <c r="D28" s="29">
        <f>Cours_Hist_figé!D92/Cours_Hist_figé!D28 - 1</f>
        <v>-1.4838632584535105E-4</v>
      </c>
      <c r="E28" s="29">
        <f>Cours_Hist_figé!E92/Cours_Hist_figé!E28 - 1</f>
        <v>-1.4838632584512901E-4</v>
      </c>
    </row>
    <row r="29" spans="1:5" x14ac:dyDescent="0.4">
      <c r="A29" s="27">
        <v>42139</v>
      </c>
      <c r="B29" s="29">
        <f>Cours_Hist_figé!B93/Cours_Hist_figé!B29 - 1</f>
        <v>7.6201447379712128E-2</v>
      </c>
      <c r="C29" s="29">
        <f>Cours_Hist_figé!C93/Cours_Hist_figé!C29 - 1</f>
        <v>-1.016419890145992E-2</v>
      </c>
      <c r="D29" s="29">
        <f>Cours_Hist_figé!D93/Cours_Hist_figé!D29 - 1</f>
        <v>-1.5128635303862659E-4</v>
      </c>
      <c r="E29" s="29">
        <f>Cours_Hist_figé!E93/Cours_Hist_figé!E29 - 1</f>
        <v>-1.5128635303862659E-4</v>
      </c>
    </row>
    <row r="30" spans="1:5" x14ac:dyDescent="0.4">
      <c r="A30" s="27">
        <v>42142</v>
      </c>
      <c r="B30" s="29">
        <f>Cours_Hist_figé!B94/Cours_Hist_figé!B30 - 1</f>
        <v>7.3499407321132804E-2</v>
      </c>
      <c r="C30" s="29">
        <f>Cours_Hist_figé!C94/Cours_Hist_figé!C30 - 1</f>
        <v>-1.3563035549574276E-2</v>
      </c>
      <c r="D30" s="29">
        <f>Cours_Hist_figé!D94/Cours_Hist_figé!D30 - 1</f>
        <v>-1.5918906826428714E-4</v>
      </c>
      <c r="E30" s="29">
        <f>Cours_Hist_figé!E94/Cours_Hist_figé!E30 - 1</f>
        <v>-1.5918906826428714E-4</v>
      </c>
    </row>
    <row r="31" spans="1:5" x14ac:dyDescent="0.4">
      <c r="A31" s="27">
        <v>42143</v>
      </c>
      <c r="B31" s="29">
        <f>Cours_Hist_figé!B95/Cours_Hist_figé!B31 - 1</f>
        <v>8.4429237238568433E-2</v>
      </c>
      <c r="C31" s="29">
        <f>Cours_Hist_figé!C95/Cours_Hist_figé!C31 - 1</f>
        <v>-1.0987132015740753E-2</v>
      </c>
      <c r="D31" s="29">
        <f>Cours_Hist_figé!D95/Cours_Hist_figé!D31 - 1</f>
        <v>-1.6088970717553774E-4</v>
      </c>
      <c r="E31" s="29">
        <f>Cours_Hist_figé!E95/Cours_Hist_figé!E31 - 1</f>
        <v>-1.6088970717542672E-4</v>
      </c>
    </row>
    <row r="32" spans="1:5" x14ac:dyDescent="0.4">
      <c r="A32" s="27">
        <v>42144</v>
      </c>
      <c r="B32" s="29">
        <f>Cours_Hist_figé!B96/Cours_Hist_figé!B32 - 1</f>
        <v>9.070046298865031E-2</v>
      </c>
      <c r="C32" s="29">
        <f>Cours_Hist_figé!C96/Cours_Hist_figé!C32 - 1</f>
        <v>-1.1256204550474158E-2</v>
      </c>
      <c r="D32" s="29">
        <f>Cours_Hist_figé!D96/Cours_Hist_figé!D32 - 1</f>
        <v>-1.5998695265595497E-4</v>
      </c>
      <c r="E32" s="29">
        <f>Cours_Hist_figé!E96/Cours_Hist_figé!E32 - 1</f>
        <v>-1.5998695265595497E-4</v>
      </c>
    </row>
    <row r="33" spans="1:5" x14ac:dyDescent="0.4">
      <c r="A33" s="27">
        <v>42145</v>
      </c>
      <c r="B33" s="29">
        <f>Cours_Hist_figé!B97/Cours_Hist_figé!B33 - 1</f>
        <v>9.3574600842685429E-2</v>
      </c>
      <c r="C33" s="29">
        <f>Cours_Hist_figé!C97/Cours_Hist_figé!C33 - 1</f>
        <v>-1.0772736000638439E-2</v>
      </c>
      <c r="D33" s="29">
        <f>Cours_Hist_figé!D97/Cours_Hist_figé!D33 - 1</f>
        <v>-1.6149025849288012E-4</v>
      </c>
      <c r="E33" s="29">
        <f>Cours_Hist_figé!E97/Cours_Hist_figé!E33 - 1</f>
        <v>-1.6149025849288012E-4</v>
      </c>
    </row>
    <row r="34" spans="1:5" x14ac:dyDescent="0.4">
      <c r="A34" s="27">
        <v>42146</v>
      </c>
      <c r="B34" s="29">
        <f>Cours_Hist_figé!B98/Cours_Hist_figé!B34 - 1</f>
        <v>8.4199262229089245E-2</v>
      </c>
      <c r="C34" s="29">
        <f>Cours_Hist_figé!C98/Cours_Hist_figé!C34 - 1</f>
        <v>-9.3475623496502847E-3</v>
      </c>
      <c r="D34" s="29">
        <f>Cours_Hist_figé!D98/Cours_Hist_figé!D34 - 1</f>
        <v>-1.6328958227729284E-4</v>
      </c>
      <c r="E34" s="29">
        <f>Cours_Hist_figé!E98/Cours_Hist_figé!E34 - 1</f>
        <v>-1.6328958227740387E-4</v>
      </c>
    </row>
    <row r="35" spans="1:5" x14ac:dyDescent="0.4">
      <c r="A35" s="27">
        <v>42150</v>
      </c>
      <c r="B35" s="29">
        <f>Cours_Hist_figé!B99/Cours_Hist_figé!B35 - 1</f>
        <v>6.9866798664335095E-2</v>
      </c>
      <c r="C35" s="29">
        <f>Cours_Hist_figé!C99/Cours_Hist_figé!C35 - 1</f>
        <v>-8.7473094634558102E-3</v>
      </c>
      <c r="D35" s="29">
        <f>Cours_Hist_figé!D99/Cours_Hist_figé!D35 - 1</f>
        <v>-1.7788791228967593E-4</v>
      </c>
      <c r="E35" s="29">
        <f>Cours_Hist_figé!E99/Cours_Hist_figé!E35 - 1</f>
        <v>-1.7788791228967593E-4</v>
      </c>
    </row>
    <row r="36" spans="1:5" x14ac:dyDescent="0.4">
      <c r="A36" s="27">
        <v>42151</v>
      </c>
      <c r="B36" s="29">
        <f>Cours_Hist_figé!B100/Cours_Hist_figé!B36 - 1</f>
        <v>8.1624680900587832E-2</v>
      </c>
      <c r="C36" s="29">
        <f>Cours_Hist_figé!C100/Cours_Hist_figé!C36 - 1</f>
        <v>-8.6229740517469455E-3</v>
      </c>
      <c r="D36" s="29">
        <f>Cours_Hist_figé!D100/Cours_Hist_figé!D36 - 1</f>
        <v>-1.7998328521684481E-4</v>
      </c>
      <c r="E36" s="29">
        <f>Cours_Hist_figé!E100/Cours_Hist_figé!E36 - 1</f>
        <v>-1.7998328521684481E-4</v>
      </c>
    </row>
    <row r="37" spans="1:5" x14ac:dyDescent="0.4">
      <c r="A37" s="27">
        <v>42152</v>
      </c>
      <c r="B37" s="29">
        <f>Cours_Hist_figé!B101/Cours_Hist_figé!B37 - 1</f>
        <v>6.8926571271099579E-2</v>
      </c>
      <c r="C37" s="29">
        <f>Cours_Hist_figé!C101/Cours_Hist_figé!C37 - 1</f>
        <v>-1.0092291816670595E-2</v>
      </c>
      <c r="D37" s="29">
        <f>Cours_Hist_figé!D101/Cours_Hist_figé!D37 - 1</f>
        <v>-1.7958158992625872E-4</v>
      </c>
      <c r="E37" s="29">
        <f>Cours_Hist_figé!E101/Cours_Hist_figé!E37 - 1</f>
        <v>-1.795815899261477E-4</v>
      </c>
    </row>
    <row r="38" spans="1:5" x14ac:dyDescent="0.4">
      <c r="A38" s="27">
        <v>42153</v>
      </c>
      <c r="B38" s="29">
        <f>Cours_Hist_figé!B102/Cours_Hist_figé!B38 - 1</f>
        <v>4.4616021039505016E-2</v>
      </c>
      <c r="C38" s="29">
        <f>Cours_Hist_figé!C102/Cours_Hist_figé!C38 - 1</f>
        <v>-9.183555058228654E-3</v>
      </c>
      <c r="D38" s="29">
        <f>Cours_Hist_figé!D102/Cours_Hist_figé!D38 - 1</f>
        <v>-1.8128227558011911E-4</v>
      </c>
      <c r="E38" s="29">
        <f>Cours_Hist_figé!E102/Cours_Hist_figé!E38 - 1</f>
        <v>-1.8128227558000809E-4</v>
      </c>
    </row>
    <row r="39" spans="1:5" x14ac:dyDescent="0.4">
      <c r="A39" s="27">
        <v>42156</v>
      </c>
      <c r="B39" s="29">
        <f>Cours_Hist_figé!B103/Cours_Hist_figé!B39 - 1</f>
        <v>4.7343588676436399E-2</v>
      </c>
      <c r="C39" s="29">
        <f>Cours_Hist_figé!C103/Cours_Hist_figé!C39 - 1</f>
        <v>-1.2366175483770614E-2</v>
      </c>
      <c r="D39" s="29">
        <f>Cours_Hist_figé!D103/Cours_Hist_figé!D39 - 1</f>
        <v>-1.8667999270238766E-4</v>
      </c>
      <c r="E39" s="29">
        <f>Cours_Hist_figé!E103/Cours_Hist_figé!E39 - 1</f>
        <v>-1.8667999270238766E-4</v>
      </c>
    </row>
    <row r="40" spans="1:5" x14ac:dyDescent="0.4">
      <c r="A40" s="27">
        <v>42157</v>
      </c>
      <c r="B40" s="29">
        <f>Cours_Hist_figé!B104/Cours_Hist_figé!B40 - 1</f>
        <v>2.6164441691387319E-2</v>
      </c>
      <c r="C40" s="29">
        <f>Cours_Hist_figé!C104/Cours_Hist_figé!C40 - 1</f>
        <v>-2.3227029405808564E-2</v>
      </c>
      <c r="D40" s="29">
        <f>Cours_Hist_figé!D104/Cours_Hist_figé!D40 - 1</f>
        <v>-1.8828202144682837E-4</v>
      </c>
      <c r="E40" s="29">
        <f>Cours_Hist_figé!E104/Cours_Hist_figé!E40 - 1</f>
        <v>-1.8828202144682837E-4</v>
      </c>
    </row>
    <row r="41" spans="1:5" x14ac:dyDescent="0.4">
      <c r="A41" s="27">
        <v>42158</v>
      </c>
      <c r="B41" s="29">
        <f>Cours_Hist_figé!B105/Cours_Hist_figé!B41 - 1</f>
        <v>2.0747133522377004E-2</v>
      </c>
      <c r="C41" s="29">
        <f>Cours_Hist_figé!C105/Cours_Hist_figé!C41 - 1</f>
        <v>-2.9342456595036981E-2</v>
      </c>
      <c r="D41" s="29">
        <f>Cours_Hist_figé!D105/Cours_Hist_figé!D41 - 1</f>
        <v>-1.8998281917936843E-4</v>
      </c>
      <c r="E41" s="29">
        <f>Cours_Hist_figé!E105/Cours_Hist_figé!E41 - 1</f>
        <v>-1.8998281917925741E-4</v>
      </c>
    </row>
    <row r="42" spans="1:5" x14ac:dyDescent="0.4">
      <c r="A42" s="27">
        <v>42159</v>
      </c>
      <c r="B42" s="29">
        <f>Cours_Hist_figé!B106/Cours_Hist_figé!B42 - 1</f>
        <v>1.4860437157173223E-2</v>
      </c>
      <c r="C42" s="29">
        <f>Cours_Hist_figé!C106/Cours_Hist_figé!C42 - 1</f>
        <v>-2.7842550420751344E-2</v>
      </c>
      <c r="D42" s="29">
        <f>Cours_Hist_figé!D106/Cours_Hist_figé!D42 - 1</f>
        <v>-1.9928124989965212E-4</v>
      </c>
      <c r="E42" s="29">
        <f>Cours_Hist_figé!E106/Cours_Hist_figé!E42 - 1</f>
        <v>-1.9928124989965212E-4</v>
      </c>
    </row>
    <row r="43" spans="1:5" x14ac:dyDescent="0.4">
      <c r="A43" s="27">
        <v>42160</v>
      </c>
      <c r="B43" s="29">
        <f>Cours_Hist_figé!B107/Cours_Hist_figé!B43 - 1</f>
        <v>1.4663717498260675E-2</v>
      </c>
      <c r="C43" s="29">
        <f>Cours_Hist_figé!C107/Cours_Hist_figé!C43 - 1</f>
        <v>-2.8903697085515323E-2</v>
      </c>
      <c r="D43" s="29">
        <f>Cours_Hist_figé!D107/Cours_Hist_figé!D43 - 1</f>
        <v>-2.0157414887955749E-4</v>
      </c>
      <c r="E43" s="29">
        <f>Cours_Hist_figé!E107/Cours_Hist_figé!E43 - 1</f>
        <v>-2.0157414887955749E-4</v>
      </c>
    </row>
    <row r="44" spans="1:5" x14ac:dyDescent="0.4">
      <c r="A44" s="27">
        <v>42163</v>
      </c>
      <c r="B44" s="29">
        <f>Cours_Hist_figé!B108/Cours_Hist_figé!B44 - 1</f>
        <v>-2.3017231993507359E-3</v>
      </c>
      <c r="C44" s="29">
        <f>Cours_Hist_figé!C108/Cours_Hist_figé!C44 - 1</f>
        <v>-3.0629198335004437E-2</v>
      </c>
      <c r="D44" s="29">
        <f>Cours_Hist_figé!D108/Cours_Hist_figé!D44 - 1</f>
        <v>-2.0947714091157366E-4</v>
      </c>
      <c r="E44" s="29">
        <f>Cours_Hist_figé!E108/Cours_Hist_figé!E44 - 1</f>
        <v>-2.0947714091146263E-4</v>
      </c>
    </row>
    <row r="45" spans="1:5" x14ac:dyDescent="0.4">
      <c r="A45" s="27">
        <v>42164</v>
      </c>
      <c r="B45" s="29">
        <f>Cours_Hist_figé!B109/Cours_Hist_figé!B45 - 1</f>
        <v>-1.505711420682776E-2</v>
      </c>
      <c r="C45" s="29">
        <f>Cours_Hist_figé!C109/Cours_Hist_figé!C45 - 1</f>
        <v>-3.6068412504068781E-2</v>
      </c>
      <c r="D45" s="29">
        <f>Cours_Hist_figé!D109/Cours_Hist_figé!D45 - 1</f>
        <v>-2.112766624055018E-4</v>
      </c>
      <c r="E45" s="29">
        <f>Cours_Hist_figé!E109/Cours_Hist_figé!E45 - 1</f>
        <v>-2.112766624055018E-4</v>
      </c>
    </row>
    <row r="46" spans="1:5" x14ac:dyDescent="0.4">
      <c r="A46" s="27">
        <v>42165</v>
      </c>
      <c r="B46" s="29">
        <f>Cours_Hist_figé!B110/Cours_Hist_figé!B46 - 1</f>
        <v>2.138138868247097E-3</v>
      </c>
      <c r="C46" s="29">
        <f>Cours_Hist_figé!C110/Cours_Hist_figé!C46 - 1</f>
        <v>-3.7386697113641731E-2</v>
      </c>
      <c r="D46" s="29">
        <f>Cours_Hist_figé!D110/Cours_Hist_figé!D46 - 1</f>
        <v>-2.1318244734880309E-4</v>
      </c>
      <c r="E46" s="29">
        <f>Cours_Hist_figé!E110/Cours_Hist_figé!E46 - 1</f>
        <v>-2.1318244734869207E-4</v>
      </c>
    </row>
    <row r="47" spans="1:5" x14ac:dyDescent="0.4">
      <c r="A47" s="27">
        <v>42166</v>
      </c>
      <c r="B47" s="29">
        <f>Cours_Hist_figé!B111/Cours_Hist_figé!B47 - 1</f>
        <v>1.0356907716950081E-2</v>
      </c>
      <c r="C47" s="29">
        <f>Cours_Hist_figé!C111/Cours_Hist_figé!C47 - 1</f>
        <v>-3.5747175480967286E-2</v>
      </c>
      <c r="D47" s="29">
        <f>Cours_Hist_figé!D111/Cours_Hist_figé!D47 - 1</f>
        <v>-2.1108074060383064E-4</v>
      </c>
      <c r="E47" s="29">
        <f>Cours_Hist_figé!E111/Cours_Hist_figé!E47 - 1</f>
        <v>-2.1108074060394166E-4</v>
      </c>
    </row>
    <row r="48" spans="1:5" x14ac:dyDescent="0.4">
      <c r="A48" s="27">
        <v>42167</v>
      </c>
      <c r="B48" s="29">
        <f>Cours_Hist_figé!B112/Cours_Hist_figé!B48 - 1</f>
        <v>1.0569982420565172E-2</v>
      </c>
      <c r="C48" s="29">
        <f>Cours_Hist_figé!C112/Cours_Hist_figé!C48 - 1</f>
        <v>-4.1036527604651152E-2</v>
      </c>
      <c r="D48" s="29">
        <f>Cours_Hist_figé!D112/Cours_Hist_figé!D48 - 1</f>
        <v>-2.1257664368456997E-4</v>
      </c>
      <c r="E48" s="29">
        <f>Cours_Hist_figé!E112/Cours_Hist_figé!E48 - 1</f>
        <v>-2.1257664368456997E-4</v>
      </c>
    </row>
    <row r="49" spans="1:5" x14ac:dyDescent="0.4">
      <c r="A49" s="27">
        <v>42170</v>
      </c>
      <c r="B49" s="29">
        <f>Cours_Hist_figé!B113/Cours_Hist_figé!B49 - 1</f>
        <v>-2.0497090483329705E-2</v>
      </c>
      <c r="C49" s="29">
        <f>Cours_Hist_figé!C113/Cours_Hist_figé!C49 - 1</f>
        <v>-4.6845258975727555E-2</v>
      </c>
      <c r="D49" s="29">
        <f>Cours_Hist_figé!D113/Cours_Hist_figé!D49 - 1</f>
        <v>-2.2117059780812909E-4</v>
      </c>
      <c r="E49" s="29">
        <f>Cours_Hist_figé!E113/Cours_Hist_figé!E49 - 1</f>
        <v>-2.2117059780801807E-4</v>
      </c>
    </row>
    <row r="50" spans="1:5" x14ac:dyDescent="0.4">
      <c r="A50" s="27">
        <v>42171</v>
      </c>
      <c r="B50" s="29">
        <f>Cours_Hist_figé!B114/Cours_Hist_figé!B50 - 1</f>
        <v>-1.4234284158885724E-2</v>
      </c>
      <c r="C50" s="29">
        <f>Cours_Hist_figé!C114/Cours_Hist_figé!C50 - 1</f>
        <v>-4.4913102350573553E-2</v>
      </c>
      <c r="D50" s="29">
        <f>Cours_Hist_figé!D114/Cours_Hist_figé!D50 - 1</f>
        <v>-2.2297770694357233E-4</v>
      </c>
      <c r="E50" s="29">
        <f>Cours_Hist_figé!E114/Cours_Hist_figé!E50 - 1</f>
        <v>-2.2297770694357233E-4</v>
      </c>
    </row>
    <row r="51" spans="1:5" x14ac:dyDescent="0.4">
      <c r="A51" s="27">
        <v>42172</v>
      </c>
      <c r="B51" s="29">
        <f>Cours_Hist_figé!B115/Cours_Hist_figé!B51 - 1</f>
        <v>-2.1481746411506575E-2</v>
      </c>
      <c r="C51" s="29">
        <f>Cours_Hist_figé!C115/Cours_Hist_figé!C51 - 1</f>
        <v>-4.3855737350793622E-2</v>
      </c>
      <c r="D51" s="29">
        <f>Cours_Hist_figé!D115/Cours_Hist_figé!D51 - 1</f>
        <v>-2.2497461111992134E-4</v>
      </c>
      <c r="E51" s="29">
        <f>Cours_Hist_figé!E115/Cours_Hist_figé!E51 - 1</f>
        <v>-2.2497461112014339E-4</v>
      </c>
    </row>
    <row r="52" spans="1:5" x14ac:dyDescent="0.4">
      <c r="A52" s="27">
        <v>42173</v>
      </c>
      <c r="B52" s="29">
        <f>Cours_Hist_figé!B116/Cours_Hist_figé!B52 - 1</f>
        <v>-2.9049014448955579E-2</v>
      </c>
      <c r="C52" s="29">
        <f>Cours_Hist_figé!C116/Cours_Hist_figé!C52 - 1</f>
        <v>-4.3381355741517691E-2</v>
      </c>
      <c r="D52" s="29">
        <f>Cours_Hist_figé!D116/Cours_Hist_figé!D52 - 1</f>
        <v>-2.247703824178604E-4</v>
      </c>
      <c r="E52" s="29">
        <f>Cours_Hist_figé!E116/Cours_Hist_figé!E52 - 1</f>
        <v>-2.2477038241774938E-4</v>
      </c>
    </row>
    <row r="53" spans="1:5" x14ac:dyDescent="0.4">
      <c r="A53" s="27">
        <v>42174</v>
      </c>
      <c r="B53" s="29">
        <f>Cours_Hist_figé!B117/Cours_Hist_figé!B53 - 1</f>
        <v>-1.9149174009613468E-2</v>
      </c>
      <c r="C53" s="29">
        <f>Cours_Hist_figé!C117/Cours_Hist_figé!C53 - 1</f>
        <v>-3.9689929221369491E-2</v>
      </c>
      <c r="D53" s="29">
        <f>Cours_Hist_figé!D117/Cours_Hist_figé!D53 - 1</f>
        <v>-2.26478840478328E-4</v>
      </c>
      <c r="E53" s="29">
        <f>Cours_Hist_figé!E117/Cours_Hist_figé!E53 - 1</f>
        <v>-2.26478840478328E-4</v>
      </c>
    </row>
    <row r="54" spans="1:5" x14ac:dyDescent="0.4">
      <c r="A54" s="27">
        <v>42177</v>
      </c>
      <c r="B54" s="29">
        <f>Cours_Hist_figé!B118/Cours_Hist_figé!B54 - 1</f>
        <v>-1.8694304533128925E-4</v>
      </c>
      <c r="C54" s="29">
        <f>Cours_Hist_figé!C118/Cours_Hist_figé!C54 - 1</f>
        <v>-4.1780205028769446E-2</v>
      </c>
      <c r="D54" s="29">
        <f>Cours_Hist_figé!D118/Cours_Hist_figé!D54 - 1</f>
        <v>-2.3537640125559367E-4</v>
      </c>
      <c r="E54" s="29">
        <f>Cours_Hist_figé!E118/Cours_Hist_figé!E54 - 1</f>
        <v>-2.3537640125559367E-4</v>
      </c>
    </row>
    <row r="55" spans="1:5" x14ac:dyDescent="0.4">
      <c r="A55" s="27">
        <v>42178</v>
      </c>
      <c r="B55" s="29">
        <f>Cours_Hist_figé!B119/Cours_Hist_figé!B55 - 1</f>
        <v>5.2082405554301214E-3</v>
      </c>
      <c r="C55" s="29">
        <f>Cours_Hist_figé!C119/Cours_Hist_figé!C55 - 1</f>
        <v>-4.1673011896282142E-2</v>
      </c>
      <c r="D55" s="29">
        <f>Cours_Hist_figé!D119/Cours_Hist_figé!D55 - 1</f>
        <v>-2.3727467199963215E-4</v>
      </c>
      <c r="E55" s="29">
        <f>Cours_Hist_figé!E119/Cours_Hist_figé!E55 - 1</f>
        <v>-2.3727467199974317E-4</v>
      </c>
    </row>
    <row r="56" spans="1:5" x14ac:dyDescent="0.4">
      <c r="A56" s="27">
        <v>42179</v>
      </c>
      <c r="B56" s="29">
        <f>Cours_Hist_figé!B120/Cours_Hist_figé!B56 - 1</f>
        <v>-6.8873212477846835E-3</v>
      </c>
      <c r="C56" s="29">
        <f>Cours_Hist_figé!C120/Cours_Hist_figé!C56 - 1</f>
        <v>-4.2456673358103103E-2</v>
      </c>
      <c r="D56" s="29">
        <f>Cours_Hist_figé!D120/Cours_Hist_figé!D56 - 1</f>
        <v>-2.3956759131560368E-4</v>
      </c>
      <c r="E56" s="29">
        <f>Cours_Hist_figé!E120/Cours_Hist_figé!E56 - 1</f>
        <v>-2.3956759131549266E-4</v>
      </c>
    </row>
    <row r="57" spans="1:5" x14ac:dyDescent="0.4">
      <c r="A57" s="27">
        <v>42180</v>
      </c>
      <c r="B57" s="29">
        <f>Cours_Hist_figé!B121/Cours_Hist_figé!B57 - 1</f>
        <v>-3.0754757594277926E-3</v>
      </c>
      <c r="C57" s="29">
        <f>Cours_Hist_figé!C121/Cours_Hist_figé!C57 - 1</f>
        <v>-4.0570585495151468E-2</v>
      </c>
      <c r="D57" s="29">
        <f>Cours_Hist_figé!D121/Cours_Hist_figé!D57 - 1</f>
        <v>-2.3807314467894081E-4</v>
      </c>
      <c r="E57" s="29">
        <f>Cours_Hist_figé!E121/Cours_Hist_figé!E57 - 1</f>
        <v>-2.3807314467905183E-4</v>
      </c>
    </row>
    <row r="58" spans="1:5" x14ac:dyDescent="0.4">
      <c r="A58" s="27">
        <v>42181</v>
      </c>
      <c r="B58" s="29">
        <f>Cours_Hist_figé!B122/Cours_Hist_figé!B58 - 1</f>
        <v>-4.6668854768344703E-3</v>
      </c>
      <c r="C58" s="29">
        <f>Cours_Hist_figé!C122/Cours_Hist_figé!C58 - 1</f>
        <v>-4.1390850136845958E-2</v>
      </c>
      <c r="D58" s="29">
        <f>Cours_Hist_figé!D122/Cours_Hist_figé!D58 - 1</f>
        <v>-2.3997136073528047E-4</v>
      </c>
      <c r="E58" s="29">
        <f>Cours_Hist_figé!E122/Cours_Hist_figé!E58 - 1</f>
        <v>-2.3997136073539149E-4</v>
      </c>
    </row>
    <row r="59" spans="1:5" x14ac:dyDescent="0.4">
      <c r="A59" s="27">
        <v>42184</v>
      </c>
      <c r="B59" s="29">
        <f>Cours_Hist_figé!B123/Cours_Hist_figé!B59 - 1</f>
        <v>-2.0660662464985324E-2</v>
      </c>
      <c r="C59" s="29">
        <f>Cours_Hist_figé!C123/Cours_Hist_figé!C59 - 1</f>
        <v>-4.2223602708744368E-2</v>
      </c>
      <c r="D59" s="29">
        <f>Cours_Hist_figé!D123/Cours_Hist_figé!D59 - 1</f>
        <v>-2.4856548177931703E-4</v>
      </c>
      <c r="E59" s="29">
        <f>Cours_Hist_figé!E123/Cours_Hist_figé!E59 - 1</f>
        <v>-2.4856548177920601E-4</v>
      </c>
    </row>
    <row r="60" spans="1:5" x14ac:dyDescent="0.4">
      <c r="A60" s="27">
        <v>42185</v>
      </c>
      <c r="B60" s="29">
        <f>Cours_Hist_figé!B124/Cours_Hist_figé!B60 - 1</f>
        <v>-2.6027973319019626E-2</v>
      </c>
      <c r="C60" s="29">
        <f>Cours_Hist_figé!C124/Cours_Hist_figé!C60 - 1</f>
        <v>-4.0952914177428523E-2</v>
      </c>
      <c r="D60" s="29">
        <f>Cours_Hist_figé!D124/Cours_Hist_figé!D60 - 1</f>
        <v>-2.5016774326802604E-4</v>
      </c>
      <c r="E60" s="29">
        <f>Cours_Hist_figé!E124/Cours_Hist_figé!E60 - 1</f>
        <v>-2.5016774326802604E-4</v>
      </c>
    </row>
    <row r="61" spans="1:5" x14ac:dyDescent="0.4">
      <c r="A61" s="27">
        <v>42186</v>
      </c>
      <c r="B61" s="29">
        <f>Cours_Hist_figé!B125/Cours_Hist_figé!B61 - 1</f>
        <v>-1.4116340467816957E-2</v>
      </c>
      <c r="C61" s="29">
        <f>Cours_Hist_figé!C125/Cours_Hist_figé!C61 - 1</f>
        <v>-4.1928850149578922E-2</v>
      </c>
      <c r="D61" s="29">
        <f>Cours_Hist_figé!D125/Cours_Hist_figé!D61 - 1</f>
        <v>-2.5026683564510765E-4</v>
      </c>
      <c r="E61" s="29">
        <f>Cours_Hist_figé!E125/Cours_Hist_figé!E61 - 1</f>
        <v>-2.5026683564510765E-4</v>
      </c>
    </row>
    <row r="62" spans="1:5" x14ac:dyDescent="0.4">
      <c r="A62" s="27">
        <v>42187</v>
      </c>
      <c r="B62" s="29">
        <f>Cours_Hist_figé!B126/Cours_Hist_figé!B62 - 1</f>
        <v>-2.8495399724792869E-2</v>
      </c>
      <c r="C62" s="29">
        <f>Cours_Hist_figé!C126/Cours_Hist_figé!C62 - 1</f>
        <v>-4.4864547095106899E-2</v>
      </c>
      <c r="D62" s="29">
        <f>Cours_Hist_figé!D126/Cours_Hist_figé!D62 - 1</f>
        <v>-2.4927342320102408E-4</v>
      </c>
      <c r="E62" s="29">
        <f>Cours_Hist_figé!E126/Cours_Hist_figé!E62 - 1</f>
        <v>-2.4927342320080204E-4</v>
      </c>
    </row>
    <row r="63" spans="1:5" x14ac:dyDescent="0.4">
      <c r="A63" s="27">
        <v>42188</v>
      </c>
      <c r="B63" s="29">
        <f>Cours_Hist_figé!B127/Cours_Hist_figé!B63 - 1</f>
        <v>-2.7054126686911095E-2</v>
      </c>
      <c r="C63" s="29">
        <f>Cours_Hist_figé!C127/Cours_Hist_figé!C63 - 1</f>
        <v>-4.3825359674777964E-2</v>
      </c>
      <c r="D63" s="29">
        <f>Cours_Hist_figé!D127/Cours_Hist_figé!D63 - 1</f>
        <v>-2.5126280112119925E-4</v>
      </c>
      <c r="E63" s="29">
        <f>Cours_Hist_figé!E127/Cours_Hist_figé!E63 - 1</f>
        <v>-2.5126280112119925E-4</v>
      </c>
    </row>
    <row r="64" spans="1:5" x14ac:dyDescent="0.4">
      <c r="A64" s="27">
        <v>42191</v>
      </c>
      <c r="B64" s="29">
        <f>Cours_Hist_figé!B128/Cours_Hist_figé!B64 - 1</f>
        <v>-4.2287965466423882E-2</v>
      </c>
      <c r="C64" s="29">
        <f>Cours_Hist_figé!C128/Cours_Hist_figé!C64 - 1</f>
        <v>-4.5043051708265058E-2</v>
      </c>
      <c r="D64" s="29">
        <f>Cours_Hist_figé!D128/Cours_Hist_figé!D64 - 1</f>
        <v>-2.6236910326860041E-4</v>
      </c>
      <c r="E64" s="29">
        <f>Cours_Hist_figé!E128/Cours_Hist_figé!E64 - 1</f>
        <v>-2.6236910326871143E-4</v>
      </c>
    </row>
    <row r="65" spans="1:5" x14ac:dyDescent="0.4">
      <c r="A65" s="27">
        <v>42192</v>
      </c>
      <c r="B65" s="29">
        <f>Cours_Hist_figé!B129/Cours_Hist_figé!B65 - 1</f>
        <v>-5.5907202625229635E-2</v>
      </c>
      <c r="C65" s="29">
        <f>Cours_Hist_figé!C129/Cours_Hist_figé!C65 - 1</f>
        <v>-3.8523129887608754E-2</v>
      </c>
      <c r="D65" s="29">
        <f>Cours_Hist_figé!D129/Cours_Hist_figé!D65 - 1</f>
        <v>-2.638651686871496E-4</v>
      </c>
      <c r="E65" s="29">
        <f>Cours_Hist_figé!E129/Cours_Hist_figé!E65 - 1</f>
        <v>-2.6386516868703858E-4</v>
      </c>
    </row>
    <row r="66" spans="1:5" x14ac:dyDescent="0.4">
      <c r="A66" s="27">
        <v>42193</v>
      </c>
      <c r="B66" s="29">
        <f>Cours_Hist_figé!B130/Cours_Hist_figé!B66 - 1</f>
        <v>-7.0606385258195736E-2</v>
      </c>
      <c r="C66" s="29">
        <f>Cours_Hist_figé!C130/Cours_Hist_figé!C66 - 1</f>
        <v>-3.9212132914219766E-2</v>
      </c>
      <c r="D66" s="29">
        <f>Cours_Hist_figé!D130/Cours_Hist_figé!D66 - 1</f>
        <v>-2.5616998967692428E-4</v>
      </c>
      <c r="E66" s="29">
        <f>Cours_Hist_figé!E130/Cours_Hist_figé!E66 - 1</f>
        <v>-2.5616998967692428E-4</v>
      </c>
    </row>
    <row r="67" spans="1:5" x14ac:dyDescent="0.4">
      <c r="A67" s="27">
        <v>42194</v>
      </c>
      <c r="B67" s="29">
        <f>Cours_Hist_figé!B131/Cours_Hist_figé!B67 - 1</f>
        <v>-4.9977996898610599E-2</v>
      </c>
      <c r="C67" s="29">
        <f>Cours_Hist_figé!C131/Cours_Hist_figé!C67 - 1</f>
        <v>-4.0591842057710825E-2</v>
      </c>
      <c r="D67" s="29">
        <f>Cours_Hist_figé!D131/Cours_Hist_figé!D67 - 1</f>
        <v>-2.5727136658504346E-4</v>
      </c>
      <c r="E67" s="29">
        <f>Cours_Hist_figé!E131/Cours_Hist_figé!E67 - 1</f>
        <v>-2.5727136658504346E-4</v>
      </c>
    </row>
    <row r="68" spans="1:5" x14ac:dyDescent="0.4">
      <c r="A68" s="27">
        <v>42195</v>
      </c>
      <c r="B68" s="29">
        <f>Cours_Hist_figé!B132/Cours_Hist_figé!B68 - 1</f>
        <v>-4.128515773850594E-2</v>
      </c>
      <c r="C68" s="29">
        <f>Cours_Hist_figé!C132/Cours_Hist_figé!C68 - 1</f>
        <v>-4.4214368780174929E-2</v>
      </c>
      <c r="D68" s="29">
        <f>Cours_Hist_figé!D132/Cours_Hist_figé!D68 - 1</f>
        <v>-2.5856251857303558E-4</v>
      </c>
      <c r="E68" s="29">
        <f>Cours_Hist_figé!E132/Cours_Hist_figé!E68 - 1</f>
        <v>-2.5856251857303558E-4</v>
      </c>
    </row>
    <row r="69" spans="1:5" x14ac:dyDescent="0.4">
      <c r="A69" s="27">
        <v>42198</v>
      </c>
      <c r="B69" s="29">
        <f>Cours_Hist_figé!B133/Cours_Hist_figé!B69 - 1</f>
        <v>-3.1771837830447125E-2</v>
      </c>
      <c r="C69" s="29">
        <f>Cours_Hist_figé!C133/Cours_Hist_figé!C69 - 1</f>
        <v>-4.3591515819857651E-2</v>
      </c>
      <c r="D69" s="29">
        <f>Cours_Hist_figé!D133/Cours_Hist_figé!D69 - 1</f>
        <v>-2.6696709910833949E-4</v>
      </c>
      <c r="E69" s="29">
        <f>Cours_Hist_figé!E133/Cours_Hist_figé!E69 - 1</f>
        <v>-2.6696709910856153E-4</v>
      </c>
    </row>
    <row r="70" spans="1:5" x14ac:dyDescent="0.4">
      <c r="A70" s="27">
        <v>42199</v>
      </c>
      <c r="B70" s="29">
        <f>Cours_Hist_figé!B134/Cours_Hist_figé!B70 - 1</f>
        <v>-2.8490498353110016E-2</v>
      </c>
      <c r="C70" s="29">
        <f>Cours_Hist_figé!C134/Cours_Hist_figé!C70 - 1</f>
        <v>-4.2353531592891791E-2</v>
      </c>
      <c r="D70" s="29">
        <f>Cours_Hist_figé!D134/Cours_Hist_figé!D70 - 1</f>
        <v>-2.6447091729786543E-4</v>
      </c>
      <c r="E70" s="29">
        <f>Cours_Hist_figé!E134/Cours_Hist_figé!E70 - 1</f>
        <v>-2.644709172977544E-4</v>
      </c>
    </row>
    <row r="71" spans="1:5" x14ac:dyDescent="0.4">
      <c r="A71" s="27">
        <v>42200</v>
      </c>
      <c r="B71" s="29">
        <f>Cours_Hist_figé!B135/Cours_Hist_figé!B71 - 1</f>
        <v>-2.0457854685786314E-2</v>
      </c>
      <c r="C71" s="29">
        <f>Cours_Hist_figé!C135/Cours_Hist_figé!C71 - 1</f>
        <v>-3.9230464733514436E-2</v>
      </c>
      <c r="D71" s="29">
        <f>Cours_Hist_figé!D135/Cours_Hist_figé!D71 - 1</f>
        <v>-2.6556468104521613E-4</v>
      </c>
      <c r="E71" s="29">
        <f>Cours_Hist_figé!E135/Cours_Hist_figé!E71 - 1</f>
        <v>-2.6556468104521613E-4</v>
      </c>
    </row>
    <row r="72" spans="1:5" x14ac:dyDescent="0.4">
      <c r="A72" s="27">
        <v>42201</v>
      </c>
      <c r="B72" s="29">
        <f>Cours_Hist_figé!B136/Cours_Hist_figé!B72 - 1</f>
        <v>-1.327969378588445E-2</v>
      </c>
      <c r="C72" s="29">
        <f>Cours_Hist_figé!C136/Cours_Hist_figé!C72 - 1</f>
        <v>-4.0638536257599833E-2</v>
      </c>
      <c r="D72" s="29">
        <f>Cours_Hist_figé!D136/Cours_Hist_figé!D72 - 1</f>
        <v>-2.6646878277858388E-4</v>
      </c>
      <c r="E72" s="29">
        <f>Cours_Hist_figé!E136/Cours_Hist_figé!E72 - 1</f>
        <v>-2.664687827786949E-4</v>
      </c>
    </row>
    <row r="73" spans="1:5" x14ac:dyDescent="0.4">
      <c r="A73" s="27">
        <v>42202</v>
      </c>
      <c r="B73" s="29">
        <f>Cours_Hist_figé!B137/Cours_Hist_figé!B73 - 1</f>
        <v>-5.9621898263463313E-3</v>
      </c>
      <c r="C73" s="29">
        <f>Cours_Hist_figé!C137/Cours_Hist_figé!C73 - 1</f>
        <v>-3.648286935716516E-2</v>
      </c>
      <c r="D73" s="29">
        <f>Cours_Hist_figé!D137/Cours_Hist_figé!D73 - 1</f>
        <v>-2.6775997218375647E-4</v>
      </c>
      <c r="E73" s="29">
        <f>Cours_Hist_figé!E137/Cours_Hist_figé!E73 - 1</f>
        <v>-2.6775997218386749E-4</v>
      </c>
    </row>
    <row r="74" spans="1:5" x14ac:dyDescent="0.4">
      <c r="A74" s="27">
        <v>42205</v>
      </c>
      <c r="B74" s="29">
        <f>Cours_Hist_figé!B138/Cours_Hist_figé!B74 - 1</f>
        <v>1.4408309953328979E-2</v>
      </c>
      <c r="C74" s="29">
        <f>Cours_Hist_figé!C138/Cours_Hist_figé!C74 - 1</f>
        <v>-3.3464924110536365E-2</v>
      </c>
      <c r="D74" s="29">
        <f>Cours_Hist_figé!D138/Cours_Hist_figé!D74 - 1</f>
        <v>-2.7536780650383452E-4</v>
      </c>
      <c r="E74" s="29">
        <f>Cours_Hist_figé!E138/Cours_Hist_figé!E74 - 1</f>
        <v>-2.7536780650383452E-4</v>
      </c>
    </row>
    <row r="75" spans="1:5" x14ac:dyDescent="0.4">
      <c r="A75" s="27">
        <v>42206</v>
      </c>
      <c r="B75" s="29">
        <f>Cours_Hist_figé!B139/Cours_Hist_figé!B75 - 1</f>
        <v>-4.2892455095706605E-3</v>
      </c>
      <c r="C75" s="29">
        <f>Cours_Hist_figé!C139/Cours_Hist_figé!C75 - 1</f>
        <v>-3.5246947225801906E-2</v>
      </c>
      <c r="D75" s="29">
        <f>Cours_Hist_figé!D139/Cours_Hist_figé!D75 - 1</f>
        <v>-2.7246175075612555E-4</v>
      </c>
      <c r="E75" s="29">
        <f>Cours_Hist_figé!E139/Cours_Hist_figé!E75 - 1</f>
        <v>-2.7246175075590351E-4</v>
      </c>
    </row>
    <row r="76" spans="1:5" x14ac:dyDescent="0.4">
      <c r="A76" s="27">
        <v>42207</v>
      </c>
      <c r="B76" s="29">
        <f>Cours_Hist_figé!B140/Cours_Hist_figé!B76 - 1</f>
        <v>-1.5843000778848038E-2</v>
      </c>
      <c r="C76" s="29">
        <f>Cours_Hist_figé!C140/Cours_Hist_figé!C76 - 1</f>
        <v>-3.2478351379134351E-2</v>
      </c>
      <c r="D76" s="29">
        <f>Cours_Hist_figé!D140/Cours_Hist_figé!D76 - 1</f>
        <v>-2.7366188951338799E-4</v>
      </c>
      <c r="E76" s="29">
        <f>Cours_Hist_figé!E140/Cours_Hist_figé!E76 - 1</f>
        <v>-2.7366188951349901E-4</v>
      </c>
    </row>
    <row r="77" spans="1:5" x14ac:dyDescent="0.4">
      <c r="A77" s="27">
        <v>42208</v>
      </c>
      <c r="B77" s="29">
        <f>Cours_Hist_figé!B141/Cours_Hist_figé!B77 - 1</f>
        <v>-2.076485724454491E-2</v>
      </c>
      <c r="C77" s="29">
        <f>Cours_Hist_figé!C141/Cours_Hist_figé!C77 - 1</f>
        <v>-3.12815243023713E-2</v>
      </c>
      <c r="D77" s="29">
        <f>Cours_Hist_figé!D141/Cours_Hist_figé!D77 - 1</f>
        <v>-2.746646656692775E-4</v>
      </c>
      <c r="E77" s="29">
        <f>Cours_Hist_figé!E141/Cours_Hist_figé!E77 - 1</f>
        <v>-2.7466466566938852E-4</v>
      </c>
    </row>
    <row r="78" spans="1:5" x14ac:dyDescent="0.4">
      <c r="A78" s="27">
        <v>42209</v>
      </c>
      <c r="B78" s="29">
        <f>Cours_Hist_figé!B142/Cours_Hist_figé!B78 - 1</f>
        <v>-2.595819620996842E-2</v>
      </c>
      <c r="C78" s="29">
        <f>Cours_Hist_figé!C142/Cours_Hist_figé!C78 - 1</f>
        <v>-2.8428930947899889E-2</v>
      </c>
      <c r="D78" s="29">
        <f>Cours_Hist_figé!D142/Cours_Hist_figé!D78 - 1</f>
        <v>-2.7576609077273329E-4</v>
      </c>
      <c r="E78" s="29">
        <f>Cours_Hist_figé!E142/Cours_Hist_figé!E78 - 1</f>
        <v>-2.7576609077284431E-4</v>
      </c>
    </row>
    <row r="79" spans="1:5" x14ac:dyDescent="0.4">
      <c r="A79" s="27">
        <v>42212</v>
      </c>
      <c r="B79" s="29">
        <f>Cours_Hist_figé!B143/Cours_Hist_figé!B79 - 1</f>
        <v>-5.0216094233739295E-2</v>
      </c>
      <c r="C79" s="29">
        <f>Cours_Hist_figé!C143/Cours_Hist_figé!C79 - 1</f>
        <v>-2.8079730180303075E-2</v>
      </c>
      <c r="D79" s="29">
        <f>Cours_Hist_figé!D143/Cours_Hist_figé!D79 - 1</f>
        <v>-2.8306267559130571E-4</v>
      </c>
      <c r="E79" s="29">
        <f>Cours_Hist_figé!E143/Cours_Hist_figé!E79 - 1</f>
        <v>-2.8306267559108367E-4</v>
      </c>
    </row>
    <row r="80" spans="1:5" x14ac:dyDescent="0.4">
      <c r="A80" s="27">
        <v>42213</v>
      </c>
      <c r="B80" s="29">
        <f>Cours_Hist_figé!B144/Cours_Hist_figé!B80 - 1</f>
        <v>-4.9788704481104396E-2</v>
      </c>
      <c r="C80" s="29">
        <f>Cours_Hist_figé!C144/Cours_Hist_figé!C80 - 1</f>
        <v>-2.8671709114845179E-2</v>
      </c>
      <c r="D80" s="29">
        <f>Cours_Hist_figé!D144/Cours_Hist_figé!D80 - 1</f>
        <v>-2.7956460411315831E-4</v>
      </c>
      <c r="E80" s="29">
        <f>Cours_Hist_figé!E144/Cours_Hist_figé!E80 - 1</f>
        <v>-2.7956460411315831E-4</v>
      </c>
    </row>
    <row r="81" spans="1:5" x14ac:dyDescent="0.4">
      <c r="A81" s="27">
        <v>42214</v>
      </c>
      <c r="B81" s="29">
        <f>Cours_Hist_figé!B145/Cours_Hist_figé!B81 - 1</f>
        <v>-2.5519723633653846E-2</v>
      </c>
      <c r="C81" s="29">
        <f>Cours_Hist_figé!C145/Cours_Hist_figé!C81 - 1</f>
        <v>-2.971152043782288E-2</v>
      </c>
      <c r="D81" s="29">
        <f>Cours_Hist_figé!D145/Cours_Hist_figé!D81 - 1</f>
        <v>-2.8055978943652971E-4</v>
      </c>
      <c r="E81" s="29">
        <f>Cours_Hist_figé!E145/Cours_Hist_figé!E81 - 1</f>
        <v>-2.8055978943652971E-4</v>
      </c>
    </row>
    <row r="82" spans="1:5" x14ac:dyDescent="0.4">
      <c r="A82" s="27">
        <v>42215</v>
      </c>
      <c r="B82" s="29">
        <f>Cours_Hist_figé!B146/Cours_Hist_figé!B82 - 1</f>
        <v>2.6083530148355294E-3</v>
      </c>
      <c r="C82" s="29">
        <f>Cours_Hist_figé!C146/Cours_Hist_figé!C82 - 1</f>
        <v>-1.9646154816647554E-2</v>
      </c>
      <c r="D82" s="29">
        <f>Cours_Hist_figé!D146/Cours_Hist_figé!D82 - 1</f>
        <v>-2.8146387331118294E-4</v>
      </c>
      <c r="E82" s="29">
        <f>Cours_Hist_figé!E146/Cours_Hist_figé!E82 - 1</f>
        <v>-2.8146387331118294E-4</v>
      </c>
    </row>
    <row r="83" spans="1:5" x14ac:dyDescent="0.4">
      <c r="A83" s="27">
        <v>42216</v>
      </c>
      <c r="B83" s="29">
        <f>Cours_Hist_figé!B147/Cours_Hist_figé!B83 - 1</f>
        <v>5.9419868063639303E-3</v>
      </c>
      <c r="C83" s="29">
        <f>Cours_Hist_figé!C147/Cours_Hist_figé!C83 - 1</f>
        <v>-1.5625568540797663E-2</v>
      </c>
      <c r="D83" s="29">
        <f>Cours_Hist_figé!D147/Cours_Hist_figé!D83 - 1</f>
        <v>-2.8266399782728158E-4</v>
      </c>
      <c r="E83" s="29">
        <f>Cours_Hist_figé!E147/Cours_Hist_figé!E83 - 1</f>
        <v>-2.8266399782728158E-4</v>
      </c>
    </row>
    <row r="84" spans="1:5" x14ac:dyDescent="0.4">
      <c r="A84" s="27">
        <v>42219</v>
      </c>
      <c r="B84" s="29">
        <f>Cours_Hist_figé!B148/Cours_Hist_figé!B84 - 1</f>
        <v>1.6798612212413966E-2</v>
      </c>
      <c r="C84" s="29">
        <f>Cours_Hist_figé!C148/Cours_Hist_figé!C84 - 1</f>
        <v>-1.55718970732458E-2</v>
      </c>
      <c r="D84" s="29">
        <f>Cours_Hist_figé!D148/Cours_Hist_figé!D84 - 1</f>
        <v>-2.8816159145439446E-4</v>
      </c>
      <c r="E84" s="29">
        <f>Cours_Hist_figé!E148/Cours_Hist_figé!E84 - 1</f>
        <v>-2.8816159145461651E-4</v>
      </c>
    </row>
    <row r="85" spans="1:5" x14ac:dyDescent="0.4">
      <c r="A85" s="27">
        <v>42220</v>
      </c>
      <c r="B85" s="29">
        <f>Cours_Hist_figé!B149/Cours_Hist_figé!B85 - 1</f>
        <v>2.3026449671383453E-2</v>
      </c>
      <c r="C85" s="29">
        <f>Cours_Hist_figé!C149/Cours_Hist_figé!C85 - 1</f>
        <v>-4.9117153755211529E-3</v>
      </c>
      <c r="D85" s="29">
        <f>Cours_Hist_figé!D149/Cours_Hist_figé!D85 - 1</f>
        <v>-2.8886073748779495E-4</v>
      </c>
      <c r="E85" s="29">
        <f>Cours_Hist_figé!E149/Cours_Hist_figé!E85 - 1</f>
        <v>-2.8886073748779495E-4</v>
      </c>
    </row>
    <row r="86" spans="1:5" x14ac:dyDescent="0.4">
      <c r="A86" s="27">
        <v>42221</v>
      </c>
      <c r="B86" s="29">
        <f>Cours_Hist_figé!B150/Cours_Hist_figé!B86 - 1</f>
        <v>4.2635402775914821E-2</v>
      </c>
      <c r="C86" s="29">
        <f>Cours_Hist_figé!C150/Cours_Hist_figé!C86 - 1</f>
        <v>-4.9414928257809354E-3</v>
      </c>
      <c r="D86" s="29">
        <f>Cours_Hist_figé!D150/Cours_Hist_figé!D86 - 1</f>
        <v>-2.8955232528937724E-4</v>
      </c>
      <c r="E86" s="29">
        <f>Cours_Hist_figé!E150/Cours_Hist_figé!E86 - 1</f>
        <v>-2.8955232528937724E-4</v>
      </c>
    </row>
    <row r="87" spans="1:5" x14ac:dyDescent="0.4">
      <c r="A87" s="27">
        <v>42222</v>
      </c>
      <c r="B87" s="29">
        <f>Cours_Hist_figé!B151/Cours_Hist_figé!B87 - 1</f>
        <v>3.4370316191137062E-2</v>
      </c>
      <c r="C87" s="29">
        <f>Cours_Hist_figé!C151/Cours_Hist_figé!C87 - 1</f>
        <v>-5.8196471152459628E-3</v>
      </c>
      <c r="D87" s="29">
        <f>Cours_Hist_figé!D151/Cours_Hist_figé!D87 - 1</f>
        <v>-2.9015280728250659E-4</v>
      </c>
      <c r="E87" s="29">
        <f>Cours_Hist_figé!E151/Cours_Hist_figé!E87 - 1</f>
        <v>-2.9015280728261761E-4</v>
      </c>
    </row>
    <row r="88" spans="1:5" x14ac:dyDescent="0.4">
      <c r="A88" s="27">
        <v>42223</v>
      </c>
      <c r="B88" s="29">
        <f>Cours_Hist_figé!B152/Cours_Hist_figé!B88 - 1</f>
        <v>-3.1178277264821697E-3</v>
      </c>
      <c r="C88" s="29">
        <f>Cours_Hist_figé!C152/Cours_Hist_figé!C88 - 1</f>
        <v>-7.0416033600512185E-3</v>
      </c>
      <c r="D88" s="29">
        <f>Cours_Hist_figé!D152/Cours_Hist_figé!D88 - 1</f>
        <v>-2.9085961254249337E-4</v>
      </c>
      <c r="E88" s="29">
        <f>Cours_Hist_figé!E152/Cours_Hist_figé!E88 - 1</f>
        <v>-2.9085961254249337E-4</v>
      </c>
    </row>
    <row r="89" spans="1:5" x14ac:dyDescent="0.4">
      <c r="A89" s="27">
        <v>42226</v>
      </c>
      <c r="B89" s="29">
        <f>Cours_Hist_figé!B153/Cours_Hist_figé!B89 - 1</f>
        <v>-1.0071964424485103E-4</v>
      </c>
      <c r="C89" s="29">
        <f>Cours_Hist_figé!C153/Cours_Hist_figé!C89 - 1</f>
        <v>-5.3994649118545013E-3</v>
      </c>
      <c r="D89" s="29">
        <f>Cours_Hist_figé!D153/Cours_Hist_figé!D89 - 1</f>
        <v>-2.9355697893118649E-4</v>
      </c>
      <c r="E89" s="29">
        <f>Cours_Hist_figé!E153/Cours_Hist_figé!E89 - 1</f>
        <v>-2.9355697893107546E-4</v>
      </c>
    </row>
    <row r="90" spans="1:5" x14ac:dyDescent="0.4">
      <c r="A90" s="27">
        <v>42227</v>
      </c>
      <c r="B90" s="29">
        <f>Cours_Hist_figé!B154/Cours_Hist_figé!B90 - 1</f>
        <v>-3.4749452914901724E-3</v>
      </c>
      <c r="C90" s="29">
        <f>Cours_Hist_figé!C154/Cours_Hist_figé!C90 - 1</f>
        <v>3.7347844259529861E-3</v>
      </c>
      <c r="D90" s="29">
        <f>Cours_Hist_figé!D154/Cours_Hist_figé!D90 - 1</f>
        <v>-2.946510109739231E-4</v>
      </c>
      <c r="E90" s="29">
        <f>Cours_Hist_figé!E154/Cours_Hist_figé!E90 - 1</f>
        <v>-2.946510109739231E-4</v>
      </c>
    </row>
    <row r="91" spans="1:5" x14ac:dyDescent="0.4">
      <c r="A91" s="27">
        <v>42228</v>
      </c>
      <c r="B91" s="29">
        <f>Cours_Hist_figé!B155/Cours_Hist_figé!B91 - 1</f>
        <v>-2.8487581522673722E-2</v>
      </c>
      <c r="C91" s="29">
        <f>Cours_Hist_figé!C155/Cours_Hist_figé!C91 - 1</f>
        <v>5.5111274516210784E-3</v>
      </c>
      <c r="D91" s="29">
        <f>Cours_Hist_figé!D155/Cours_Hist_figé!D91 - 1</f>
        <v>-2.9535783609357935E-4</v>
      </c>
      <c r="E91" s="29">
        <f>Cours_Hist_figé!E155/Cours_Hist_figé!E91 - 1</f>
        <v>-2.9535783609346833E-4</v>
      </c>
    </row>
    <row r="92" spans="1:5" x14ac:dyDescent="0.4">
      <c r="A92" s="27">
        <v>42229</v>
      </c>
      <c r="B92" s="29">
        <f>Cours_Hist_figé!B156/Cours_Hist_figé!B92 - 1</f>
        <v>-2.4885841673513931E-2</v>
      </c>
      <c r="C92" s="29">
        <f>Cours_Hist_figé!C156/Cours_Hist_figé!C92 - 1</f>
        <v>4.3038303499740582E-3</v>
      </c>
      <c r="D92" s="29">
        <f>Cours_Hist_figé!D156/Cours_Hist_figé!D92 - 1</f>
        <v>-2.9495656092903833E-4</v>
      </c>
      <c r="E92" s="29">
        <f>Cours_Hist_figé!E156/Cours_Hist_figé!E92 - 1</f>
        <v>-2.9495656092903833E-4</v>
      </c>
    </row>
    <row r="93" spans="1:5" x14ac:dyDescent="0.4">
      <c r="A93" s="27">
        <v>42230</v>
      </c>
      <c r="B93" s="29">
        <f>Cours_Hist_figé!B157/Cours_Hist_figé!B93 - 1</f>
        <v>-2.206877288208986E-2</v>
      </c>
      <c r="C93" s="29">
        <f>Cours_Hist_figé!C157/Cours_Hist_figé!C93 - 1</f>
        <v>-6.2590183422839285E-4</v>
      </c>
      <c r="D93" s="29">
        <f>Cours_Hist_figé!D157/Cours_Hist_figé!D93 - 1</f>
        <v>-2.9455534310052212E-4</v>
      </c>
      <c r="E93" s="29">
        <f>Cours_Hist_figé!E157/Cours_Hist_figé!E93 - 1</f>
        <v>-2.9455534310052212E-4</v>
      </c>
    </row>
    <row r="94" spans="1:5" x14ac:dyDescent="0.4">
      <c r="A94" s="27">
        <v>42233</v>
      </c>
      <c r="B94" s="29">
        <f>Cours_Hist_figé!B158/Cours_Hist_figé!B94 - 1</f>
        <v>-2.4288546236439168E-2</v>
      </c>
      <c r="C94" s="29">
        <f>Cours_Hist_figé!C158/Cours_Hist_figé!C94 - 1</f>
        <v>2.8683234994220097E-3</v>
      </c>
      <c r="D94" s="29">
        <f>Cours_Hist_figé!D158/Cours_Hist_figé!D94 - 1</f>
        <v>-2.9616006799104699E-4</v>
      </c>
      <c r="E94" s="29">
        <f>Cours_Hist_figé!E158/Cours_Hist_figé!E94 - 1</f>
        <v>-2.9616006799082495E-4</v>
      </c>
    </row>
    <row r="95" spans="1:5" x14ac:dyDescent="0.4">
      <c r="A95" s="27">
        <v>42234</v>
      </c>
      <c r="B95" s="29">
        <f>Cours_Hist_figé!B159/Cours_Hist_figé!B95 - 1</f>
        <v>-3.8428110813834904E-2</v>
      </c>
      <c r="C95" s="29">
        <f>Cours_Hist_figé!C159/Cours_Hist_figé!C95 - 1</f>
        <v>-1.4791831719729309E-3</v>
      </c>
      <c r="D95" s="29">
        <f>Cours_Hist_figé!D159/Cours_Hist_figé!D95 - 1</f>
        <v>-2.966544399208848E-4</v>
      </c>
      <c r="E95" s="29">
        <f>Cours_Hist_figé!E159/Cours_Hist_figé!E95 - 1</f>
        <v>-2.9665443992099583E-4</v>
      </c>
    </row>
    <row r="96" spans="1:5" x14ac:dyDescent="0.4">
      <c r="A96" s="27">
        <v>42235</v>
      </c>
      <c r="B96" s="29">
        <f>Cours_Hist_figé!B160/Cours_Hist_figé!B96 - 1</f>
        <v>-5.9868179032713242E-2</v>
      </c>
      <c r="C96" s="29">
        <f>Cours_Hist_figé!C160/Cours_Hist_figé!C96 - 1</f>
        <v>-9.7161449662264143E-4</v>
      </c>
      <c r="D96" s="29">
        <f>Cours_Hist_figé!D160/Cours_Hist_figé!D96 - 1</f>
        <v>-2.9725511012712591E-4</v>
      </c>
      <c r="E96" s="29">
        <f>Cours_Hist_figé!E160/Cours_Hist_figé!E96 - 1</f>
        <v>-2.9725511012690387E-4</v>
      </c>
    </row>
    <row r="97" spans="1:5" x14ac:dyDescent="0.4">
      <c r="A97" s="27">
        <v>42236</v>
      </c>
      <c r="B97" s="29">
        <f>Cours_Hist_figé!B161/Cours_Hist_figé!B97 - 1</f>
        <v>-8.2398644591876624E-2</v>
      </c>
      <c r="C97" s="29">
        <f>Cours_Hist_figé!C161/Cours_Hist_figé!C97 - 1</f>
        <v>1.007497834173865E-3</v>
      </c>
      <c r="D97" s="29">
        <f>Cours_Hist_figé!D161/Cours_Hist_figé!D97 - 1</f>
        <v>-2.9765837748607638E-4</v>
      </c>
      <c r="E97" s="29">
        <f>Cours_Hist_figé!E161/Cours_Hist_figé!E97 - 1</f>
        <v>-2.9765837748596535E-4</v>
      </c>
    </row>
    <row r="98" spans="1:5" x14ac:dyDescent="0.4">
      <c r="A98" s="27">
        <v>42237</v>
      </c>
      <c r="B98" s="29">
        <f>Cours_Hist_figé!B162/Cours_Hist_figé!B98 - 1</f>
        <v>-0.11229016603768271</v>
      </c>
      <c r="C98" s="29">
        <f>Cours_Hist_figé!C162/Cours_Hist_figé!C98 - 1</f>
        <v>-6.6142257054158105E-4</v>
      </c>
      <c r="D98" s="29">
        <f>Cours_Hist_figé!D162/Cours_Hist_figé!D98 - 1</f>
        <v>-2.9805405461136303E-4</v>
      </c>
      <c r="E98" s="29">
        <f>Cours_Hist_figé!E162/Cours_Hist_figé!E98 - 1</f>
        <v>-2.9805405461125201E-4</v>
      </c>
    </row>
    <row r="99" spans="1:5" x14ac:dyDescent="0.4">
      <c r="A99" s="27">
        <v>42240</v>
      </c>
      <c r="B99" s="29">
        <f>Cours_Hist_figé!B163/Cours_Hist_figé!B99 - 1</f>
        <v>-0.15107759519737274</v>
      </c>
      <c r="C99" s="29">
        <f>Cours_Hist_figé!C163/Cours_Hist_figé!C99 - 1</f>
        <v>-2.4544883840592613E-3</v>
      </c>
      <c r="D99" s="29">
        <f>Cours_Hist_figé!D163/Cours_Hist_figé!D99 - 1</f>
        <v>-2.9225791753639818E-4</v>
      </c>
      <c r="E99" s="29">
        <f>Cours_Hist_figé!E163/Cours_Hist_figé!E99 - 1</f>
        <v>-2.9225791753628716E-4</v>
      </c>
    </row>
    <row r="100" spans="1:5" x14ac:dyDescent="0.4">
      <c r="A100" s="27">
        <v>42241</v>
      </c>
      <c r="B100" s="29">
        <f>Cours_Hist_figé!B164/Cours_Hist_figé!B100 - 1</f>
        <v>-0.1273769319187098</v>
      </c>
      <c r="C100" s="29">
        <f>Cours_Hist_figé!C164/Cours_Hist_figé!C100 - 1</f>
        <v>-1.0427014043874028E-2</v>
      </c>
      <c r="D100" s="29">
        <f>Cours_Hist_figé!D164/Cours_Hist_figé!D100 - 1</f>
        <v>-2.927523205425997E-4</v>
      </c>
      <c r="E100" s="29">
        <f>Cours_Hist_figé!E164/Cours_Hist_figé!E100 - 1</f>
        <v>-2.927523205425997E-4</v>
      </c>
    </row>
    <row r="101" spans="1:5" x14ac:dyDescent="0.4">
      <c r="A101" s="27">
        <v>42242</v>
      </c>
      <c r="B101" s="29">
        <f>Cours_Hist_figé!B165/Cours_Hist_figé!B101 - 1</f>
        <v>-0.13912686263054219</v>
      </c>
      <c r="C101" s="29">
        <f>Cours_Hist_figé!C165/Cours_Hist_figé!C101 - 1</f>
        <v>-8.6373949130917893E-3</v>
      </c>
      <c r="D101" s="29">
        <f>Cours_Hist_figé!D165/Cours_Hist_figé!D101 - 1</f>
        <v>-2.9326196988355147E-4</v>
      </c>
      <c r="E101" s="29">
        <f>Cours_Hist_figé!E165/Cours_Hist_figé!E101 - 1</f>
        <v>-2.9326196988355147E-4</v>
      </c>
    </row>
    <row r="102" spans="1:5" x14ac:dyDescent="0.4">
      <c r="A102" s="27">
        <v>42243</v>
      </c>
      <c r="B102" s="29">
        <f>Cours_Hist_figé!B166/Cours_Hist_figé!B102 - 1</f>
        <v>-9.3125349734799356E-2</v>
      </c>
      <c r="C102" s="29">
        <f>Cours_Hist_figé!C166/Cours_Hist_figé!C102 - 1</f>
        <v>-1.0949743196774553E-2</v>
      </c>
      <c r="D102" s="29">
        <f>Cours_Hist_figé!D166/Cours_Hist_figé!D102 - 1</f>
        <v>-2.939613545295261E-4</v>
      </c>
      <c r="E102" s="29">
        <f>Cours_Hist_figé!E166/Cours_Hist_figé!E102 - 1</f>
        <v>-2.9396135452941508E-4</v>
      </c>
    </row>
    <row r="103" spans="1:5" x14ac:dyDescent="0.4">
      <c r="A103" s="27">
        <v>42244</v>
      </c>
      <c r="B103" s="29">
        <f>Cours_Hist_figé!B167/Cours_Hist_figé!B103 - 1</f>
        <v>-9.1571891722531773E-2</v>
      </c>
      <c r="C103" s="29">
        <f>Cours_Hist_figé!C167/Cours_Hist_figé!C103 - 1</f>
        <v>-9.0664345462824203E-3</v>
      </c>
      <c r="D103" s="29">
        <f>Cours_Hist_figé!D167/Cours_Hist_figé!D103 - 1</f>
        <v>-2.9075915633380855E-4</v>
      </c>
      <c r="E103" s="29">
        <f>Cours_Hist_figé!E167/Cours_Hist_figé!E103 - 1</f>
        <v>-2.9075915633380855E-4</v>
      </c>
    </row>
    <row r="104" spans="1:5" x14ac:dyDescent="0.4">
      <c r="A104" s="27">
        <v>42247</v>
      </c>
      <c r="B104" s="29">
        <f>Cours_Hist_figé!B168/Cours_Hist_figé!B104 - 1</f>
        <v>-8.354701328981573E-2</v>
      </c>
      <c r="C104" s="29">
        <f>Cours_Hist_figé!C168/Cours_Hist_figé!C104 - 1</f>
        <v>-3.2479363654444038E-3</v>
      </c>
      <c r="D104" s="29">
        <f>Cours_Hist_figé!D168/Cours_Hist_figé!D104 - 1</f>
        <v>-2.9836042688224929E-4</v>
      </c>
      <c r="E104" s="29">
        <f>Cours_Hist_figé!E168/Cours_Hist_figé!E104 - 1</f>
        <v>-2.9836042688236031E-4</v>
      </c>
    </row>
    <row r="105" spans="1:5" x14ac:dyDescent="0.4">
      <c r="A105" s="27">
        <v>42248</v>
      </c>
      <c r="B105" s="29">
        <f>Cours_Hist_figé!B169/Cours_Hist_figé!B105 - 1</f>
        <v>-0.10794706786097341</v>
      </c>
      <c r="C105" s="29">
        <f>Cours_Hist_figé!C169/Cours_Hist_figé!C105 - 1</f>
        <v>2.1118107491040483E-3</v>
      </c>
      <c r="D105" s="29">
        <f>Cours_Hist_figé!D169/Cours_Hist_figé!D105 - 1</f>
        <v>-2.9805772737723224E-4</v>
      </c>
      <c r="E105" s="29">
        <f>Cours_Hist_figé!E169/Cours_Hist_figé!E105 - 1</f>
        <v>-2.9805772737723224E-4</v>
      </c>
    </row>
    <row r="106" spans="1:5" x14ac:dyDescent="0.4">
      <c r="A106" s="27">
        <v>42249</v>
      </c>
      <c r="B106" s="29">
        <f>Cours_Hist_figé!B170/Cours_Hist_figé!B106 - 1</f>
        <v>-9.8409166520941338E-2</v>
      </c>
      <c r="C106" s="29">
        <f>Cours_Hist_figé!C170/Cours_Hist_figé!C106 - 1</f>
        <v>2.1138603194759131E-3</v>
      </c>
      <c r="D106" s="29">
        <f>Cours_Hist_figé!D170/Cours_Hist_figé!D106 - 1</f>
        <v>-2.9755778926243703E-4</v>
      </c>
      <c r="E106" s="29">
        <f>Cours_Hist_figé!E170/Cours_Hist_figé!E106 - 1</f>
        <v>-2.9755778926254806E-4</v>
      </c>
    </row>
    <row r="107" spans="1:5" x14ac:dyDescent="0.4">
      <c r="A107" s="27">
        <v>42250</v>
      </c>
      <c r="B107" s="29">
        <f>Cours_Hist_figé!B171/Cours_Hist_figé!B107 - 1</f>
        <v>-6.8623687445532933E-2</v>
      </c>
      <c r="C107" s="29">
        <f>Cours_Hist_figé!C171/Cours_Hist_figé!C107 - 1</f>
        <v>7.4690026804924425E-3</v>
      </c>
      <c r="D107" s="29">
        <f>Cours_Hist_figé!D171/Cours_Hist_figé!D107 - 1</f>
        <v>-2.9726279507147346E-4</v>
      </c>
      <c r="E107" s="29">
        <f>Cours_Hist_figé!E171/Cours_Hist_figé!E107 - 1</f>
        <v>-2.9726279507158448E-4</v>
      </c>
    </row>
    <row r="108" spans="1:5" x14ac:dyDescent="0.4">
      <c r="A108" s="27">
        <v>42251</v>
      </c>
      <c r="B108" s="29">
        <f>Cours_Hist_figé!B172/Cours_Hist_figé!B108 - 1</f>
        <v>-8.4207461375420456E-2</v>
      </c>
      <c r="C108" s="29">
        <f>Cours_Hist_figé!C172/Cours_Hist_figé!C108 - 1</f>
        <v>1.2618646654415144E-2</v>
      </c>
      <c r="D108" s="29">
        <f>Cours_Hist_figé!D172/Cours_Hist_figé!D108 - 1</f>
        <v>-2.9105458258227301E-4</v>
      </c>
      <c r="E108" s="29">
        <f>Cours_Hist_figé!E172/Cours_Hist_figé!E108 - 1</f>
        <v>-2.9105458258238404E-4</v>
      </c>
    </row>
    <row r="109" spans="1:5" x14ac:dyDescent="0.4">
      <c r="A109" s="27">
        <v>42254</v>
      </c>
      <c r="B109" s="29">
        <f>Cours_Hist_figé!B173/Cours_Hist_figé!B109 - 1</f>
        <v>-7.599717086388269E-2</v>
      </c>
      <c r="C109" s="29">
        <f>Cours_Hist_figé!C173/Cours_Hist_figé!C109 - 1</f>
        <v>1.5403714890072084E-2</v>
      </c>
      <c r="D109" s="29">
        <f>Cours_Hist_figé!D173/Cours_Hist_figé!D109 - 1</f>
        <v>-2.9865621332714198E-4</v>
      </c>
      <c r="E109" s="29">
        <f>Cours_Hist_figé!E173/Cours_Hist_figé!E109 - 1</f>
        <v>-2.9865621332691994E-4</v>
      </c>
    </row>
    <row r="110" spans="1:5" x14ac:dyDescent="0.4">
      <c r="A110" s="27">
        <v>42255</v>
      </c>
      <c r="B110" s="29">
        <f>Cours_Hist_figé!B174/Cours_Hist_figé!B110 - 1</f>
        <v>-8.1868313006797977E-2</v>
      </c>
      <c r="C110" s="29">
        <f>Cours_Hist_figé!C174/Cours_Hist_figé!C110 - 1</f>
        <v>1.8008887636840276E-2</v>
      </c>
      <c r="D110" s="29">
        <f>Cours_Hist_figé!D174/Cours_Hist_figé!D110 - 1</f>
        <v>-2.9895338751628753E-4</v>
      </c>
      <c r="E110" s="29">
        <f>Cours_Hist_figé!E174/Cours_Hist_figé!E110 - 1</f>
        <v>-2.9895338751628753E-4</v>
      </c>
    </row>
    <row r="111" spans="1:5" x14ac:dyDescent="0.4">
      <c r="A111" s="27">
        <v>42256</v>
      </c>
      <c r="B111" s="29">
        <f>Cours_Hist_figé!B175/Cours_Hist_figé!B111 - 1</f>
        <v>-7.4864601605085568E-2</v>
      </c>
      <c r="C111" s="29">
        <f>Cours_Hist_figé!C175/Cours_Hist_figé!C111 - 1</f>
        <v>1.213806936442352E-2</v>
      </c>
      <c r="D111" s="29">
        <f>Cours_Hist_figé!D175/Cours_Hist_figé!D111 - 1</f>
        <v>-2.9945548578025338E-4</v>
      </c>
      <c r="E111" s="29">
        <f>Cours_Hist_figé!E175/Cours_Hist_figé!E111 - 1</f>
        <v>-2.9945548578025338E-4</v>
      </c>
    </row>
    <row r="112" spans="1:5" x14ac:dyDescent="0.4">
      <c r="A112" s="27">
        <v>42257</v>
      </c>
      <c r="B112" s="29">
        <f>Cours_Hist_figé!B176/Cours_Hist_figé!B112 - 1</f>
        <v>-7.7718510912231364E-2</v>
      </c>
      <c r="C112" s="29">
        <f>Cours_Hist_figé!C176/Cours_Hist_figé!C112 - 1</f>
        <v>1.3091719833434157E-2</v>
      </c>
      <c r="D112" s="29">
        <f>Cours_Hist_figé!D176/Cours_Hist_figé!D112 - 1</f>
        <v>-2.99752605579795E-4</v>
      </c>
      <c r="E112" s="29">
        <f>Cours_Hist_figé!E176/Cours_Hist_figé!E112 - 1</f>
        <v>-2.99752605579795E-4</v>
      </c>
    </row>
    <row r="113" spans="1:5" x14ac:dyDescent="0.4">
      <c r="A113" s="27">
        <v>42258</v>
      </c>
      <c r="B113" s="29">
        <f>Cours_Hist_figé!B177/Cours_Hist_figé!B113 - 1</f>
        <v>-7.2099331335438333E-2</v>
      </c>
      <c r="C113" s="29">
        <f>Cours_Hist_figé!C177/Cours_Hist_figé!C113 - 1</f>
        <v>1.6305696025459948E-2</v>
      </c>
      <c r="D113" s="29">
        <f>Cours_Hist_figé!D177/Cours_Hist_figé!D113 - 1</f>
        <v>-2.930585422462606E-4</v>
      </c>
      <c r="E113" s="29">
        <f>Cours_Hist_figé!E177/Cours_Hist_figé!E113 - 1</f>
        <v>-2.930585422462606E-4</v>
      </c>
    </row>
    <row r="114" spans="1:5" x14ac:dyDescent="0.4">
      <c r="A114" s="27">
        <v>42261</v>
      </c>
      <c r="B114" s="29">
        <f>Cours_Hist_figé!B178/Cours_Hist_figé!B114 - 1</f>
        <v>-8.3490027508441145E-2</v>
      </c>
      <c r="C114" s="29">
        <f>Cours_Hist_figé!C178/Cours_Hist_figé!C114 - 1</f>
        <v>1.5496208374546683E-2</v>
      </c>
      <c r="D114" s="29">
        <f>Cours_Hist_figé!D178/Cours_Hist_figé!D114 - 1</f>
        <v>-3.0055399751127698E-4</v>
      </c>
      <c r="E114" s="29">
        <f>Cours_Hist_figé!E178/Cours_Hist_figé!E114 - 1</f>
        <v>-3.0055399751127698E-4</v>
      </c>
    </row>
    <row r="115" spans="1:5" x14ac:dyDescent="0.4">
      <c r="A115" s="27">
        <v>42262</v>
      </c>
      <c r="B115" s="29">
        <f>Cours_Hist_figé!B179/Cours_Hist_figé!B115 - 1</f>
        <v>-7.175495277287558E-2</v>
      </c>
      <c r="C115" s="29">
        <f>Cours_Hist_figé!C179/Cours_Hist_figé!C115 - 1</f>
        <v>1.1474629118780832E-2</v>
      </c>
      <c r="D115" s="29">
        <f>Cours_Hist_figé!D179/Cours_Hist_figé!D115 - 1</f>
        <v>-3.0095749054226406E-4</v>
      </c>
      <c r="E115" s="29">
        <f>Cours_Hist_figé!E179/Cours_Hist_figé!E115 - 1</f>
        <v>-3.0095749054226406E-4</v>
      </c>
    </row>
    <row r="116" spans="1:5" x14ac:dyDescent="0.4">
      <c r="A116" s="27">
        <v>42263</v>
      </c>
      <c r="B116" s="29">
        <f>Cours_Hist_figé!B180/Cours_Hist_figé!B116 - 1</f>
        <v>-5.861955980762279E-2</v>
      </c>
      <c r="C116" s="29">
        <f>Cours_Hist_figé!C180/Cours_Hist_figé!C116 - 1</f>
        <v>9.6159356388769712E-3</v>
      </c>
      <c r="D116" s="29">
        <f>Cours_Hist_figé!D180/Cours_Hist_figé!D116 - 1</f>
        <v>-3.0175571406410029E-4</v>
      </c>
      <c r="E116" s="29">
        <f>Cours_Hist_figé!E180/Cours_Hist_figé!E116 - 1</f>
        <v>-3.0175571406410029E-4</v>
      </c>
    </row>
    <row r="117" spans="1:5" x14ac:dyDescent="0.4">
      <c r="A117" s="27">
        <v>42264</v>
      </c>
      <c r="B117" s="29">
        <f>Cours_Hist_figé!B181/Cours_Hist_figé!B117 - 1</f>
        <v>-6.3743168180444232E-2</v>
      </c>
      <c r="C117" s="29">
        <f>Cours_Hist_figé!C181/Cours_Hist_figé!C117 - 1</f>
        <v>8.1592852392666781E-3</v>
      </c>
      <c r="D117" s="29">
        <f>Cours_Hist_figé!D181/Cours_Hist_figé!D117 - 1</f>
        <v>-3.0225027359898071E-4</v>
      </c>
      <c r="E117" s="29">
        <f>Cours_Hist_figé!E181/Cours_Hist_figé!E117 - 1</f>
        <v>-3.0225027359909173E-4</v>
      </c>
    </row>
    <row r="118" spans="1:5" x14ac:dyDescent="0.4">
      <c r="A118" s="27">
        <v>42265</v>
      </c>
      <c r="B118" s="29">
        <f>Cours_Hist_figé!B182/Cours_Hist_figé!B118 - 1</f>
        <v>-0.10173201693071254</v>
      </c>
      <c r="C118" s="29">
        <f>Cours_Hist_figé!C182/Cours_Hist_figé!C118 - 1</f>
        <v>1.5546449910112337E-2</v>
      </c>
      <c r="D118" s="29">
        <f>Cours_Hist_figé!D182/Cours_Hist_figé!D118 - 1</f>
        <v>-2.9605712264568762E-4</v>
      </c>
      <c r="E118" s="29">
        <f>Cours_Hist_figé!E182/Cours_Hist_figé!E118 - 1</f>
        <v>-2.9605712264568762E-4</v>
      </c>
    </row>
    <row r="119" spans="1:5" x14ac:dyDescent="0.4">
      <c r="A119" s="27">
        <v>42268</v>
      </c>
      <c r="B119" s="29">
        <f>Cours_Hist_figé!B183/Cours_Hist_figé!B119 - 1</f>
        <v>-0.10425875432429832</v>
      </c>
      <c r="C119" s="29">
        <f>Cours_Hist_figé!C183/Cours_Hist_figé!C119 - 1</f>
        <v>1.3065457145762016E-2</v>
      </c>
      <c r="D119" s="29">
        <f>Cours_Hist_figé!D183/Cours_Hist_figé!D119 - 1</f>
        <v>-3.0425141232426345E-4</v>
      </c>
      <c r="E119" s="29">
        <f>Cours_Hist_figé!E183/Cours_Hist_figé!E119 - 1</f>
        <v>-3.0425141232415243E-4</v>
      </c>
    </row>
    <row r="120" spans="1:5" x14ac:dyDescent="0.4">
      <c r="A120" s="27">
        <v>42269</v>
      </c>
      <c r="B120" s="29">
        <f>Cours_Hist_figé!B184/Cours_Hist_figé!B120 - 1</f>
        <v>-0.12954993319170616</v>
      </c>
      <c r="C120" s="29">
        <f>Cours_Hist_figé!C184/Cours_Hist_figé!C120 - 1</f>
        <v>1.6452858106379198E-2</v>
      </c>
      <c r="D120" s="29">
        <f>Cours_Hist_figé!D184/Cours_Hist_figé!D120 - 1</f>
        <v>-3.048599172174038E-4</v>
      </c>
      <c r="E120" s="29">
        <f>Cours_Hist_figé!E184/Cours_Hist_figé!E120 - 1</f>
        <v>-3.0485991721762584E-4</v>
      </c>
    </row>
    <row r="121" spans="1:5" x14ac:dyDescent="0.4">
      <c r="A121" s="27">
        <v>42270</v>
      </c>
      <c r="B121" s="29">
        <f>Cours_Hist_figé!B185/Cours_Hist_figé!B121 - 1</f>
        <v>-0.12643530806018399</v>
      </c>
      <c r="C121" s="29">
        <f>Cours_Hist_figé!C185/Cours_Hist_figé!C121 - 1</f>
        <v>1.6550065840395645E-2</v>
      </c>
      <c r="D121" s="29">
        <f>Cours_Hist_figé!D185/Cours_Hist_figé!D121 - 1</f>
        <v>-3.0565058032017145E-4</v>
      </c>
      <c r="E121" s="29">
        <f>Cours_Hist_figé!E185/Cours_Hist_figé!E121 - 1</f>
        <v>-3.0565058032028247E-4</v>
      </c>
    </row>
    <row r="122" spans="1:5" x14ac:dyDescent="0.4">
      <c r="A122" s="27">
        <v>42271</v>
      </c>
      <c r="B122" s="29">
        <f>Cours_Hist_figé!B186/Cours_Hist_figé!B122 - 1</f>
        <v>-0.14618748811561133</v>
      </c>
      <c r="C122" s="29">
        <f>Cours_Hist_figé!C186/Cours_Hist_figé!C122 - 1</f>
        <v>1.8886799539039156E-2</v>
      </c>
      <c r="D122" s="29">
        <f>Cours_Hist_figé!D186/Cours_Hist_figé!D122 - 1</f>
        <v>-3.064564631583E-4</v>
      </c>
      <c r="E122" s="29">
        <f>Cours_Hist_figé!E186/Cours_Hist_figé!E122 - 1</f>
        <v>-3.064564631583E-4</v>
      </c>
    </row>
    <row r="123" spans="1:5" x14ac:dyDescent="0.4">
      <c r="A123" s="27">
        <v>42272</v>
      </c>
      <c r="B123" s="29">
        <f>Cours_Hist_figé!B187/Cours_Hist_figé!B123 - 1</f>
        <v>-9.7330315891344332E-2</v>
      </c>
      <c r="C123" s="29">
        <f>Cours_Hist_figé!C187/Cours_Hist_figé!C123 - 1</f>
        <v>1.6251120814963604E-2</v>
      </c>
      <c r="D123" s="29">
        <f>Cours_Hist_figé!D187/Cours_Hist_figé!D123 - 1</f>
        <v>-3.002556763537223E-4</v>
      </c>
      <c r="E123" s="29">
        <f>Cours_Hist_figé!E187/Cours_Hist_figé!E123 - 1</f>
        <v>-3.0025567635383332E-4</v>
      </c>
    </row>
    <row r="124" spans="1:5" x14ac:dyDescent="0.4">
      <c r="A124" s="27">
        <v>42275</v>
      </c>
      <c r="B124" s="29">
        <f>Cours_Hist_figé!B188/Cours_Hist_figé!B124 - 1</f>
        <v>-0.105773859670237</v>
      </c>
      <c r="C124" s="29">
        <f>Cours_Hist_figé!C188/Cours_Hist_figé!C124 - 1</f>
        <v>1.6183293472793903E-2</v>
      </c>
      <c r="D124" s="29">
        <f>Cours_Hist_figé!D188/Cours_Hist_figé!D124 - 1</f>
        <v>-3.0885256983748111E-4</v>
      </c>
      <c r="E124" s="29">
        <f>Cours_Hist_figé!E188/Cours_Hist_figé!E124 - 1</f>
        <v>-3.0885256983737008E-4</v>
      </c>
    </row>
    <row r="125" spans="1:5" x14ac:dyDescent="0.4">
      <c r="A125" s="27">
        <v>42276</v>
      </c>
      <c r="B125" s="29">
        <f>Cours_Hist_figé!B189/Cours_Hist_figé!B125 - 1</f>
        <v>-0.12445453467459833</v>
      </c>
      <c r="C125" s="29">
        <f>Cours_Hist_figé!C189/Cours_Hist_figé!C125 - 1</f>
        <v>1.7380523881524779E-2</v>
      </c>
      <c r="D125" s="29">
        <f>Cours_Hist_figé!D189/Cours_Hist_figé!D125 - 1</f>
        <v>-3.1125266192444379E-4</v>
      </c>
      <c r="E125" s="29">
        <f>Cours_Hist_figé!E189/Cours_Hist_figé!E125 - 1</f>
        <v>-3.1125266192433276E-4</v>
      </c>
    </row>
    <row r="126" spans="1:5" x14ac:dyDescent="0.4">
      <c r="A126" s="27">
        <v>42277</v>
      </c>
      <c r="B126" s="29">
        <f>Cours_Hist_figé!B190/Cours_Hist_figé!B126 - 1</f>
        <v>-9.8634437371831196E-2</v>
      </c>
      <c r="C126" s="29">
        <f>Cours_Hist_figé!C190/Cours_Hist_figé!C126 - 1</f>
        <v>2.0558316808735322E-2</v>
      </c>
      <c r="D126" s="29">
        <f>Cours_Hist_figé!D190/Cours_Hist_figé!D126 - 1</f>
        <v>-3.115498708511355E-4</v>
      </c>
      <c r="E126" s="29">
        <f>Cours_Hist_figé!E190/Cours_Hist_figé!E126 - 1</f>
        <v>-3.115498708511355E-4</v>
      </c>
    </row>
    <row r="127" spans="1:5" x14ac:dyDescent="0.4">
      <c r="A127" s="27">
        <v>42278</v>
      </c>
      <c r="B127" s="29">
        <f>Cours_Hist_figé!B191/Cours_Hist_figé!B127 - 1</f>
        <v>-9.7821746043379676E-2</v>
      </c>
      <c r="C127" s="29">
        <f>Cours_Hist_figé!C191/Cours_Hist_figé!C127 - 1</f>
        <v>1.9472145731111334E-2</v>
      </c>
      <c r="D127" s="29">
        <f>Cours_Hist_figé!D191/Cours_Hist_figé!D127 - 1</f>
        <v>-3.115585219768402E-4</v>
      </c>
      <c r="E127" s="29">
        <f>Cours_Hist_figé!E191/Cours_Hist_figé!E127 - 1</f>
        <v>-3.1155852197695122E-4</v>
      </c>
    </row>
    <row r="128" spans="1:5" x14ac:dyDescent="0.4">
      <c r="A128" s="27">
        <v>42279</v>
      </c>
      <c r="B128" s="29">
        <f>Cours_Hist_figé!B192/Cours_Hist_figé!B128 - 1</f>
        <v>-8.1971500202444814E-2</v>
      </c>
      <c r="C128" s="29">
        <f>Cours_Hist_figé!C192/Cours_Hist_figé!C128 - 1</f>
        <v>2.2729832643025638E-2</v>
      </c>
      <c r="D128" s="29">
        <f>Cours_Hist_figé!D192/Cours_Hist_figé!D128 - 1</f>
        <v>-3.0575237200147765E-4</v>
      </c>
      <c r="E128" s="29">
        <f>Cours_Hist_figé!E192/Cours_Hist_figé!E128 - 1</f>
        <v>-3.0575237200147765E-4</v>
      </c>
    </row>
    <row r="129" spans="1:5" x14ac:dyDescent="0.4">
      <c r="A129" s="27">
        <v>42282</v>
      </c>
      <c r="B129" s="29">
        <f>Cours_Hist_figé!B193/Cours_Hist_figé!B129 - 1</f>
        <v>-3.838940744130126E-2</v>
      </c>
      <c r="C129" s="29">
        <f>Cours_Hist_figé!C193/Cours_Hist_figé!C129 - 1</f>
        <v>1.4874015677613706E-2</v>
      </c>
      <c r="D129" s="29">
        <f>Cours_Hist_figé!D193/Cours_Hist_figé!D129 - 1</f>
        <v>-3.139546238974944E-4</v>
      </c>
      <c r="E129" s="29">
        <f>Cours_Hist_figé!E193/Cours_Hist_figé!E129 - 1</f>
        <v>-3.1395462389738338E-4</v>
      </c>
    </row>
    <row r="130" spans="1:5" x14ac:dyDescent="0.4">
      <c r="A130" s="27">
        <v>42283</v>
      </c>
      <c r="B130" s="29">
        <f>Cours_Hist_figé!B194/Cours_Hist_figé!B130 - 1</f>
        <v>-3.345772711856243E-2</v>
      </c>
      <c r="C130" s="29">
        <f>Cours_Hist_figé!C194/Cours_Hist_figé!C130 - 1</f>
        <v>1.338928559111574E-2</v>
      </c>
      <c r="D130" s="29">
        <f>Cours_Hist_figé!D194/Cours_Hist_figé!D130 - 1</f>
        <v>-3.1465428522259309E-4</v>
      </c>
      <c r="E130" s="29">
        <f>Cours_Hist_figé!E194/Cours_Hist_figé!E130 - 1</f>
        <v>-3.1465428522248207E-4</v>
      </c>
    </row>
    <row r="131" spans="1:5" x14ac:dyDescent="0.4">
      <c r="A131" s="27">
        <v>42284</v>
      </c>
      <c r="B131" s="29">
        <f>Cours_Hist_figé!B195/Cours_Hist_figé!B131 - 1</f>
        <v>-5.1813622155993277E-2</v>
      </c>
      <c r="C131" s="29">
        <f>Cours_Hist_figé!C195/Cours_Hist_figé!C131 - 1</f>
        <v>1.4412161747560992E-2</v>
      </c>
      <c r="D131" s="29">
        <f>Cours_Hist_figé!D195/Cours_Hist_figé!D131 - 1</f>
        <v>-3.1505020049438226E-4</v>
      </c>
      <c r="E131" s="29">
        <f>Cours_Hist_figé!E195/Cours_Hist_figé!E131 - 1</f>
        <v>-3.1505020049427124E-4</v>
      </c>
    </row>
    <row r="132" spans="1:5" x14ac:dyDescent="0.4">
      <c r="A132" s="27">
        <v>42285</v>
      </c>
      <c r="B132" s="29">
        <f>Cours_Hist_figé!B196/Cours_Hist_figé!B132 - 1</f>
        <v>-6.8779481465213843E-2</v>
      </c>
      <c r="C132" s="29">
        <f>Cours_Hist_figé!C196/Cours_Hist_figé!C132 - 1</f>
        <v>1.9711445460350197E-2</v>
      </c>
      <c r="D132" s="29">
        <f>Cours_Hist_figé!D196/Cours_Hist_figé!D132 - 1</f>
        <v>-3.1555246022429984E-4</v>
      </c>
      <c r="E132" s="29">
        <f>Cours_Hist_figé!E196/Cours_Hist_figé!E132 - 1</f>
        <v>-3.1555246022441086E-4</v>
      </c>
    </row>
    <row r="133" spans="1:5" x14ac:dyDescent="0.4">
      <c r="A133" s="27">
        <v>42286</v>
      </c>
      <c r="B133" s="29">
        <f>Cours_Hist_figé!B197/Cours_Hist_figé!B133 - 1</f>
        <v>-8.2835111989555066E-2</v>
      </c>
      <c r="C133" s="29">
        <f>Cours_Hist_figé!C197/Cours_Hist_figé!C133 - 1</f>
        <v>1.749669968336609E-2</v>
      </c>
      <c r="D133" s="29">
        <f>Cours_Hist_figé!D197/Cours_Hist_figé!D133 - 1</f>
        <v>-3.0935142545174266E-4</v>
      </c>
      <c r="E133" s="29">
        <f>Cours_Hist_figé!E197/Cours_Hist_figé!E133 - 1</f>
        <v>-3.0935142545163163E-4</v>
      </c>
    </row>
    <row r="134" spans="1:5" x14ac:dyDescent="0.4">
      <c r="A134" s="27">
        <v>42289</v>
      </c>
      <c r="B134" s="29">
        <f>Cours_Hist_figé!B198/Cours_Hist_figé!B134 - 1</f>
        <v>-8.9955191443407134E-2</v>
      </c>
      <c r="C134" s="29">
        <f>Cours_Hist_figé!C198/Cours_Hist_figé!C134 - 1</f>
        <v>1.7997764682235351E-2</v>
      </c>
      <c r="D134" s="29">
        <f>Cours_Hist_figé!D198/Cours_Hist_figé!D134 - 1</f>
        <v>-3.1785001438777716E-4</v>
      </c>
      <c r="E134" s="29">
        <f>Cours_Hist_figé!E198/Cours_Hist_figé!E134 - 1</f>
        <v>-3.1785001438777716E-4</v>
      </c>
    </row>
    <row r="135" spans="1:5" x14ac:dyDescent="0.4">
      <c r="A135" s="27">
        <v>42290</v>
      </c>
      <c r="B135" s="29">
        <f>Cours_Hist_figé!B199/Cours_Hist_figé!B135 - 1</f>
        <v>-0.10192744565684664</v>
      </c>
      <c r="C135" s="29">
        <f>Cours_Hist_figé!C199/Cours_Hist_figé!C135 - 1</f>
        <v>1.3536370385299312E-2</v>
      </c>
      <c r="D135" s="29">
        <f>Cours_Hist_figé!D199/Cours_Hist_figé!D135 - 1</f>
        <v>-3.1845091864890485E-4</v>
      </c>
      <c r="E135" s="29">
        <f>Cours_Hist_figé!E199/Cours_Hist_figé!E135 - 1</f>
        <v>-3.1845091864890485E-4</v>
      </c>
    </row>
    <row r="136" spans="1:5" x14ac:dyDescent="0.4">
      <c r="A136" s="27">
        <v>42291</v>
      </c>
      <c r="B136" s="29">
        <f>Cours_Hist_figé!B200/Cours_Hist_figé!B136 - 1</f>
        <v>-0.12069175134725552</v>
      </c>
      <c r="C136" s="29">
        <f>Cours_Hist_figé!C200/Cours_Hist_figé!C136 - 1</f>
        <v>1.5253300150148918E-2</v>
      </c>
      <c r="D136" s="29">
        <f>Cours_Hist_figé!D200/Cours_Hist_figé!D136 - 1</f>
        <v>-3.1884688708516684E-4</v>
      </c>
      <c r="E136" s="29">
        <f>Cours_Hist_figé!E200/Cours_Hist_figé!E136 - 1</f>
        <v>-3.1884688708516684E-4</v>
      </c>
    </row>
    <row r="137" spans="1:5" x14ac:dyDescent="0.4">
      <c r="A137" s="27">
        <v>42292</v>
      </c>
      <c r="B137" s="29">
        <f>Cours_Hist_figé!B201/Cours_Hist_figé!B137 - 1</f>
        <v>-0.10828958060982941</v>
      </c>
      <c r="C137" s="29">
        <f>Cours_Hist_figé!C201/Cours_Hist_figé!C137 - 1</f>
        <v>1.1122694456529025E-2</v>
      </c>
      <c r="D137" s="29">
        <f>Cours_Hist_figé!D201/Cours_Hist_figé!D137 - 1</f>
        <v>-3.1915172816543436E-4</v>
      </c>
      <c r="E137" s="29">
        <f>Cours_Hist_figé!E201/Cours_Hist_figé!E137 - 1</f>
        <v>-3.1915172816554538E-4</v>
      </c>
    </row>
    <row r="138" spans="1:5" x14ac:dyDescent="0.4">
      <c r="A138" s="27">
        <v>42293</v>
      </c>
      <c r="B138" s="29">
        <f>Cours_Hist_figé!B202/Cours_Hist_figé!B138 - 1</f>
        <v>-0.10534846486035476</v>
      </c>
      <c r="C138" s="29">
        <f>Cours_Hist_figé!C202/Cours_Hist_figé!C138 - 1</f>
        <v>1.0303193279584955E-2</v>
      </c>
      <c r="D138" s="29">
        <f>Cours_Hist_figé!D202/Cours_Hist_figé!D138 - 1</f>
        <v>-3.1295064969505404E-4</v>
      </c>
      <c r="E138" s="29">
        <f>Cours_Hist_figé!E202/Cours_Hist_figé!E138 - 1</f>
        <v>-3.1295064969505404E-4</v>
      </c>
    </row>
    <row r="139" spans="1:5" x14ac:dyDescent="0.4">
      <c r="A139" s="27">
        <v>42296</v>
      </c>
      <c r="B139" s="29">
        <f>Cours_Hist_figé!B203/Cours_Hist_figé!B139 - 1</f>
        <v>-9.3916131108143452E-2</v>
      </c>
      <c r="C139" s="29">
        <f>Cours_Hist_figé!C203/Cours_Hist_figé!C139 - 1</f>
        <v>1.1523470669974056E-2</v>
      </c>
      <c r="D139" s="29">
        <f>Cours_Hist_figé!D203/Cours_Hist_figé!D139 - 1</f>
        <v>-3.2154813817186767E-4</v>
      </c>
      <c r="E139" s="29">
        <f>Cours_Hist_figé!E203/Cours_Hist_figé!E139 - 1</f>
        <v>-3.2154813817197869E-4</v>
      </c>
    </row>
    <row r="140" spans="1:5" x14ac:dyDescent="0.4">
      <c r="A140" s="27">
        <v>42297</v>
      </c>
      <c r="B140" s="29">
        <f>Cours_Hist_figé!B204/Cours_Hist_figé!B140 - 1</f>
        <v>-9.2400640941448398E-2</v>
      </c>
      <c r="C140" s="29">
        <f>Cours_Hist_figé!C204/Cours_Hist_figé!C140 - 1</f>
        <v>6.9849857264621118E-3</v>
      </c>
      <c r="D140" s="29">
        <f>Cours_Hist_figé!D204/Cours_Hist_figé!D140 - 1</f>
        <v>-3.2205044249467019E-4</v>
      </c>
      <c r="E140" s="29">
        <f>Cours_Hist_figé!E204/Cours_Hist_figé!E140 - 1</f>
        <v>-3.2205044249478121E-4</v>
      </c>
    </row>
    <row r="141" spans="1:5" x14ac:dyDescent="0.4">
      <c r="A141" s="27">
        <v>42298</v>
      </c>
      <c r="B141" s="29">
        <f>Cours_Hist_figé!B205/Cours_Hist_figé!B141 - 1</f>
        <v>-8.7760041444349013E-2</v>
      </c>
      <c r="C141" s="29">
        <f>Cours_Hist_figé!C205/Cours_Hist_figé!C141 - 1</f>
        <v>9.4038720234912443E-3</v>
      </c>
      <c r="D141" s="29">
        <f>Cours_Hist_figé!D205/Cours_Hist_figé!D141 - 1</f>
        <v>-3.226514395214819E-4</v>
      </c>
      <c r="E141" s="29">
        <f>Cours_Hist_figé!E205/Cours_Hist_figé!E141 - 1</f>
        <v>-3.2265143952137088E-4</v>
      </c>
    </row>
    <row r="142" spans="1:5" x14ac:dyDescent="0.4">
      <c r="A142" s="27">
        <v>42299</v>
      </c>
      <c r="B142" s="29">
        <f>Cours_Hist_figé!B206/Cours_Hist_figé!B142 - 1</f>
        <v>-5.9966697817820491E-2</v>
      </c>
      <c r="C142" s="29">
        <f>Cours_Hist_figé!C206/Cours_Hist_figé!C142 - 1</f>
        <v>1.1313012302853531E-2</v>
      </c>
      <c r="D142" s="29">
        <f>Cours_Hist_figé!D206/Cours_Hist_figé!D142 - 1</f>
        <v>-3.2324481690626516E-4</v>
      </c>
      <c r="E142" s="29">
        <f>Cours_Hist_figé!E206/Cours_Hist_figé!E142 - 1</f>
        <v>-3.2324481690604312E-4</v>
      </c>
    </row>
    <row r="143" spans="1:5" x14ac:dyDescent="0.4">
      <c r="A143" s="27">
        <v>42300</v>
      </c>
      <c r="B143" s="29">
        <f>Cours_Hist_figé!B207/Cours_Hist_figé!B143 - 1</f>
        <v>-2.0064895150892936E-2</v>
      </c>
      <c r="C143" s="29">
        <f>Cours_Hist_figé!C207/Cours_Hist_figé!C143 - 1</f>
        <v>1.1680381931420625E-2</v>
      </c>
      <c r="D143" s="29">
        <f>Cours_Hist_figé!D207/Cours_Hist_figé!D143 - 1</f>
        <v>-3.1765094920721548E-4</v>
      </c>
      <c r="E143" s="29">
        <f>Cours_Hist_figé!E207/Cours_Hist_figé!E143 - 1</f>
        <v>-3.1765094920710446E-4</v>
      </c>
    </row>
    <row r="144" spans="1:5" x14ac:dyDescent="0.4">
      <c r="A144" s="27">
        <v>42303</v>
      </c>
      <c r="B144" s="29">
        <f>Cours_Hist_figé!B208/Cours_Hist_figé!B144 - 1</f>
        <v>-3.3982207708751155E-2</v>
      </c>
      <c r="C144" s="29">
        <f>Cours_Hist_figé!C208/Cours_Hist_figé!C144 - 1</f>
        <v>1.2624219283384308E-2</v>
      </c>
      <c r="D144" s="29">
        <f>Cours_Hist_figé!D208/Cours_Hist_figé!D144 - 1</f>
        <v>-3.2564870188156458E-4</v>
      </c>
      <c r="E144" s="29">
        <f>Cours_Hist_figé!E208/Cours_Hist_figé!E144 - 1</f>
        <v>-3.2564870188156458E-4</v>
      </c>
    </row>
    <row r="145" spans="1:5" x14ac:dyDescent="0.4">
      <c r="A145" s="27">
        <v>42304</v>
      </c>
      <c r="B145" s="29">
        <f>Cours_Hist_figé!B209/Cours_Hist_figé!B145 - 1</f>
        <v>-5.3981191739737366E-2</v>
      </c>
      <c r="C145" s="29">
        <f>Cours_Hist_figé!C209/Cours_Hist_figé!C145 - 1</f>
        <v>1.6333539455180235E-2</v>
      </c>
      <c r="D145" s="29">
        <f>Cours_Hist_figé!D209/Cours_Hist_figé!D145 - 1</f>
        <v>-3.2644714102680883E-4</v>
      </c>
      <c r="E145" s="29">
        <f>Cours_Hist_figé!E209/Cours_Hist_figé!E145 - 1</f>
        <v>-3.2644714102703087E-4</v>
      </c>
    </row>
    <row r="146" spans="1:5" x14ac:dyDescent="0.4">
      <c r="A146" s="27">
        <v>42305</v>
      </c>
      <c r="B146" s="29">
        <f>Cours_Hist_figé!B210/Cours_Hist_figé!B146 - 1</f>
        <v>-4.9705605786618534E-2</v>
      </c>
      <c r="C146" s="29">
        <f>Cours_Hist_figé!C210/Cours_Hist_figé!C146 - 1</f>
        <v>1.4336596487199538E-2</v>
      </c>
      <c r="D146" s="29">
        <f>Cours_Hist_figé!D210/Cours_Hist_figé!D146 - 1</f>
        <v>-3.2714682968348896E-4</v>
      </c>
      <c r="E146" s="29">
        <f>Cours_Hist_figé!E210/Cours_Hist_figé!E146 - 1</f>
        <v>-3.27146829683711E-4</v>
      </c>
    </row>
    <row r="147" spans="1:5" x14ac:dyDescent="0.4">
      <c r="A147" s="27">
        <v>42306</v>
      </c>
      <c r="B147" s="29">
        <f>Cours_Hist_figé!B211/Cours_Hist_figé!B147 - 1</f>
        <v>-5.0178653229500658E-2</v>
      </c>
      <c r="C147" s="29">
        <f>Cours_Hist_figé!C211/Cours_Hist_figé!C147 - 1</f>
        <v>8.4471592594055345E-3</v>
      </c>
      <c r="D147" s="29">
        <f>Cours_Hist_figé!D211/Cours_Hist_figé!D147 - 1</f>
        <v>-3.2794527865120937E-4</v>
      </c>
      <c r="E147" s="29">
        <f>Cours_Hist_figé!E211/Cours_Hist_figé!E147 - 1</f>
        <v>-3.2794527865120937E-4</v>
      </c>
    </row>
    <row r="148" spans="1:5" x14ac:dyDescent="0.4">
      <c r="A148" s="27">
        <v>42307</v>
      </c>
      <c r="B148" s="29">
        <f>Cours_Hist_figé!B212/Cours_Hist_figé!B148 - 1</f>
        <v>-5.8410336344560165E-2</v>
      </c>
      <c r="C148" s="29">
        <f>Cours_Hist_figé!C212/Cours_Hist_figé!C148 - 1</f>
        <v>8.4448101188203673E-3</v>
      </c>
      <c r="D148" s="29">
        <f>Cours_Hist_figé!D212/Cours_Hist_figé!D148 - 1</f>
        <v>-3.234521932363732E-4</v>
      </c>
      <c r="E148" s="29">
        <f>Cours_Hist_figé!E212/Cours_Hist_figé!E148 - 1</f>
        <v>-3.234521932363732E-4</v>
      </c>
    </row>
    <row r="149" spans="1:5" x14ac:dyDescent="0.4">
      <c r="A149" s="27">
        <v>42310</v>
      </c>
      <c r="B149" s="29">
        <f>Cours_Hist_figé!B213/Cours_Hist_figé!B149 - 1</f>
        <v>-5.3453420346887714E-2</v>
      </c>
      <c r="C149" s="29">
        <f>Cours_Hist_figé!C213/Cours_Hist_figé!C149 - 1</f>
        <v>5.8085432554981775E-3</v>
      </c>
      <c r="D149" s="29">
        <f>Cours_Hist_figé!D213/Cours_Hist_figé!D149 - 1</f>
        <v>-3.3114629246389082E-4</v>
      </c>
      <c r="E149" s="29">
        <f>Cours_Hist_figé!E213/Cours_Hist_figé!E149 - 1</f>
        <v>-3.3114629246389082E-4</v>
      </c>
    </row>
    <row r="150" spans="1:5" x14ac:dyDescent="0.4">
      <c r="A150" s="27">
        <v>42311</v>
      </c>
      <c r="B150" s="29">
        <f>Cours_Hist_figé!B214/Cours_Hist_figé!B150 - 1</f>
        <v>-6.1577509210422487E-2</v>
      </c>
      <c r="C150" s="29">
        <f>Cours_Hist_figé!C214/Cours_Hist_figé!C150 - 1</f>
        <v>1.0960233316119838E-2</v>
      </c>
      <c r="D150" s="29">
        <f>Cours_Hist_figé!D214/Cours_Hist_figé!D150 - 1</f>
        <v>-3.3164855059553133E-4</v>
      </c>
      <c r="E150" s="29">
        <f>Cours_Hist_figé!E214/Cours_Hist_figé!E150 - 1</f>
        <v>-3.3164855059542031E-4</v>
      </c>
    </row>
    <row r="151" spans="1:5" x14ac:dyDescent="0.4">
      <c r="A151" s="27">
        <v>42312</v>
      </c>
      <c r="B151" s="29">
        <f>Cours_Hist_figé!B215/Cours_Hist_figé!B151 - 1</f>
        <v>-4.9653923015858692E-2</v>
      </c>
      <c r="C151" s="29">
        <f>Cours_Hist_figé!C215/Cours_Hist_figé!C151 - 1</f>
        <v>8.9606263751926818E-3</v>
      </c>
      <c r="D151" s="29">
        <f>Cours_Hist_figé!D215/Cours_Hist_figé!D151 - 1</f>
        <v>-3.3234823469607822E-4</v>
      </c>
      <c r="E151" s="29">
        <f>Cours_Hist_figé!E215/Cours_Hist_figé!E151 - 1</f>
        <v>-3.3234823469618924E-4</v>
      </c>
    </row>
    <row r="152" spans="1:5" x14ac:dyDescent="0.4">
      <c r="A152" s="27">
        <v>42313</v>
      </c>
      <c r="B152" s="29">
        <f>Cours_Hist_figé!B216/Cours_Hist_figé!B152 - 1</f>
        <v>-4.5383780905089766E-2</v>
      </c>
      <c r="C152" s="29">
        <f>Cours_Hist_figé!C216/Cours_Hist_figé!C152 - 1</f>
        <v>5.5025059772806362E-3</v>
      </c>
      <c r="D152" s="29">
        <f>Cours_Hist_figé!D216/Cours_Hist_figé!D152 - 1</f>
        <v>-3.3274421239115615E-4</v>
      </c>
      <c r="E152" s="29">
        <f>Cours_Hist_figé!E216/Cours_Hist_figé!E152 - 1</f>
        <v>-3.3274421239115615E-4</v>
      </c>
    </row>
    <row r="153" spans="1:5" x14ac:dyDescent="0.4">
      <c r="A153" s="27">
        <v>42314</v>
      </c>
      <c r="B153" s="29">
        <f>Cours_Hist_figé!B217/Cours_Hist_figé!B153 - 1</f>
        <v>-4.9349481289322372E-2</v>
      </c>
      <c r="C153" s="29">
        <f>Cours_Hist_figé!C217/Cours_Hist_figé!C153 - 1</f>
        <v>2.166963118675147E-3</v>
      </c>
      <c r="D153" s="29">
        <f>Cours_Hist_figé!D217/Cours_Hist_figé!D153 - 1</f>
        <v>-3.2645162523103899E-4</v>
      </c>
      <c r="E153" s="29">
        <f>Cours_Hist_figé!E217/Cours_Hist_figé!E153 - 1</f>
        <v>-3.2645162523092797E-4</v>
      </c>
    </row>
    <row r="154" spans="1:5" x14ac:dyDescent="0.4">
      <c r="A154" s="27">
        <v>42317</v>
      </c>
      <c r="B154" s="29">
        <f>Cours_Hist_figé!B218/Cours_Hist_figé!B154 - 1</f>
        <v>-4.440752685406979E-2</v>
      </c>
      <c r="C154" s="29">
        <f>Cours_Hist_figé!C218/Cours_Hist_figé!C154 - 1</f>
        <v>-2.3949047363843734E-3</v>
      </c>
      <c r="D154" s="29">
        <f>Cours_Hist_figé!D218/Cours_Hist_figé!D154 - 1</f>
        <v>-3.3435115825619643E-4</v>
      </c>
      <c r="E154" s="29">
        <f>Cours_Hist_figé!E218/Cours_Hist_figé!E154 - 1</f>
        <v>-3.3435115825641848E-4</v>
      </c>
    </row>
    <row r="155" spans="1:5" x14ac:dyDescent="0.4">
      <c r="A155" s="27">
        <v>42318</v>
      </c>
      <c r="B155" s="29">
        <f>Cours_Hist_figé!B219/Cours_Hist_figé!B155 - 1</f>
        <v>-1.7114469437984448E-2</v>
      </c>
      <c r="C155" s="29">
        <f>Cours_Hist_figé!C219/Cours_Hist_figé!C155 - 1</f>
        <v>5.6650025284943339E-4</v>
      </c>
      <c r="D155" s="29">
        <f>Cours_Hist_figé!D219/Cours_Hist_figé!D155 - 1</f>
        <v>-3.3514206814211356E-4</v>
      </c>
      <c r="E155" s="29">
        <f>Cours_Hist_figé!E219/Cours_Hist_figé!E155 - 1</f>
        <v>-3.3514206814211356E-4</v>
      </c>
    </row>
    <row r="156" spans="1:5" x14ac:dyDescent="0.4">
      <c r="A156" s="27">
        <v>42319</v>
      </c>
      <c r="B156" s="29">
        <f>Cours_Hist_figé!B220/Cours_Hist_figé!B156 - 1</f>
        <v>-2.1399019813889031E-2</v>
      </c>
      <c r="C156" s="29">
        <f>Cours_Hist_figé!C220/Cours_Hist_figé!C156 - 1</f>
        <v>3.6303599876048587E-3</v>
      </c>
      <c r="D156" s="29">
        <f>Cours_Hist_figé!D220/Cours_Hist_figé!D156 - 1</f>
        <v>-3.3565204575536356E-4</v>
      </c>
      <c r="E156" s="29">
        <f>Cours_Hist_figé!E220/Cours_Hist_figé!E156 - 1</f>
        <v>-3.3565204575525254E-4</v>
      </c>
    </row>
    <row r="157" spans="1:5" x14ac:dyDescent="0.4">
      <c r="A157" s="27">
        <v>42320</v>
      </c>
      <c r="B157" s="29">
        <f>Cours_Hist_figé!B221/Cours_Hist_figé!B157 - 1</f>
        <v>-3.5313645678548E-2</v>
      </c>
      <c r="C157" s="29">
        <f>Cours_Hist_figé!C221/Cours_Hist_figé!C157 - 1</f>
        <v>5.10576589640932E-3</v>
      </c>
      <c r="D157" s="29">
        <f>Cours_Hist_figé!D221/Cours_Hist_figé!D157 - 1</f>
        <v>-3.3564565940524815E-4</v>
      </c>
      <c r="E157" s="29">
        <f>Cours_Hist_figé!E221/Cours_Hist_figé!E157 - 1</f>
        <v>-3.3564565940524815E-4</v>
      </c>
    </row>
    <row r="158" spans="1:5" x14ac:dyDescent="0.4">
      <c r="A158" s="27">
        <v>42321</v>
      </c>
      <c r="B158" s="29">
        <f>Cours_Hist_figé!B222/Cours_Hist_figé!B158 - 1</f>
        <v>-4.581803305353338E-2</v>
      </c>
      <c r="C158" s="29">
        <f>Cours_Hist_figé!C222/Cours_Hist_figé!C158 - 1</f>
        <v>5.5964520415909824E-3</v>
      </c>
      <c r="D158" s="29">
        <f>Cours_Hist_figé!D222/Cours_Hist_figé!D158 - 1</f>
        <v>-3.2864694171363951E-4</v>
      </c>
      <c r="E158" s="29">
        <f>Cours_Hist_figé!E222/Cours_Hist_figé!E158 - 1</f>
        <v>-3.2864694171375053E-4</v>
      </c>
    </row>
    <row r="159" spans="1:5" x14ac:dyDescent="0.4">
      <c r="A159" s="27">
        <v>42324</v>
      </c>
      <c r="B159" s="29">
        <f>Cours_Hist_figé!B223/Cours_Hist_figé!B159 - 1</f>
        <v>-4.4760609561447118E-2</v>
      </c>
      <c r="C159" s="29">
        <f>Cours_Hist_figé!C223/Cours_Hist_figé!C159 - 1</f>
        <v>7.9788295839502421E-3</v>
      </c>
      <c r="D159" s="29">
        <f>Cours_Hist_figé!D223/Cours_Hist_figé!D159 - 1</f>
        <v>-3.3624281760680219E-4</v>
      </c>
      <c r="E159" s="29">
        <f>Cours_Hist_figé!E223/Cours_Hist_figé!E159 - 1</f>
        <v>-3.3624281760680219E-4</v>
      </c>
    </row>
    <row r="160" spans="1:5" x14ac:dyDescent="0.4">
      <c r="A160" s="27">
        <v>42325</v>
      </c>
      <c r="B160" s="29">
        <f>Cours_Hist_figé!B224/Cours_Hist_figé!B160 - 1</f>
        <v>-2.7551080223794377E-3</v>
      </c>
      <c r="C160" s="29">
        <f>Cours_Hist_figé!C224/Cours_Hist_figé!C160 - 1</f>
        <v>8.6572080987219469E-3</v>
      </c>
      <c r="D160" s="29">
        <f>Cours_Hist_figé!D224/Cours_Hist_figé!D160 - 1</f>
        <v>-3.3654778632996596E-4</v>
      </c>
      <c r="E160" s="29">
        <f>Cours_Hist_figé!E224/Cours_Hist_figé!E160 - 1</f>
        <v>-3.36547786330188E-4</v>
      </c>
    </row>
    <row r="161" spans="1:5" x14ac:dyDescent="0.4">
      <c r="A161" s="27">
        <v>42326</v>
      </c>
      <c r="B161" s="29">
        <f>Cours_Hist_figé!B225/Cours_Hist_figé!B161 - 1</f>
        <v>1.6369173893973965E-2</v>
      </c>
      <c r="C161" s="29">
        <f>Cours_Hist_figé!C225/Cours_Hist_figé!C161 - 1</f>
        <v>9.0205796137923233E-3</v>
      </c>
      <c r="D161" s="29">
        <f>Cours_Hist_figé!D225/Cours_Hist_figé!D161 - 1</f>
        <v>-3.3683750104840371E-4</v>
      </c>
      <c r="E161" s="29">
        <f>Cours_Hist_figé!E225/Cours_Hist_figé!E161 - 1</f>
        <v>-3.3683750104840371E-4</v>
      </c>
    </row>
    <row r="162" spans="1:5" x14ac:dyDescent="0.4">
      <c r="A162" s="27">
        <v>42327</v>
      </c>
      <c r="B162" s="29">
        <f>Cours_Hist_figé!B226/Cours_Hist_figé!B162 - 1</f>
        <v>5.5594278288982446E-2</v>
      </c>
      <c r="C162" s="29">
        <f>Cours_Hist_figé!C226/Cours_Hist_figé!C162 - 1</f>
        <v>1.1127736945791611E-2</v>
      </c>
      <c r="D162" s="29">
        <f>Cours_Hist_figé!D226/Cours_Hist_figé!D162 - 1</f>
        <v>-3.3714240479432167E-4</v>
      </c>
      <c r="E162" s="29">
        <f>Cours_Hist_figé!E226/Cours_Hist_figé!E162 - 1</f>
        <v>-3.3714240479421065E-4</v>
      </c>
    </row>
    <row r="163" spans="1:5" x14ac:dyDescent="0.4">
      <c r="A163" s="27">
        <v>42328</v>
      </c>
      <c r="B163" s="29">
        <f>Cours_Hist_figé!B227/Cours_Hist_figé!B163 - 1</f>
        <v>0.11788227910020699</v>
      </c>
      <c r="C163" s="29">
        <f>Cours_Hist_figé!C227/Cours_Hist_figé!C163 - 1</f>
        <v>1.3290128714228189E-2</v>
      </c>
      <c r="D163" s="29">
        <f>Cours_Hist_figé!D227/Cours_Hist_figé!D163 - 1</f>
        <v>-3.3103943443180128E-4</v>
      </c>
      <c r="E163" s="29">
        <f>Cours_Hist_figé!E227/Cours_Hist_figé!E163 - 1</f>
        <v>-3.3103943443202333E-4</v>
      </c>
    </row>
    <row r="164" spans="1:5" x14ac:dyDescent="0.4">
      <c r="A164" s="27">
        <v>42331</v>
      </c>
      <c r="B164" s="29">
        <f>Cours_Hist_figé!B228/Cours_Hist_figé!B164 - 1</f>
        <v>6.9261281971415789E-2</v>
      </c>
      <c r="C164" s="29">
        <f>Cours_Hist_figé!C228/Cours_Hist_figé!C164 - 1</f>
        <v>1.8463252792455753E-2</v>
      </c>
      <c r="D164" s="29">
        <f>Cours_Hist_figé!D228/Cours_Hist_figé!D164 - 1</f>
        <v>-3.3865071950311965E-4</v>
      </c>
      <c r="E164" s="29">
        <f>Cours_Hist_figé!E228/Cours_Hist_figé!E164 - 1</f>
        <v>-3.3865071950311965E-4</v>
      </c>
    </row>
    <row r="165" spans="1:5" x14ac:dyDescent="0.4">
      <c r="A165" s="27">
        <v>42332</v>
      </c>
      <c r="B165" s="29">
        <f>Cours_Hist_figé!B229/Cours_Hist_figé!B165 - 1</f>
        <v>7.5909862975255704E-2</v>
      </c>
      <c r="C165" s="29">
        <f>Cours_Hist_figé!C229/Cours_Hist_figé!C165 - 1</f>
        <v>1.7877097333164116E-2</v>
      </c>
      <c r="D165" s="29">
        <f>Cours_Hist_figé!D229/Cours_Hist_figé!D165 - 1</f>
        <v>-3.3874311426074222E-4</v>
      </c>
      <c r="E165" s="29">
        <f>Cours_Hist_figé!E229/Cours_Hist_figé!E165 - 1</f>
        <v>-3.387431142606312E-4</v>
      </c>
    </row>
    <row r="166" spans="1:5" x14ac:dyDescent="0.4">
      <c r="A166" s="27">
        <v>42333</v>
      </c>
      <c r="B166" s="29">
        <f>Cours_Hist_figé!B230/Cours_Hist_figé!B166 - 1</f>
        <v>5.3552527559690422E-2</v>
      </c>
      <c r="C166" s="29">
        <f>Cours_Hist_figé!C230/Cours_Hist_figé!C166 - 1</f>
        <v>2.0471435948206995E-2</v>
      </c>
      <c r="D166" s="29">
        <f>Cours_Hist_figé!D230/Cours_Hist_figé!D166 - 1</f>
        <v>-3.3904053851674387E-4</v>
      </c>
      <c r="E166" s="29">
        <f>Cours_Hist_figé!E230/Cours_Hist_figé!E166 - 1</f>
        <v>-3.3904053851685489E-4</v>
      </c>
    </row>
    <row r="167" spans="1:5" x14ac:dyDescent="0.4">
      <c r="A167" s="27">
        <v>42334</v>
      </c>
      <c r="B167" s="29">
        <f>Cours_Hist_figé!B231/Cours_Hist_figé!B167 - 1</f>
        <v>6.0374709845662844E-2</v>
      </c>
      <c r="C167" s="29">
        <f>Cours_Hist_figé!C231/Cours_Hist_figé!C167 - 1</f>
        <v>1.9949501674611847E-2</v>
      </c>
      <c r="D167" s="29">
        <f>Cours_Hist_figé!D231/Cours_Hist_figé!D167 - 1</f>
        <v>-3.3924678858410218E-4</v>
      </c>
      <c r="E167" s="29">
        <f>Cours_Hist_figé!E231/Cours_Hist_figé!E167 - 1</f>
        <v>-3.3924678858399115E-4</v>
      </c>
    </row>
    <row r="168" spans="1:5" x14ac:dyDescent="0.4">
      <c r="A168" s="27">
        <v>42335</v>
      </c>
      <c r="B168" s="29">
        <f>Cours_Hist_figé!B232/Cours_Hist_figé!B168 - 1</f>
        <v>5.9595528808436882E-2</v>
      </c>
      <c r="C168" s="29">
        <f>Cours_Hist_figé!C232/Cours_Hist_figé!C168 - 1</f>
        <v>2.3319259114599422E-2</v>
      </c>
      <c r="D168" s="29">
        <f>Cours_Hist_figé!D232/Cours_Hist_figé!D168 - 1</f>
        <v>-3.32642614644163E-4</v>
      </c>
      <c r="E168" s="29">
        <f>Cours_Hist_figé!E232/Cours_Hist_figé!E168 - 1</f>
        <v>-3.32642614644163E-4</v>
      </c>
    </row>
    <row r="169" spans="1:5" x14ac:dyDescent="0.4">
      <c r="A169" s="27">
        <v>42338</v>
      </c>
      <c r="B169" s="29">
        <f>Cours_Hist_figé!B233/Cours_Hist_figé!B169 - 1</f>
        <v>9.4428097221116447E-2</v>
      </c>
      <c r="C169" s="29">
        <f>Cours_Hist_figé!C233/Cours_Hist_figé!C169 - 1</f>
        <v>2.3626026049469395E-2</v>
      </c>
      <c r="D169" s="29">
        <f>Cours_Hist_figé!D233/Cours_Hist_figé!D169 - 1</f>
        <v>-3.4104385257505143E-4</v>
      </c>
      <c r="E169" s="29">
        <f>Cours_Hist_figé!E233/Cours_Hist_figé!E169 - 1</f>
        <v>-3.4104385257516245E-4</v>
      </c>
    </row>
    <row r="170" spans="1:5" x14ac:dyDescent="0.4">
      <c r="A170" s="27">
        <v>42339</v>
      </c>
      <c r="B170" s="29">
        <f>Cours_Hist_figé!B234/Cours_Hist_figé!B170 - 1</f>
        <v>8.8051347438030669E-2</v>
      </c>
      <c r="C170" s="29">
        <f>Cours_Hist_figé!C234/Cours_Hist_figé!C170 - 1</f>
        <v>2.3602903289419164E-2</v>
      </c>
      <c r="D170" s="29">
        <f>Cours_Hist_figé!D234/Cours_Hist_figé!D170 - 1</f>
        <v>-3.4104504669385527E-4</v>
      </c>
      <c r="E170" s="29">
        <f>Cours_Hist_figé!E234/Cours_Hist_figé!E170 - 1</f>
        <v>-3.4104504669374425E-4</v>
      </c>
    </row>
    <row r="171" spans="1:5" x14ac:dyDescent="0.4">
      <c r="A171" s="27">
        <v>42340</v>
      </c>
      <c r="B171" s="29">
        <f>Cours_Hist_figé!B235/Cours_Hist_figé!B171 - 1</f>
        <v>6.2571475766449725E-2</v>
      </c>
      <c r="C171" s="29">
        <f>Cours_Hist_figé!C235/Cours_Hist_figé!C171 - 1</f>
        <v>2.1046930583729972E-2</v>
      </c>
      <c r="D171" s="29">
        <f>Cours_Hist_figé!D235/Cours_Hist_figé!D171 - 1</f>
        <v>-3.4113738294716534E-4</v>
      </c>
      <c r="E171" s="29">
        <f>Cours_Hist_figé!E235/Cours_Hist_figé!E171 - 1</f>
        <v>-3.4113738294716534E-4</v>
      </c>
    </row>
    <row r="172" spans="1:5" x14ac:dyDescent="0.4">
      <c r="A172" s="27">
        <v>42341</v>
      </c>
      <c r="B172" s="29">
        <f>Cours_Hist_figé!B236/Cours_Hist_figé!B172 - 1</f>
        <v>5.566701295493659E-2</v>
      </c>
      <c r="C172" s="29">
        <f>Cours_Hist_figé!C236/Cours_Hist_figé!C172 - 1</f>
        <v>7.3862043526373711E-3</v>
      </c>
      <c r="D172" s="29">
        <f>Cours_Hist_figé!D236/Cours_Hist_figé!D172 - 1</f>
        <v>-3.4144234924604611E-4</v>
      </c>
      <c r="E172" s="29">
        <f>Cours_Hist_figé!E236/Cours_Hist_figé!E172 - 1</f>
        <v>-3.4144234924604611E-4</v>
      </c>
    </row>
    <row r="173" spans="1:5" x14ac:dyDescent="0.4">
      <c r="A173" s="27">
        <v>42342</v>
      </c>
      <c r="B173" s="29">
        <f>Cours_Hist_figé!B237/Cours_Hist_figé!B173 - 1</f>
        <v>4.5997470759020276E-2</v>
      </c>
      <c r="C173" s="29">
        <f>Cours_Hist_figé!C237/Cours_Hist_figé!C173 - 1</f>
        <v>7.5392291872495854E-3</v>
      </c>
      <c r="D173" s="29">
        <f>Cours_Hist_figé!D237/Cours_Hist_figé!D173 - 1</f>
        <v>-3.3414706962919816E-4</v>
      </c>
      <c r="E173" s="29">
        <f>Cours_Hist_figé!E237/Cours_Hist_figé!E173 - 1</f>
        <v>-3.3414706962919816E-4</v>
      </c>
    </row>
    <row r="174" spans="1:5" x14ac:dyDescent="0.4">
      <c r="A174" s="27">
        <v>42345</v>
      </c>
      <c r="B174" s="29">
        <f>Cours_Hist_figé!B238/Cours_Hist_figé!B174 - 1</f>
        <v>3.8629188557960825E-2</v>
      </c>
      <c r="C174" s="29">
        <f>Cours_Hist_figé!C238/Cours_Hist_figé!C174 - 1</f>
        <v>1.1832627172267962E-2</v>
      </c>
      <c r="D174" s="29">
        <f>Cours_Hist_figé!D238/Cours_Hist_figé!D174 - 1</f>
        <v>-3.4184239386314541E-4</v>
      </c>
      <c r="E174" s="29">
        <f>Cours_Hist_figé!E238/Cours_Hist_figé!E174 - 1</f>
        <v>-3.4184239386314541E-4</v>
      </c>
    </row>
    <row r="175" spans="1:5" x14ac:dyDescent="0.4">
      <c r="A175" s="27">
        <v>42346</v>
      </c>
      <c r="B175" s="29">
        <f>Cours_Hist_figé!B239/Cours_Hist_figé!B175 - 1</f>
        <v>6.340438773922541E-3</v>
      </c>
      <c r="C175" s="29">
        <f>Cours_Hist_figé!C239/Cours_Hist_figé!C175 - 1</f>
        <v>1.3478800850928563E-2</v>
      </c>
      <c r="D175" s="29">
        <f>Cours_Hist_figé!D239/Cours_Hist_figé!D175 - 1</f>
        <v>-3.4204113726565843E-4</v>
      </c>
      <c r="E175" s="29">
        <f>Cours_Hist_figé!E239/Cours_Hist_figé!E175 - 1</f>
        <v>-3.4204113726576946E-4</v>
      </c>
    </row>
    <row r="176" spans="1:5" x14ac:dyDescent="0.4">
      <c r="A176" s="27">
        <v>42347</v>
      </c>
      <c r="B176" s="29">
        <f>Cours_Hist_figé!B240/Cours_Hist_figé!B176 - 1</f>
        <v>1.4670842724584965E-2</v>
      </c>
      <c r="C176" s="29">
        <f>Cours_Hist_figé!C240/Cours_Hist_figé!C176 - 1</f>
        <v>1.1677879872850294E-2</v>
      </c>
      <c r="D176" s="29">
        <f>Cours_Hist_figé!D240/Cours_Hist_figé!D176 - 1</f>
        <v>-3.4254366320896068E-4</v>
      </c>
      <c r="E176" s="29">
        <f>Cours_Hist_figé!E240/Cours_Hist_figé!E176 - 1</f>
        <v>-3.425436632090717E-4</v>
      </c>
    </row>
    <row r="177" spans="1:5" x14ac:dyDescent="0.4">
      <c r="A177" s="27">
        <v>42348</v>
      </c>
      <c r="B177" s="29">
        <f>Cours_Hist_figé!B241/Cours_Hist_figé!B177 - 1</f>
        <v>2.2189616349915342E-2</v>
      </c>
      <c r="C177" s="29">
        <f>Cours_Hist_figé!C241/Cours_Hist_figé!C177 - 1</f>
        <v>1.202357921646291E-2</v>
      </c>
      <c r="D177" s="29">
        <f>Cours_Hist_figé!D241/Cours_Hist_figé!D177 - 1</f>
        <v>-3.4534763274673974E-4</v>
      </c>
      <c r="E177" s="29">
        <f>Cours_Hist_figé!E241/Cours_Hist_figé!E177 - 1</f>
        <v>-3.4534763274673974E-4</v>
      </c>
    </row>
    <row r="178" spans="1:5" x14ac:dyDescent="0.4">
      <c r="A178" s="27">
        <v>42349</v>
      </c>
      <c r="B178" s="29">
        <f>Cours_Hist_figé!B242/Cours_Hist_figé!B178 - 1</f>
        <v>6.6129989295660163E-3</v>
      </c>
      <c r="C178" s="29">
        <f>Cours_Hist_figé!C242/Cours_Hist_figé!C178 - 1</f>
        <v>1.3291870467195155E-2</v>
      </c>
      <c r="D178" s="29">
        <f>Cours_Hist_figé!D242/Cours_Hist_figé!D178 - 1</f>
        <v>-3.4094598337208737E-4</v>
      </c>
      <c r="E178" s="29">
        <f>Cours_Hist_figé!E242/Cours_Hist_figé!E178 - 1</f>
        <v>-3.4094598337197635E-4</v>
      </c>
    </row>
    <row r="179" spans="1:5" x14ac:dyDescent="0.4">
      <c r="A179" s="27">
        <v>42352</v>
      </c>
      <c r="B179" s="29">
        <f>Cours_Hist_figé!B243/Cours_Hist_figé!B179 - 1</f>
        <v>-1.9696664077353154E-2</v>
      </c>
      <c r="C179" s="29">
        <f>Cours_Hist_figé!C243/Cours_Hist_figé!C179 - 1</f>
        <v>1.4164811670275057E-2</v>
      </c>
      <c r="D179" s="29">
        <f>Cours_Hist_figé!D243/Cours_Hist_figé!D179 - 1</f>
        <v>-3.5623707884824274E-4</v>
      </c>
      <c r="E179" s="29">
        <f>Cours_Hist_figé!E243/Cours_Hist_figé!E179 - 1</f>
        <v>-3.5623707884813172E-4</v>
      </c>
    </row>
    <row r="180" spans="1:5" x14ac:dyDescent="0.4">
      <c r="A180" s="27">
        <v>42353</v>
      </c>
      <c r="B180" s="29">
        <f>Cours_Hist_figé!B244/Cours_Hist_figé!B180 - 1</f>
        <v>-6.8497347041605039E-3</v>
      </c>
      <c r="C180" s="29">
        <f>Cours_Hist_figé!C244/Cours_Hist_figé!C180 - 1</f>
        <v>1.1480897716062088E-2</v>
      </c>
      <c r="D180" s="29">
        <f>Cours_Hist_figé!D244/Cours_Hist_figé!D180 - 1</f>
        <v>-3.5873739990910369E-4</v>
      </c>
      <c r="E180" s="29">
        <f>Cours_Hist_figé!E244/Cours_Hist_figé!E180 - 1</f>
        <v>-3.5873739990921472E-4</v>
      </c>
    </row>
    <row r="181" spans="1:5" x14ac:dyDescent="0.4">
      <c r="A181" s="27">
        <v>42354</v>
      </c>
      <c r="B181" s="29">
        <f>Cours_Hist_figé!B245/Cours_Hist_figé!B181 - 1</f>
        <v>-2.3117373595387125E-3</v>
      </c>
      <c r="C181" s="29">
        <f>Cours_Hist_figé!C245/Cours_Hist_figé!C181 - 1</f>
        <v>1.1324110454243863E-2</v>
      </c>
      <c r="D181" s="29">
        <f>Cours_Hist_figé!D245/Cours_Hist_figé!D181 - 1</f>
        <v>-3.6154152757783553E-4</v>
      </c>
      <c r="E181" s="29">
        <f>Cours_Hist_figé!E245/Cours_Hist_figé!E181 - 1</f>
        <v>-3.6154152757783553E-4</v>
      </c>
    </row>
    <row r="182" spans="1:5" x14ac:dyDescent="0.4">
      <c r="A182" s="27">
        <v>42355</v>
      </c>
      <c r="B182" s="29">
        <f>Cours_Hist_figé!B246/Cours_Hist_figé!B182 - 1</f>
        <v>2.9288766105639796E-2</v>
      </c>
      <c r="C182" s="29">
        <f>Cours_Hist_figé!C246/Cours_Hist_figé!C182 - 1</f>
        <v>8.3782803913203807E-3</v>
      </c>
      <c r="D182" s="29">
        <f>Cours_Hist_figé!D246/Cours_Hist_figé!D182 - 1</f>
        <v>-3.6443682649778264E-4</v>
      </c>
      <c r="E182" s="29">
        <f>Cours_Hist_figé!E246/Cours_Hist_figé!E182 - 1</f>
        <v>-3.6443682649778264E-4</v>
      </c>
    </row>
    <row r="183" spans="1:5" x14ac:dyDescent="0.4">
      <c r="A183" s="27">
        <v>42356</v>
      </c>
      <c r="B183" s="29">
        <f>Cours_Hist_figé!B247/Cours_Hist_figé!B183 - 1</f>
        <v>1.0109997283753724E-2</v>
      </c>
      <c r="C183" s="29">
        <f>Cours_Hist_figé!C247/Cours_Hist_figé!C183 - 1</f>
        <v>1.2183500536353975E-2</v>
      </c>
      <c r="D183" s="29">
        <f>Cours_Hist_figé!D247/Cours_Hist_figé!D183 - 1</f>
        <v>-3.5933678740129871E-4</v>
      </c>
      <c r="E183" s="29">
        <f>Cours_Hist_figé!E247/Cours_Hist_figé!E183 - 1</f>
        <v>-3.5933678740129871E-4</v>
      </c>
    </row>
    <row r="184" spans="1:5" x14ac:dyDescent="0.4">
      <c r="A184" s="27">
        <v>42359</v>
      </c>
      <c r="B184" s="29">
        <f>Cours_Hist_figé!B248/Cours_Hist_figé!B184 - 1</f>
        <v>3.1459254649673918E-2</v>
      </c>
      <c r="C184" s="29">
        <f>Cours_Hist_figé!C248/Cours_Hist_figé!C184 - 1</f>
        <v>8.232368800036749E-3</v>
      </c>
      <c r="D184" s="29">
        <f>Cours_Hist_figé!D248/Cours_Hist_figé!D184 - 1</f>
        <v>-3.7503097913571537E-4</v>
      </c>
      <c r="E184" s="29">
        <f>Cours_Hist_figé!E248/Cours_Hist_figé!E184 - 1</f>
        <v>-3.7503097913571537E-4</v>
      </c>
    </row>
    <row r="185" spans="1:5" x14ac:dyDescent="0.4">
      <c r="A185" s="27">
        <v>42360</v>
      </c>
      <c r="B185" s="29">
        <f>Cours_Hist_figé!B249/Cours_Hist_figé!B185 - 1</f>
        <v>3.0138003555188586E-2</v>
      </c>
      <c r="C185" s="29">
        <f>Cours_Hist_figé!C249/Cours_Hist_figé!C185 - 1</f>
        <v>5.9407888762197381E-3</v>
      </c>
      <c r="D185" s="29">
        <f>Cours_Hist_figé!D249/Cours_Hist_figé!D185 - 1</f>
        <v>-3.7753144143870543E-4</v>
      </c>
      <c r="E185" s="29">
        <f>Cours_Hist_figé!E249/Cours_Hist_figé!E185 - 1</f>
        <v>-3.7753144143870543E-4</v>
      </c>
    </row>
    <row r="186" spans="1:5" x14ac:dyDescent="0.4">
      <c r="A186" s="27">
        <v>42361</v>
      </c>
      <c r="B186" s="29">
        <f>Cours_Hist_figé!B250/Cours_Hist_figé!B186 - 1</f>
        <v>8.1521558341682399E-2</v>
      </c>
      <c r="C186" s="29">
        <f>Cours_Hist_figé!C250/Cours_Hist_figé!C186 - 1</f>
        <v>3.5183711005175589E-3</v>
      </c>
      <c r="D186" s="29">
        <f>Cours_Hist_figé!D250/Cours_Hist_figé!D186 - 1</f>
        <v>-3.7992562274968833E-4</v>
      </c>
      <c r="E186" s="29">
        <f>Cours_Hist_figé!E250/Cours_Hist_figé!E186 - 1</f>
        <v>-3.7992562274946629E-4</v>
      </c>
    </row>
    <row r="187" spans="1:5" x14ac:dyDescent="0.4">
      <c r="A187" s="27">
        <v>42362</v>
      </c>
      <c r="B187" s="29">
        <f>Cours_Hist_figé!B251/Cours_Hist_figé!B187 - 1</f>
        <v>5.1242038565681103E-2</v>
      </c>
      <c r="C187" s="29">
        <f>Cours_Hist_figé!C251/Cours_Hist_figé!C187 - 1</f>
        <v>6.5749842022482241E-3</v>
      </c>
      <c r="D187" s="29">
        <f>Cours_Hist_figé!D251/Cours_Hist_figé!D187 - 1</f>
        <v>-3.8243375744928532E-4</v>
      </c>
      <c r="E187" s="29">
        <f>Cours_Hist_figé!E251/Cours_Hist_figé!E187 - 1</f>
        <v>-3.8243375744917429E-4</v>
      </c>
    </row>
    <row r="188" spans="1:5" x14ac:dyDescent="0.4">
      <c r="A188" s="27">
        <v>42367</v>
      </c>
      <c r="B188" s="29">
        <f>Cours_Hist_figé!B252/Cours_Hist_figé!B188 - 1</f>
        <v>8.5433174632548736E-2</v>
      </c>
      <c r="C188" s="29">
        <f>Cours_Hist_figé!C252/Cours_Hist_figé!C188 - 1</f>
        <v>5.420475077557052E-3</v>
      </c>
      <c r="D188" s="29">
        <f>Cours_Hist_figé!D252/Cours_Hist_figé!D188 - 1</f>
        <v>-4.0422334704137697E-4</v>
      </c>
      <c r="E188" s="29">
        <f>Cours_Hist_figé!E252/Cours_Hist_figé!E188 - 1</f>
        <v>-4.0422334704148799E-4</v>
      </c>
    </row>
    <row r="189" spans="1:5" x14ac:dyDescent="0.4">
      <c r="A189" s="27">
        <v>42368</v>
      </c>
      <c r="B189" s="29">
        <f>Cours_Hist_figé!B253/Cours_Hist_figé!B189 - 1</f>
        <v>8.5957713836199545E-2</v>
      </c>
      <c r="C189" s="29">
        <f>Cours_Hist_figé!C253/Cours_Hist_figé!C189 - 1</f>
        <v>5.8660712933211734E-3</v>
      </c>
      <c r="D189" s="29">
        <f>Cours_Hist_figé!D253/Cours_Hist_figé!D189 - 1</f>
        <v>-4.0632148173569416E-4</v>
      </c>
      <c r="E189" s="29">
        <f>Cours_Hist_figé!E253/Cours_Hist_figé!E189 - 1</f>
        <v>-4.0632148173580518E-4</v>
      </c>
    </row>
    <row r="190" spans="1:5" x14ac:dyDescent="0.4">
      <c r="A190" s="27">
        <v>42369</v>
      </c>
      <c r="B190" s="29">
        <f>Cours_Hist_figé!B254/Cours_Hist_figé!B190 - 1</f>
        <v>5.3149931224208968E-2</v>
      </c>
      <c r="C190" s="29">
        <f>Cours_Hist_figé!C254/Cours_Hist_figé!C190 - 1</f>
        <v>5.4269610279935598E-3</v>
      </c>
      <c r="D190" s="29">
        <f>Cours_Hist_figé!D254/Cours_Hist_figé!D190 - 1</f>
        <v>-4.0652047972056238E-4</v>
      </c>
      <c r="E190" s="29">
        <f>Cours_Hist_figé!E254/Cours_Hist_figé!E190 - 1</f>
        <v>-4.065204797206734E-4</v>
      </c>
    </row>
    <row r="191" spans="1:5" x14ac:dyDescent="0.4">
      <c r="A191" s="27">
        <v>42373</v>
      </c>
      <c r="B191" s="29">
        <f>Cours_Hist_figé!B255/Cours_Hist_figé!B191 - 1</f>
        <v>3.1120940773886829E-2</v>
      </c>
      <c r="C191" s="29">
        <f>Cours_Hist_figé!C255/Cours_Hist_figé!C191 - 1</f>
        <v>5.8281470924106404E-3</v>
      </c>
      <c r="D191" s="29">
        <f>Cours_Hist_figé!D255/Cours_Hist_figé!D191 - 1</f>
        <v>-4.1720941237188836E-4</v>
      </c>
      <c r="E191" s="29">
        <f>Cours_Hist_figé!E255/Cours_Hist_figé!E191 - 1</f>
        <v>-4.1720941237188836E-4</v>
      </c>
    </row>
    <row r="192" spans="1:5" x14ac:dyDescent="0.4">
      <c r="A192" s="27">
        <v>42374</v>
      </c>
      <c r="B192" s="29">
        <f>Cours_Hist_figé!B256/Cours_Hist_figé!B192 - 1</f>
        <v>3.2467782435061654E-2</v>
      </c>
      <c r="C192" s="29">
        <f>Cours_Hist_figé!C256/Cours_Hist_figé!C192 - 1</f>
        <v>4.8148635146576524E-3</v>
      </c>
      <c r="D192" s="29">
        <f>Cours_Hist_figé!D256/Cours_Hist_figé!D192 - 1</f>
        <v>-4.2001396709356875E-4</v>
      </c>
      <c r="E192" s="29">
        <f>Cours_Hist_figé!E256/Cours_Hist_figé!E192 - 1</f>
        <v>-4.2001396709334671E-4</v>
      </c>
    </row>
    <row r="193" spans="1:5" x14ac:dyDescent="0.4">
      <c r="A193" s="27">
        <v>42375</v>
      </c>
      <c r="B193" s="29">
        <f>Cours_Hist_figé!B257/Cours_Hist_figé!B193 - 1</f>
        <v>-1.1207154996836666E-2</v>
      </c>
      <c r="C193" s="29">
        <f>Cours_Hist_figé!C257/Cours_Hist_figé!C193 - 1</f>
        <v>8.5505699260968182E-3</v>
      </c>
      <c r="D193" s="29">
        <f>Cours_Hist_figé!D257/Cours_Hist_figé!D193 - 1</f>
        <v>-4.1541560140201383E-4</v>
      </c>
      <c r="E193" s="29">
        <f>Cours_Hist_figé!E257/Cours_Hist_figé!E193 - 1</f>
        <v>-4.1541560140201383E-4</v>
      </c>
    </row>
    <row r="194" spans="1:5" x14ac:dyDescent="0.4">
      <c r="A194" s="27">
        <v>42376</v>
      </c>
      <c r="B194" s="29">
        <f>Cours_Hist_figé!B258/Cours_Hist_figé!B194 - 1</f>
        <v>-3.9244954178529134E-2</v>
      </c>
      <c r="C194" s="29">
        <f>Cours_Hist_figé!C258/Cours_Hist_figé!C194 - 1</f>
        <v>6.8589093976934024E-3</v>
      </c>
      <c r="D194" s="29">
        <f>Cours_Hist_figé!D258/Cours_Hist_figé!D194 - 1</f>
        <v>-4.1841014036825275E-4</v>
      </c>
      <c r="E194" s="29">
        <f>Cours_Hist_figé!E258/Cours_Hist_figé!E194 - 1</f>
        <v>-4.1841014036836377E-4</v>
      </c>
    </row>
    <row r="195" spans="1:5" x14ac:dyDescent="0.4">
      <c r="A195" s="27">
        <v>42377</v>
      </c>
      <c r="B195" s="29">
        <f>Cours_Hist_figé!B259/Cours_Hist_figé!B195 - 1</f>
        <v>-5.6571582349454808E-2</v>
      </c>
      <c r="C195" s="29">
        <f>Cours_Hist_figé!C259/Cours_Hist_figé!C195 - 1</f>
        <v>8.3269273583439496E-3</v>
      </c>
      <c r="D195" s="29">
        <f>Cours_Hist_figé!D259/Cours_Hist_figé!D195 - 1</f>
        <v>-4.2121467126610135E-4</v>
      </c>
      <c r="E195" s="29">
        <f>Cours_Hist_figé!E259/Cours_Hist_figé!E195 - 1</f>
        <v>-4.2121467126621237E-4</v>
      </c>
    </row>
    <row r="196" spans="1:5" x14ac:dyDescent="0.4">
      <c r="A196" s="27">
        <v>42380</v>
      </c>
      <c r="B196" s="29">
        <f>Cours_Hist_figé!B260/Cours_Hist_figé!B196 - 1</f>
        <v>-6.1643055066065489E-2</v>
      </c>
      <c r="C196" s="29">
        <f>Cours_Hist_figé!C260/Cours_Hist_figé!C196 - 1</f>
        <v>5.9953749365209141E-3</v>
      </c>
      <c r="D196" s="29">
        <f>Cours_Hist_figé!D260/Cours_Hist_figé!D196 - 1</f>
        <v>-4.3691004050594451E-4</v>
      </c>
      <c r="E196" s="29">
        <f>Cours_Hist_figé!E260/Cours_Hist_figé!E196 - 1</f>
        <v>-4.3691004050594451E-4</v>
      </c>
    </row>
    <row r="197" spans="1:5" x14ac:dyDescent="0.4">
      <c r="A197" s="27">
        <v>42381</v>
      </c>
      <c r="B197" s="29">
        <f>Cours_Hist_figé!B261/Cours_Hist_figé!B197 - 1</f>
        <v>-5.6786939413812298E-2</v>
      </c>
      <c r="C197" s="29">
        <f>Cours_Hist_figé!C261/Cours_Hist_figé!C197 - 1</f>
        <v>6.5341715710405257E-3</v>
      </c>
      <c r="D197" s="29">
        <f>Cours_Hist_figé!D261/Cours_Hist_figé!D197 - 1</f>
        <v>-4.3970710834906335E-4</v>
      </c>
      <c r="E197" s="29">
        <f>Cours_Hist_figé!E261/Cours_Hist_figé!E197 - 1</f>
        <v>-4.3970710834895232E-4</v>
      </c>
    </row>
    <row r="198" spans="1:5" x14ac:dyDescent="0.4">
      <c r="A198" s="27">
        <v>42382</v>
      </c>
      <c r="B198" s="29">
        <f>Cours_Hist_figé!B262/Cours_Hist_figé!B198 - 1</f>
        <v>-5.0130919503343696E-2</v>
      </c>
      <c r="C198" s="29">
        <f>Cours_Hist_figé!C262/Cours_Hist_figé!C198 - 1</f>
        <v>6.185796060726112E-3</v>
      </c>
      <c r="D198" s="29">
        <f>Cours_Hist_figé!D262/Cours_Hist_figé!D198 - 1</f>
        <v>-4.34410075834335E-4</v>
      </c>
      <c r="E198" s="29">
        <f>Cours_Hist_figé!E262/Cours_Hist_figé!E198 - 1</f>
        <v>-4.34410075834335E-4</v>
      </c>
    </row>
    <row r="199" spans="1:5" x14ac:dyDescent="0.4">
      <c r="A199" s="27">
        <v>42383</v>
      </c>
      <c r="B199" s="29">
        <f>Cours_Hist_figé!B263/Cours_Hist_figé!B199 - 1</f>
        <v>-5.4917724999707485E-2</v>
      </c>
      <c r="C199" s="29">
        <f>Cours_Hist_figé!C263/Cours_Hist_figé!C199 - 1</f>
        <v>5.7024267091549952E-3</v>
      </c>
      <c r="D199" s="29">
        <f>Cours_Hist_figé!D263/Cours_Hist_figé!D199 - 1</f>
        <v>-4.3730588702062256E-4</v>
      </c>
      <c r="E199" s="29">
        <f>Cours_Hist_figé!E263/Cours_Hist_figé!E199 - 1</f>
        <v>-4.3730588702062256E-4</v>
      </c>
    </row>
    <row r="200" spans="1:5" x14ac:dyDescent="0.4">
      <c r="A200" s="27">
        <v>42384</v>
      </c>
      <c r="B200" s="29">
        <f>Cours_Hist_figé!B264/Cours_Hist_figé!B200 - 1</f>
        <v>-7.4755636871487341E-2</v>
      </c>
      <c r="C200" s="29">
        <f>Cours_Hist_figé!C264/Cours_Hist_figé!C200 - 1</f>
        <v>5.2488812795901119E-3</v>
      </c>
      <c r="D200" s="29">
        <f>Cours_Hist_figé!D264/Cours_Hist_figé!D200 - 1</f>
        <v>-4.4020935946931239E-4</v>
      </c>
      <c r="E200" s="29">
        <f>Cours_Hist_figé!E264/Cours_Hist_figé!E200 - 1</f>
        <v>-4.4020935946931239E-4</v>
      </c>
    </row>
    <row r="201" spans="1:5" x14ac:dyDescent="0.4">
      <c r="A201" s="27">
        <v>42387</v>
      </c>
      <c r="B201" s="29">
        <f>Cours_Hist_figé!B265/Cours_Hist_figé!B201 - 1</f>
        <v>-9.0759677439805175E-2</v>
      </c>
      <c r="C201" s="29">
        <f>Cours_Hist_figé!C265/Cours_Hist_figé!C201 - 1</f>
        <v>5.287135001252663E-3</v>
      </c>
      <c r="D201" s="29">
        <f>Cours_Hist_figé!D265/Cours_Hist_figé!D201 - 1</f>
        <v>-4.5639890198390098E-4</v>
      </c>
      <c r="E201" s="29">
        <f>Cours_Hist_figé!E265/Cours_Hist_figé!E201 - 1</f>
        <v>-4.5639890198378996E-4</v>
      </c>
    </row>
    <row r="202" spans="1:5" x14ac:dyDescent="0.4">
      <c r="A202" s="27">
        <v>42388</v>
      </c>
      <c r="B202" s="29">
        <f>Cours_Hist_figé!B266/Cours_Hist_figé!B202 - 1</f>
        <v>-8.4551892613446089E-2</v>
      </c>
      <c r="C202" s="29">
        <f>Cours_Hist_figé!C266/Cours_Hist_figé!C202 - 1</f>
        <v>4.2231299121977539E-3</v>
      </c>
      <c r="D202" s="29">
        <f>Cours_Hist_figé!D266/Cours_Hist_figé!D202 - 1</f>
        <v>-4.5909745948713443E-4</v>
      </c>
      <c r="E202" s="29">
        <f>Cours_Hist_figé!E266/Cours_Hist_figé!E202 - 1</f>
        <v>-4.5909745948713443E-4</v>
      </c>
    </row>
    <row r="203" spans="1:5" x14ac:dyDescent="0.4">
      <c r="A203" s="27">
        <v>42389</v>
      </c>
      <c r="B203" s="29">
        <f>Cours_Hist_figé!B267/Cours_Hist_figé!B203 - 1</f>
        <v>-0.1163063421205488</v>
      </c>
      <c r="C203" s="29">
        <f>Cours_Hist_figé!C267/Cours_Hist_figé!C203 - 1</f>
        <v>5.2951988578080478E-3</v>
      </c>
      <c r="D203" s="29">
        <f>Cours_Hist_figé!D267/Cours_Hist_figé!D203 - 1</f>
        <v>-4.5389926405059455E-4</v>
      </c>
      <c r="E203" s="29">
        <f>Cours_Hist_figé!E267/Cours_Hist_figé!E203 - 1</f>
        <v>-4.5389926405048353E-4</v>
      </c>
    </row>
    <row r="204" spans="1:5" x14ac:dyDescent="0.4">
      <c r="A204" s="27">
        <v>42390</v>
      </c>
      <c r="B204" s="29">
        <f>Cours_Hist_figé!B268/Cours_Hist_figé!B204 - 1</f>
        <v>-9.4451639112636987E-2</v>
      </c>
      <c r="C204" s="29">
        <f>Cours_Hist_figé!C268/Cours_Hist_figé!C204 - 1</f>
        <v>1.0590170115340136E-2</v>
      </c>
      <c r="D204" s="29">
        <f>Cours_Hist_figé!D268/Cours_Hist_figé!D204 - 1</f>
        <v>-4.5659780909468317E-4</v>
      </c>
      <c r="E204" s="29">
        <f>Cours_Hist_figé!E268/Cours_Hist_figé!E204 - 1</f>
        <v>-4.5659780909457215E-4</v>
      </c>
    </row>
    <row r="205" spans="1:5" x14ac:dyDescent="0.4">
      <c r="A205" s="27">
        <v>42391</v>
      </c>
      <c r="B205" s="29">
        <f>Cours_Hist_figé!B269/Cours_Hist_figé!B205 - 1</f>
        <v>-6.695606910921903E-2</v>
      </c>
      <c r="C205" s="29">
        <f>Cours_Hist_figé!C269/Cours_Hist_figé!C205 - 1</f>
        <v>7.3023659313917744E-3</v>
      </c>
      <c r="D205" s="29">
        <f>Cours_Hist_figé!D269/Cours_Hist_figé!D205 - 1</f>
        <v>-4.5939512716641762E-4</v>
      </c>
      <c r="E205" s="29">
        <f>Cours_Hist_figé!E269/Cours_Hist_figé!E205 - 1</f>
        <v>-4.5939512716663966E-4</v>
      </c>
    </row>
    <row r="206" spans="1:5" x14ac:dyDescent="0.4">
      <c r="A206" s="27">
        <v>42394</v>
      </c>
      <c r="B206" s="29">
        <f>Cours_Hist_figé!B270/Cours_Hist_figé!B206 - 1</f>
        <v>-9.2251397943669988E-2</v>
      </c>
      <c r="C206" s="29">
        <f>Cours_Hist_figé!C270/Cours_Hist_figé!C206 - 1</f>
        <v>3.2429774724942462E-3</v>
      </c>
      <c r="D206" s="29">
        <f>Cours_Hist_figé!D270/Cours_Hist_figé!D206 - 1</f>
        <v>-4.7569158205551521E-4</v>
      </c>
      <c r="E206" s="29">
        <f>Cours_Hist_figé!E270/Cours_Hist_figé!E206 - 1</f>
        <v>-4.7569158205540418E-4</v>
      </c>
    </row>
    <row r="207" spans="1:5" x14ac:dyDescent="0.4">
      <c r="A207" s="27">
        <v>42395</v>
      </c>
      <c r="B207" s="29">
        <f>Cours_Hist_figé!B271/Cours_Hist_figé!B207 - 1</f>
        <v>-0.10191266953391032</v>
      </c>
      <c r="C207" s="29">
        <f>Cours_Hist_figé!C271/Cours_Hist_figé!C207 - 1</f>
        <v>5.0272922648935126E-3</v>
      </c>
      <c r="D207" s="29">
        <f>Cours_Hist_figé!D271/Cours_Hist_figé!D207 - 1</f>
        <v>-4.7838264686372867E-4</v>
      </c>
      <c r="E207" s="29">
        <f>Cours_Hist_figé!E271/Cours_Hist_figé!E207 - 1</f>
        <v>-4.7838264686395071E-4</v>
      </c>
    </row>
    <row r="208" spans="1:5" x14ac:dyDescent="0.4">
      <c r="A208" s="27">
        <v>42396</v>
      </c>
      <c r="B208" s="29">
        <f>Cours_Hist_figé!B272/Cours_Hist_figé!B208 - 1</f>
        <v>-9.4951719378719934E-2</v>
      </c>
      <c r="C208" s="29">
        <f>Cours_Hist_figé!C272/Cours_Hist_figé!C208 - 1</f>
        <v>4.5509879202172421E-3</v>
      </c>
      <c r="D208" s="29">
        <f>Cours_Hist_figé!D272/Cours_Hist_figé!D208 - 1</f>
        <v>-4.7379199033570352E-4</v>
      </c>
      <c r="E208" s="29">
        <f>Cours_Hist_figé!E272/Cours_Hist_figé!E208 - 1</f>
        <v>-4.7379199033570352E-4</v>
      </c>
    </row>
    <row r="209" spans="1:5" x14ac:dyDescent="0.4">
      <c r="A209" s="27">
        <v>42397</v>
      </c>
      <c r="B209" s="29">
        <f>Cours_Hist_figé!B273/Cours_Hist_figé!B209 - 1</f>
        <v>-9.9318699276230271E-2</v>
      </c>
      <c r="C209" s="29">
        <f>Cours_Hist_figé!C273/Cours_Hist_figé!C209 - 1</f>
        <v>3.0911118498568868E-3</v>
      </c>
      <c r="D209" s="29">
        <f>Cours_Hist_figé!D273/Cours_Hist_figé!D209 - 1</f>
        <v>-4.7639197084681228E-4</v>
      </c>
      <c r="E209" s="29">
        <f>Cours_Hist_figé!E273/Cours_Hist_figé!E209 - 1</f>
        <v>-4.7639197084670126E-4</v>
      </c>
    </row>
    <row r="210" spans="1:5" x14ac:dyDescent="0.4">
      <c r="A210" s="27">
        <v>42398</v>
      </c>
      <c r="B210" s="29">
        <f>Cours_Hist_figé!B274/Cours_Hist_figé!B210 - 1</f>
        <v>-8.916903007246757E-2</v>
      </c>
      <c r="C210" s="29">
        <f>Cours_Hist_figé!C274/Cours_Hist_figé!C210 - 1</f>
        <v>6.4659908369093522E-3</v>
      </c>
      <c r="D210" s="29">
        <f>Cours_Hist_figé!D274/Cours_Hist_figé!D210 - 1</f>
        <v>-4.7918180055106507E-4</v>
      </c>
      <c r="E210" s="29">
        <f>Cours_Hist_figé!E274/Cours_Hist_figé!E210 - 1</f>
        <v>-4.7918180055084303E-4</v>
      </c>
    </row>
    <row r="211" spans="1:5" x14ac:dyDescent="0.4">
      <c r="A211" s="27">
        <v>42401</v>
      </c>
      <c r="B211" s="29">
        <f>Cours_Hist_figé!B275/Cours_Hist_figé!B211 - 1</f>
        <v>-9.0756513267678196E-2</v>
      </c>
      <c r="C211" s="29">
        <f>Cours_Hist_figé!C275/Cours_Hist_figé!C211 - 1</f>
        <v>9.5072792645094495E-3</v>
      </c>
      <c r="D211" s="29">
        <f>Cours_Hist_figé!D275/Cours_Hist_figé!D211 - 1</f>
        <v>-4.9417980984334253E-4</v>
      </c>
      <c r="E211" s="29">
        <f>Cours_Hist_figé!E275/Cours_Hist_figé!E211 - 1</f>
        <v>-4.9417980984334253E-4</v>
      </c>
    </row>
    <row r="212" spans="1:5" x14ac:dyDescent="0.4">
      <c r="A212" s="27">
        <v>42402</v>
      </c>
      <c r="B212" s="29">
        <f>Cours_Hist_figé!B276/Cours_Hist_figé!B212 - 1</f>
        <v>-0.10923382568886586</v>
      </c>
      <c r="C212" s="29">
        <f>Cours_Hist_figé!C276/Cours_Hist_figé!C212 - 1</f>
        <v>9.8729913339574704E-3</v>
      </c>
      <c r="D212" s="29">
        <f>Cours_Hist_figé!D276/Cours_Hist_figé!D212 - 1</f>
        <v>-4.9677990627117197E-4</v>
      </c>
      <c r="E212" s="29">
        <f>Cours_Hist_figé!E276/Cours_Hist_figé!E212 - 1</f>
        <v>-4.9677990627106094E-4</v>
      </c>
    </row>
    <row r="213" spans="1:5" x14ac:dyDescent="0.4">
      <c r="A213" s="27">
        <v>42403</v>
      </c>
      <c r="B213" s="29">
        <f>Cours_Hist_figé!B277/Cours_Hist_figé!B213 - 1</f>
        <v>-0.12579535505054584</v>
      </c>
      <c r="C213" s="29">
        <f>Cours_Hist_figé!C277/Cours_Hist_figé!C213 - 1</f>
        <v>1.4767891072810624E-2</v>
      </c>
      <c r="D213" s="29">
        <f>Cours_Hist_figé!D277/Cours_Hist_figé!D213 - 1</f>
        <v>-4.9248536480461791E-4</v>
      </c>
      <c r="E213" s="29">
        <f>Cours_Hist_figé!E277/Cours_Hist_figé!E213 - 1</f>
        <v>-4.9248536480450689E-4</v>
      </c>
    </row>
    <row r="214" spans="1:5" x14ac:dyDescent="0.4">
      <c r="A214" s="27">
        <v>42404</v>
      </c>
      <c r="B214" s="29">
        <f>Cours_Hist_figé!B278/Cours_Hist_figé!B214 - 1</f>
        <v>-0.1307725069871648</v>
      </c>
      <c r="C214" s="29">
        <f>Cours_Hist_figé!C278/Cours_Hist_figé!C214 - 1</f>
        <v>1.2820737718680641E-2</v>
      </c>
      <c r="D214" s="29">
        <f>Cours_Hist_figé!D278/Cours_Hist_figé!D214 - 1</f>
        <v>-4.9578421224838465E-4</v>
      </c>
      <c r="E214" s="29">
        <f>Cours_Hist_figé!E278/Cours_Hist_figé!E214 - 1</f>
        <v>-4.9578421224849567E-4</v>
      </c>
    </row>
    <row r="215" spans="1:5" x14ac:dyDescent="0.4">
      <c r="A215" s="27">
        <v>42405</v>
      </c>
      <c r="B215" s="29">
        <f>Cours_Hist_figé!B279/Cours_Hist_figé!B215 - 1</f>
        <v>-0.14235940673636305</v>
      </c>
      <c r="C215" s="29">
        <f>Cours_Hist_figé!C279/Cours_Hist_figé!C215 - 1</f>
        <v>1.3225445682264914E-2</v>
      </c>
      <c r="D215" s="29">
        <f>Cours_Hist_figé!D279/Cours_Hist_figé!D215 - 1</f>
        <v>-4.9848297188270774E-4</v>
      </c>
      <c r="E215" s="29">
        <f>Cours_Hist_figé!E279/Cours_Hist_figé!E215 - 1</f>
        <v>-4.9848297188270774E-4</v>
      </c>
    </row>
    <row r="216" spans="1:5" x14ac:dyDescent="0.4">
      <c r="A216" s="27">
        <v>42408</v>
      </c>
      <c r="B216" s="29">
        <f>Cours_Hist_figé!B280/Cours_Hist_figé!B216 - 1</f>
        <v>-0.16832880100256731</v>
      </c>
      <c r="C216" s="29">
        <f>Cours_Hist_figé!C280/Cours_Hist_figé!C216 - 1</f>
        <v>1.4778267411326151E-2</v>
      </c>
      <c r="D216" s="29">
        <f>Cours_Hist_figé!D280/Cours_Hist_figé!D216 - 1</f>
        <v>-5.1456761639001591E-4</v>
      </c>
      <c r="E216" s="29">
        <f>Cours_Hist_figé!E280/Cours_Hist_figé!E216 - 1</f>
        <v>-5.1456761639012694E-4</v>
      </c>
    </row>
    <row r="217" spans="1:5" x14ac:dyDescent="0.4">
      <c r="A217" s="27">
        <v>42409</v>
      </c>
      <c r="B217" s="29">
        <f>Cours_Hist_figé!B281/Cours_Hist_figé!B217 - 1</f>
        <v>-0.18396255787560134</v>
      </c>
      <c r="C217" s="29">
        <f>Cours_Hist_figé!C281/Cours_Hist_figé!C217 - 1</f>
        <v>1.7872194522622342E-2</v>
      </c>
      <c r="D217" s="29">
        <f>Cours_Hist_figé!D281/Cours_Hist_figé!D217 - 1</f>
        <v>-5.176690565977804E-4</v>
      </c>
      <c r="E217" s="29">
        <f>Cours_Hist_figé!E281/Cours_Hist_figé!E217 - 1</f>
        <v>-5.176690565977804E-4</v>
      </c>
    </row>
    <row r="218" spans="1:5" x14ac:dyDescent="0.4">
      <c r="A218" s="27">
        <v>42410</v>
      </c>
      <c r="B218" s="29">
        <f>Cours_Hist_figé!B282/Cours_Hist_figé!B218 - 1</f>
        <v>-0.15998153865838449</v>
      </c>
      <c r="C218" s="29">
        <f>Cours_Hist_figé!C282/Cours_Hist_figé!C218 - 1</f>
        <v>1.8533083081294865E-2</v>
      </c>
      <c r="D218" s="29">
        <f>Cours_Hist_figé!D282/Cours_Hist_figé!D218 - 1</f>
        <v>-5.1276727457649773E-4</v>
      </c>
      <c r="E218" s="29">
        <f>Cours_Hist_figé!E282/Cours_Hist_figé!E218 - 1</f>
        <v>-5.1276727457649773E-4</v>
      </c>
    </row>
    <row r="219" spans="1:5" x14ac:dyDescent="0.4">
      <c r="A219" s="27">
        <v>42411</v>
      </c>
      <c r="B219" s="29">
        <f>Cours_Hist_figé!B283/Cours_Hist_figé!B219 - 1</f>
        <v>-0.19173050767233513</v>
      </c>
      <c r="C219" s="29">
        <f>Cours_Hist_figé!C283/Cours_Hist_figé!C219 - 1</f>
        <v>1.6463209437386883E-2</v>
      </c>
      <c r="D219" s="29">
        <f>Cours_Hist_figé!D283/Cours_Hist_figé!D219 - 1</f>
        <v>-5.1536754734571311E-4</v>
      </c>
      <c r="E219" s="29">
        <f>Cours_Hist_figé!E283/Cours_Hist_figé!E219 - 1</f>
        <v>-5.1536754734582413E-4</v>
      </c>
    </row>
    <row r="220" spans="1:5" x14ac:dyDescent="0.4">
      <c r="A220" s="27">
        <v>42412</v>
      </c>
      <c r="B220" s="29">
        <f>Cours_Hist_figé!B284/Cours_Hist_figé!B220 - 1</f>
        <v>-0.1728046211232479</v>
      </c>
      <c r="C220" s="29">
        <f>Cours_Hist_figé!C284/Cours_Hist_figé!C220 - 1</f>
        <v>1.2515124080213269E-2</v>
      </c>
      <c r="D220" s="29">
        <f>Cours_Hist_figé!D284/Cours_Hist_figé!D220 - 1</f>
        <v>-5.1806655695063597E-4</v>
      </c>
      <c r="E220" s="29">
        <f>Cours_Hist_figé!E284/Cours_Hist_figé!E220 - 1</f>
        <v>-5.1806655695085801E-4</v>
      </c>
    </row>
    <row r="221" spans="1:5" x14ac:dyDescent="0.4">
      <c r="A221" s="27">
        <v>42415</v>
      </c>
      <c r="B221" s="29">
        <f>Cours_Hist_figé!B285/Cours_Hist_figé!B221 - 1</f>
        <v>-0.13457861103640811</v>
      </c>
      <c r="C221" s="29">
        <f>Cours_Hist_figé!C285/Cours_Hist_figé!C221 - 1</f>
        <v>1.4058502305515752E-2</v>
      </c>
      <c r="D221" s="29">
        <f>Cours_Hist_figé!D285/Cours_Hist_figé!D221 - 1</f>
        <v>-5.3446318115424329E-4</v>
      </c>
      <c r="E221" s="29">
        <f>Cours_Hist_figé!E285/Cours_Hist_figé!E221 - 1</f>
        <v>-5.3446318115424329E-4</v>
      </c>
    </row>
    <row r="222" spans="1:5" x14ac:dyDescent="0.4">
      <c r="A222" s="27">
        <v>42416</v>
      </c>
      <c r="B222" s="29">
        <f>Cours_Hist_figé!B286/Cours_Hist_figé!B222 - 1</f>
        <v>-0.13102977313077879</v>
      </c>
      <c r="C222" s="29">
        <f>Cours_Hist_figé!C286/Cours_Hist_figé!C222 - 1</f>
        <v>1.0217179215624483E-2</v>
      </c>
      <c r="D222" s="29">
        <f>Cours_Hist_figé!D286/Cours_Hist_figé!D222 - 1</f>
        <v>-5.3735216329375834E-4</v>
      </c>
      <c r="E222" s="29">
        <f>Cours_Hist_figé!E286/Cours_Hist_figé!E222 - 1</f>
        <v>-5.3735216329364732E-4</v>
      </c>
    </row>
    <row r="223" spans="1:5" x14ac:dyDescent="0.4">
      <c r="A223" s="27">
        <v>42417</v>
      </c>
      <c r="B223" s="29">
        <f>Cours_Hist_figé!B287/Cours_Hist_figé!B223 - 1</f>
        <v>-0.11054268996209005</v>
      </c>
      <c r="C223" s="29">
        <f>Cours_Hist_figé!C287/Cours_Hist_figé!C223 - 1</f>
        <v>9.8472691432638371E-3</v>
      </c>
      <c r="D223" s="29">
        <f>Cours_Hist_figé!D287/Cours_Hist_figé!D223 - 1</f>
        <v>-5.3306558775478852E-4</v>
      </c>
      <c r="E223" s="29">
        <f>Cours_Hist_figé!E287/Cours_Hist_figé!E223 - 1</f>
        <v>-5.3306558775478852E-4</v>
      </c>
    </row>
    <row r="224" spans="1:5" x14ac:dyDescent="0.4">
      <c r="A224" s="27">
        <v>42418</v>
      </c>
      <c r="B224" s="29">
        <f>Cours_Hist_figé!B288/Cours_Hist_figé!B224 - 1</f>
        <v>-0.1321317504257874</v>
      </c>
      <c r="C224" s="29">
        <f>Cours_Hist_figé!C288/Cours_Hist_figé!C224 - 1</f>
        <v>1.2652262377353729E-2</v>
      </c>
      <c r="D224" s="29">
        <f>Cours_Hist_figé!D288/Cours_Hist_figé!D224 - 1</f>
        <v>-5.3605337279782894E-4</v>
      </c>
      <c r="E224" s="29">
        <f>Cours_Hist_figé!E288/Cours_Hist_figé!E224 - 1</f>
        <v>-5.3605337279771792E-4</v>
      </c>
    </row>
    <row r="225" spans="1:5" x14ac:dyDescent="0.4">
      <c r="A225" s="27">
        <v>42419</v>
      </c>
      <c r="B225" s="29">
        <f>Cours_Hist_figé!B289/Cours_Hist_figé!B225 - 1</f>
        <v>-0.13812278072284312</v>
      </c>
      <c r="C225" s="29">
        <f>Cours_Hist_figé!C289/Cours_Hist_figé!C225 - 1</f>
        <v>1.1269760453635591E-2</v>
      </c>
      <c r="D225" s="29">
        <f>Cours_Hist_figé!D289/Cours_Hist_figé!D225 - 1</f>
        <v>-5.3926138967452797E-4</v>
      </c>
      <c r="E225" s="29">
        <f>Cours_Hist_figé!E289/Cours_Hist_figé!E225 - 1</f>
        <v>-5.3926138967463899E-4</v>
      </c>
    </row>
    <row r="226" spans="1:5" x14ac:dyDescent="0.4">
      <c r="A226" s="27">
        <v>42422</v>
      </c>
      <c r="B226" s="29">
        <f>Cours_Hist_figé!B290/Cours_Hist_figé!B226 - 1</f>
        <v>-0.12706550339010869</v>
      </c>
      <c r="C226" s="29">
        <f>Cours_Hist_figé!C290/Cours_Hist_figé!C226 - 1</f>
        <v>1.1852982808232326E-2</v>
      </c>
      <c r="D226" s="29">
        <f>Cours_Hist_figé!D290/Cours_Hist_figé!D226 - 1</f>
        <v>-5.5584845214351475E-4</v>
      </c>
      <c r="E226" s="29">
        <f>Cours_Hist_figé!E290/Cours_Hist_figé!E226 - 1</f>
        <v>-5.5584845214340373E-4</v>
      </c>
    </row>
    <row r="227" spans="1:5" x14ac:dyDescent="0.4">
      <c r="A227" s="27">
        <v>42423</v>
      </c>
      <c r="B227" s="29">
        <f>Cours_Hist_figé!B291/Cours_Hist_figé!B227 - 1</f>
        <v>-0.14013468090834935</v>
      </c>
      <c r="C227" s="29">
        <f>Cours_Hist_figé!C291/Cours_Hist_figé!C227 - 1</f>
        <v>1.0567663414609685E-2</v>
      </c>
      <c r="D227" s="29">
        <f>Cours_Hist_figé!D291/Cours_Hist_figé!D227 - 1</f>
        <v>-5.5875278082928581E-4</v>
      </c>
      <c r="E227" s="29">
        <f>Cours_Hist_figé!E291/Cours_Hist_figé!E227 - 1</f>
        <v>-5.5875278082906377E-4</v>
      </c>
    </row>
    <row r="228" spans="1:5" x14ac:dyDescent="0.4">
      <c r="A228" s="27">
        <v>42424</v>
      </c>
      <c r="B228" s="29">
        <f>Cours_Hist_figé!B292/Cours_Hist_figé!B228 - 1</f>
        <v>-0.15706204888262265</v>
      </c>
      <c r="C228" s="29">
        <f>Cours_Hist_figé!C292/Cours_Hist_figé!C228 - 1</f>
        <v>1.3874714779978037E-2</v>
      </c>
      <c r="D228" s="29">
        <f>Cours_Hist_figé!D292/Cours_Hist_figé!D228 - 1</f>
        <v>-5.5444360064782483E-4</v>
      </c>
      <c r="E228" s="29">
        <f>Cours_Hist_figé!E292/Cours_Hist_figé!E228 - 1</f>
        <v>-5.5444360064771381E-4</v>
      </c>
    </row>
    <row r="229" spans="1:5" x14ac:dyDescent="0.4">
      <c r="A229" s="27">
        <v>42425</v>
      </c>
      <c r="B229" s="29">
        <f>Cours_Hist_figé!B293/Cours_Hist_figé!B229 - 1</f>
        <v>-0.12930420719364299</v>
      </c>
      <c r="C229" s="29">
        <f>Cours_Hist_figé!C293/Cours_Hist_figé!C229 - 1</f>
        <v>1.312490164628044E-2</v>
      </c>
      <c r="D229" s="29">
        <f>Cours_Hist_figé!D293/Cours_Hist_figé!D229 - 1</f>
        <v>-5.5754550334097264E-4</v>
      </c>
      <c r="E229" s="29">
        <f>Cours_Hist_figé!E293/Cours_Hist_figé!E229 - 1</f>
        <v>-5.5754550334108366E-4</v>
      </c>
    </row>
    <row r="230" spans="1:5" x14ac:dyDescent="0.4">
      <c r="A230" s="27">
        <v>42426</v>
      </c>
      <c r="B230" s="29">
        <f>Cours_Hist_figé!B294/Cours_Hist_figé!B230 - 1</f>
        <v>-0.12755112001245439</v>
      </c>
      <c r="C230" s="29">
        <f>Cours_Hist_figé!C294/Cours_Hist_figé!C230 - 1</f>
        <v>1.1498697248079059E-2</v>
      </c>
      <c r="D230" s="29">
        <f>Cours_Hist_figé!D294/Cours_Hist_figé!D230 - 1</f>
        <v>-5.6054871656485705E-4</v>
      </c>
      <c r="E230" s="29">
        <f>Cours_Hist_figé!E294/Cours_Hist_figé!E230 - 1</f>
        <v>-5.6054871656496807E-4</v>
      </c>
    </row>
    <row r="231" spans="1:5" x14ac:dyDescent="0.4">
      <c r="A231" s="27">
        <v>42429</v>
      </c>
      <c r="B231" s="29">
        <f>Cours_Hist_figé!B295/Cours_Hist_figé!B231 - 1</f>
        <v>-0.12958304038301527</v>
      </c>
      <c r="C231" s="29">
        <f>Cours_Hist_figé!C295/Cours_Hist_figé!C231 - 1</f>
        <v>1.4464841081955671E-2</v>
      </c>
      <c r="D231" s="29">
        <f>Cours_Hist_figé!D295/Cours_Hist_figé!D231 - 1</f>
        <v>-5.7703757857141547E-4</v>
      </c>
      <c r="E231" s="29">
        <f>Cours_Hist_figé!E295/Cours_Hist_figé!E231 - 1</f>
        <v>-5.7703757857152649E-4</v>
      </c>
    </row>
    <row r="232" spans="1:5" x14ac:dyDescent="0.4">
      <c r="A232" s="27">
        <v>42430</v>
      </c>
      <c r="B232" s="29">
        <f>Cours_Hist_figé!B296/Cours_Hist_figé!B232 - 1</f>
        <v>-0.11532513970477887</v>
      </c>
      <c r="C232" s="29">
        <f>Cours_Hist_figé!C296/Cours_Hist_figé!C232 - 1</f>
        <v>1.1788652888607087E-2</v>
      </c>
      <c r="D232" s="29">
        <f>Cours_Hist_figé!D296/Cours_Hist_figé!D232 - 1</f>
        <v>-5.7944067799231558E-4</v>
      </c>
      <c r="E232" s="29">
        <f>Cours_Hist_figé!E296/Cours_Hist_figé!E232 - 1</f>
        <v>-5.7944067799220456E-4</v>
      </c>
    </row>
    <row r="233" spans="1:5" x14ac:dyDescent="0.4">
      <c r="A233" s="27">
        <v>42431</v>
      </c>
      <c r="B233" s="29">
        <f>Cours_Hist_figé!B297/Cours_Hist_figé!B233 - 1</f>
        <v>-0.1125063095697616</v>
      </c>
      <c r="C233" s="29">
        <f>Cours_Hist_figé!C297/Cours_Hist_figé!C233 - 1</f>
        <v>1.0071443877574193E-2</v>
      </c>
      <c r="D233" s="29">
        <f>Cours_Hist_figé!D297/Cours_Hist_figé!D233 - 1</f>
        <v>-5.7453921928007912E-4</v>
      </c>
      <c r="E233" s="29">
        <f>Cours_Hist_figé!E297/Cours_Hist_figé!E233 - 1</f>
        <v>-5.7453921928007912E-4</v>
      </c>
    </row>
    <row r="234" spans="1:5" x14ac:dyDescent="0.4">
      <c r="A234" s="27">
        <v>42432</v>
      </c>
      <c r="B234" s="29">
        <f>Cours_Hist_figé!B298/Cours_Hist_figé!B234 - 1</f>
        <v>-0.11244423743827892</v>
      </c>
      <c r="C234" s="29">
        <f>Cours_Hist_figé!C298/Cours_Hist_figé!C234 - 1</f>
        <v>1.1214038698729167E-2</v>
      </c>
      <c r="D234" s="29">
        <f>Cours_Hist_figé!D298/Cours_Hist_figé!D234 - 1</f>
        <v>-5.7753474188970699E-4</v>
      </c>
      <c r="E234" s="29">
        <f>Cours_Hist_figé!E298/Cours_Hist_figé!E234 - 1</f>
        <v>-5.7753474188959597E-4</v>
      </c>
    </row>
    <row r="235" spans="1:5" x14ac:dyDescent="0.4">
      <c r="A235" s="27">
        <v>42433</v>
      </c>
      <c r="B235" s="29">
        <f>Cours_Hist_figé!B299/Cours_Hist_figé!B235 - 1</f>
        <v>-0.10592528798999512</v>
      </c>
      <c r="C235" s="29">
        <f>Cours_Hist_figé!C299/Cours_Hist_figé!C235 - 1</f>
        <v>8.2189829562415717E-3</v>
      </c>
      <c r="D235" s="29">
        <f>Cours_Hist_figé!D299/Cours_Hist_figé!D235 - 1</f>
        <v>-5.8053793618129124E-4</v>
      </c>
      <c r="E235" s="29">
        <f>Cours_Hist_figé!E299/Cours_Hist_figé!E235 - 1</f>
        <v>-5.8053793618118021E-4</v>
      </c>
    </row>
    <row r="236" spans="1:5" x14ac:dyDescent="0.4">
      <c r="A236" s="27">
        <v>42436</v>
      </c>
      <c r="B236" s="29">
        <f>Cours_Hist_figé!B300/Cours_Hist_figé!B236 - 1</f>
        <v>-7.8645124911429831E-2</v>
      </c>
      <c r="C236" s="29">
        <f>Cours_Hist_figé!C300/Cours_Hist_figé!C236 - 1</f>
        <v>1.9992919453341695E-2</v>
      </c>
      <c r="D236" s="29">
        <f>Cours_Hist_figé!D300/Cours_Hist_figé!D236 - 1</f>
        <v>-5.9652584949920762E-4</v>
      </c>
      <c r="E236" s="29">
        <f>Cours_Hist_figé!E300/Cours_Hist_figé!E236 - 1</f>
        <v>-5.9652584949909659E-4</v>
      </c>
    </row>
    <row r="237" spans="1:5" x14ac:dyDescent="0.4">
      <c r="A237" s="27">
        <v>42437</v>
      </c>
      <c r="B237" s="29">
        <f>Cours_Hist_figé!B301/Cours_Hist_figé!B237 - 1</f>
        <v>-8.3735992809848558E-2</v>
      </c>
      <c r="C237" s="29">
        <f>Cours_Hist_figé!C301/Cours_Hist_figé!C237 - 1</f>
        <v>2.3096864833075603E-2</v>
      </c>
      <c r="D237" s="29">
        <f>Cours_Hist_figé!D301/Cours_Hist_figé!D237 - 1</f>
        <v>-5.9932412018404158E-4</v>
      </c>
      <c r="E237" s="29">
        <f>Cours_Hist_figé!E301/Cours_Hist_figé!E237 - 1</f>
        <v>-5.9932412018393055E-4</v>
      </c>
    </row>
    <row r="238" spans="1:5" x14ac:dyDescent="0.4">
      <c r="A238" s="27">
        <v>42438</v>
      </c>
      <c r="B238" s="29">
        <f>Cours_Hist_figé!B302/Cours_Hist_figé!B238 - 1</f>
        <v>-8.3306832007583154E-2</v>
      </c>
      <c r="C238" s="29">
        <f>Cours_Hist_figé!C302/Cours_Hist_figé!C238 - 1</f>
        <v>1.599882265341579E-2</v>
      </c>
      <c r="D238" s="29">
        <f>Cours_Hist_figé!D302/Cours_Hist_figé!D238 - 1</f>
        <v>-5.9433158275890019E-4</v>
      </c>
      <c r="E238" s="29">
        <f>Cours_Hist_figé!E302/Cours_Hist_figé!E238 - 1</f>
        <v>-5.9433158275901121E-4</v>
      </c>
    </row>
    <row r="239" spans="1:5" x14ac:dyDescent="0.4">
      <c r="A239" s="27">
        <v>42439</v>
      </c>
      <c r="B239" s="29">
        <f>Cours_Hist_figé!B303/Cours_Hist_figé!B239 - 1</f>
        <v>-8.232216600660025E-2</v>
      </c>
      <c r="C239" s="29">
        <f>Cours_Hist_figé!C303/Cours_Hist_figé!C239 - 1</f>
        <v>1.1711006097218313E-2</v>
      </c>
      <c r="D239" s="29">
        <f>Cours_Hist_figé!D303/Cours_Hist_figé!D239 - 1</f>
        <v>-5.9703116909493037E-4</v>
      </c>
      <c r="E239" s="29">
        <f>Cours_Hist_figé!E303/Cours_Hist_figé!E239 - 1</f>
        <v>-5.9703116909470832E-4</v>
      </c>
    </row>
    <row r="240" spans="1:5" x14ac:dyDescent="0.4">
      <c r="A240" s="27">
        <v>42440</v>
      </c>
      <c r="B240" s="29">
        <f>Cours_Hist_figé!B304/Cours_Hist_figé!B240 - 1</f>
        <v>-5.4319074801301381E-2</v>
      </c>
      <c r="C240" s="29">
        <f>Cours_Hist_figé!C304/Cours_Hist_figé!C240 - 1</f>
        <v>1.7929351905913826E-2</v>
      </c>
      <c r="D240" s="29">
        <f>Cours_Hist_figé!D304/Cours_Hist_figé!D240 - 1</f>
        <v>-5.9962452786843645E-4</v>
      </c>
      <c r="E240" s="29">
        <f>Cours_Hist_figé!E304/Cours_Hist_figé!E240 - 1</f>
        <v>-5.9962452786821441E-4</v>
      </c>
    </row>
    <row r="241" spans="1:5" x14ac:dyDescent="0.4">
      <c r="A241" s="27">
        <v>42443</v>
      </c>
      <c r="B241" s="29">
        <f>Cours_Hist_figé!B305/Cours_Hist_figé!B241 - 1</f>
        <v>-4.5048508964098843E-2</v>
      </c>
      <c r="C241" s="29">
        <f>Cours_Hist_figé!C305/Cours_Hist_figé!C241 - 1</f>
        <v>1.7756736829389164E-2</v>
      </c>
      <c r="D241" s="29">
        <f>Cours_Hist_figé!D305/Cours_Hist_figé!D241 - 1</f>
        <v>-6.1331246834983588E-4</v>
      </c>
      <c r="E241" s="29">
        <f>Cours_Hist_figé!E305/Cours_Hist_figé!E241 - 1</f>
        <v>-6.1331246834972486E-4</v>
      </c>
    </row>
    <row r="242" spans="1:5" x14ac:dyDescent="0.4">
      <c r="A242" s="27">
        <v>42444</v>
      </c>
      <c r="B242" s="29">
        <f>Cours_Hist_figé!B306/Cours_Hist_figé!B242 - 1</f>
        <v>-3.5489350132105746E-2</v>
      </c>
      <c r="C242" s="29">
        <f>Cours_Hist_figé!C306/Cours_Hist_figé!C242 - 1</f>
        <v>1.4349660837169154E-2</v>
      </c>
      <c r="D242" s="29">
        <f>Cours_Hist_figé!D306/Cours_Hist_figé!D242 - 1</f>
        <v>-6.1361271688131769E-4</v>
      </c>
      <c r="E242" s="29">
        <f>Cours_Hist_figé!E306/Cours_Hist_figé!E242 - 1</f>
        <v>-6.1361271688131769E-4</v>
      </c>
    </row>
    <row r="243" spans="1:5" x14ac:dyDescent="0.4">
      <c r="A243" s="27">
        <v>42445</v>
      </c>
      <c r="B243" s="29">
        <f>Cours_Hist_figé!B307/Cours_Hist_figé!B243 - 1</f>
        <v>-1.7178371373722578E-2</v>
      </c>
      <c r="C243" s="29">
        <f>Cours_Hist_figé!C307/Cours_Hist_figé!C243 - 1</f>
        <v>1.7903369108648315E-2</v>
      </c>
      <c r="D243" s="29">
        <f>Cours_Hist_figé!D307/Cours_Hist_figé!D243 - 1</f>
        <v>-6.0132298350656921E-4</v>
      </c>
      <c r="E243" s="29">
        <f>Cours_Hist_figé!E307/Cours_Hist_figé!E243 - 1</f>
        <v>-6.0132298350668023E-4</v>
      </c>
    </row>
    <row r="244" spans="1:5" x14ac:dyDescent="0.4">
      <c r="A244" s="27">
        <v>42446</v>
      </c>
      <c r="B244" s="29">
        <f>Cours_Hist_figé!B308/Cours_Hist_figé!B244 - 1</f>
        <v>-4.5154486651432291E-2</v>
      </c>
      <c r="C244" s="29">
        <f>Cours_Hist_figé!C308/Cours_Hist_figé!C244 - 1</f>
        <v>2.5382188077784029E-2</v>
      </c>
      <c r="D244" s="29">
        <f>Cours_Hist_figé!D308/Cours_Hist_figé!D244 - 1</f>
        <v>-6.0432054771464294E-4</v>
      </c>
      <c r="E244" s="29">
        <f>Cours_Hist_figé!E308/Cours_Hist_figé!E244 - 1</f>
        <v>-6.0432054771453192E-4</v>
      </c>
    </row>
    <row r="245" spans="1:5" x14ac:dyDescent="0.4">
      <c r="A245" s="27">
        <v>42447</v>
      </c>
      <c r="B245" s="29">
        <f>Cours_Hist_figé!B309/Cours_Hist_figé!B245 - 1</f>
        <v>-4.4721821422508912E-2</v>
      </c>
      <c r="C245" s="29">
        <f>Cours_Hist_figé!C309/Cours_Hist_figé!C245 - 1</f>
        <v>2.657544266221934E-2</v>
      </c>
      <c r="D245" s="29">
        <f>Cours_Hist_figé!D309/Cours_Hist_figé!D245 - 1</f>
        <v>-6.0731827487237044E-4</v>
      </c>
      <c r="E245" s="29">
        <f>Cours_Hist_figé!E309/Cours_Hist_figé!E245 - 1</f>
        <v>-6.0731827487237044E-4</v>
      </c>
    </row>
    <row r="246" spans="1:5" x14ac:dyDescent="0.4">
      <c r="A246" s="27">
        <v>42450</v>
      </c>
      <c r="B246" s="29">
        <f>Cours_Hist_figé!B310/Cours_Hist_figé!B246 - 1</f>
        <v>-5.858983292380715E-2</v>
      </c>
      <c r="C246" s="29">
        <f>Cours_Hist_figé!C310/Cours_Hist_figé!C246 - 1</f>
        <v>2.379142850461502E-2</v>
      </c>
      <c r="D246" s="29">
        <f>Cours_Hist_figé!D310/Cours_Hist_figé!D246 - 1</f>
        <v>-6.2930442314435009E-4</v>
      </c>
      <c r="E246" s="29">
        <f>Cours_Hist_figé!E310/Cours_Hist_figé!E246 - 1</f>
        <v>-6.2930442314435009E-4</v>
      </c>
    </row>
    <row r="247" spans="1:5" x14ac:dyDescent="0.4">
      <c r="A247" s="27">
        <v>42451</v>
      </c>
      <c r="B247" s="29">
        <f>Cours_Hist_figé!B311/Cours_Hist_figé!B247 - 1</f>
        <v>-5.0394995384133279E-2</v>
      </c>
      <c r="C247" s="29">
        <f>Cours_Hist_figé!C311/Cours_Hist_figé!C247 - 1</f>
        <v>2.1701239178124831E-2</v>
      </c>
      <c r="D247" s="29">
        <f>Cours_Hist_figé!D311/Cours_Hist_figé!D247 - 1</f>
        <v>-6.3230235035094395E-4</v>
      </c>
      <c r="E247" s="29">
        <f>Cours_Hist_figé!E311/Cours_Hist_figé!E247 - 1</f>
        <v>-6.3230235035105498E-4</v>
      </c>
    </row>
    <row r="248" spans="1:5" x14ac:dyDescent="0.4">
      <c r="A248" s="27">
        <v>42452</v>
      </c>
      <c r="B248" s="29">
        <f>Cours_Hist_figé!B312/Cours_Hist_figé!B248 - 1</f>
        <v>-4.0297320952990212E-2</v>
      </c>
      <c r="C248" s="29">
        <f>Cours_Hist_figé!C312/Cours_Hist_figé!C248 - 1</f>
        <v>2.2124264500852586E-2</v>
      </c>
      <c r="D248" s="29">
        <f>Cours_Hist_figé!D312/Cours_Hist_figé!D248 - 1</f>
        <v>-6.2220871365747943E-4</v>
      </c>
      <c r="E248" s="29">
        <f>Cours_Hist_figé!E312/Cours_Hist_figé!E248 - 1</f>
        <v>-6.2220871365747943E-4</v>
      </c>
    </row>
    <row r="249" spans="1:5" x14ac:dyDescent="0.4">
      <c r="A249" s="27">
        <v>42453</v>
      </c>
      <c r="B249" s="29">
        <f>Cours_Hist_figé!B313/Cours_Hist_figé!B249 - 1</f>
        <v>-5.4009529833348391E-2</v>
      </c>
      <c r="C249" s="29">
        <f>Cours_Hist_figé!C313/Cours_Hist_figé!C249 - 1</f>
        <v>2.5684589413533798E-2</v>
      </c>
      <c r="D249" s="29">
        <f>Cours_Hist_figé!D313/Cours_Hist_figé!D249 - 1</f>
        <v>-6.2541171202701307E-4</v>
      </c>
      <c r="E249" s="29">
        <f>Cours_Hist_figé!E313/Cours_Hist_figé!E249 - 1</f>
        <v>-6.2541171202701307E-4</v>
      </c>
    </row>
    <row r="250" spans="1:5" x14ac:dyDescent="0.4">
      <c r="A250" s="27">
        <v>42458</v>
      </c>
      <c r="B250" s="29">
        <f>Cours_Hist_figé!B314/Cours_Hist_figé!B250 - 1</f>
        <v>-7.47688740278738E-2</v>
      </c>
      <c r="C250" s="29">
        <f>Cours_Hist_figé!C314/Cours_Hist_figé!C250 - 1</f>
        <v>3.1002719470664353E-2</v>
      </c>
      <c r="D250" s="29">
        <f>Cours_Hist_figé!D314/Cours_Hist_figé!D250 - 1</f>
        <v>-6.6748192235821513E-4</v>
      </c>
      <c r="E250" s="29">
        <f>Cours_Hist_figé!E314/Cours_Hist_figé!E250 - 1</f>
        <v>-6.6748192235832615E-4</v>
      </c>
    </row>
    <row r="251" spans="1:5" x14ac:dyDescent="0.4">
      <c r="A251" s="27">
        <v>42459</v>
      </c>
      <c r="B251" s="29">
        <f>Cours_Hist_figé!B315/Cours_Hist_figé!B251 - 1</f>
        <v>-6.2255364832601412E-2</v>
      </c>
      <c r="C251" s="29">
        <f>Cours_Hist_figé!C315/Cours_Hist_figé!C251 - 1</f>
        <v>3.0547330773064374E-2</v>
      </c>
      <c r="D251" s="29">
        <f>Cours_Hist_figé!D315/Cours_Hist_figé!D251 - 1</f>
        <v>-6.7057894072564128E-4</v>
      </c>
      <c r="E251" s="29">
        <f>Cours_Hist_figé!E315/Cours_Hist_figé!E251 - 1</f>
        <v>-6.705789407257523E-4</v>
      </c>
    </row>
    <row r="252" spans="1:5" x14ac:dyDescent="0.4">
      <c r="A252" s="27">
        <v>42460</v>
      </c>
      <c r="B252" s="29">
        <f>Cours_Hist_figé!B316/Cours_Hist_figé!B252 - 1</f>
        <v>-8.0940722068923221E-2</v>
      </c>
      <c r="C252" s="29">
        <f>Cours_Hist_figé!C316/Cours_Hist_figé!C252 - 1</f>
        <v>3.0155261692766944E-2</v>
      </c>
      <c r="D252" s="29">
        <f>Cours_Hist_figé!D316/Cours_Hist_figé!D252 - 1</f>
        <v>-6.4649000706906712E-4</v>
      </c>
      <c r="E252" s="29">
        <f>Cours_Hist_figé!E316/Cours_Hist_figé!E252 - 1</f>
        <v>-6.464900070689561E-4</v>
      </c>
    </row>
    <row r="253" spans="1:5" x14ac:dyDescent="0.4">
      <c r="A253" s="27">
        <v>42461</v>
      </c>
      <c r="B253" s="29">
        <f>Cours_Hist_figé!B317/Cours_Hist_figé!B253 - 1</f>
        <v>-8.7511276288822604E-2</v>
      </c>
      <c r="C253" s="29">
        <f>Cours_Hist_figé!C317/Cours_Hist_figé!C253 - 1</f>
        <v>3.0377466702419476E-2</v>
      </c>
      <c r="D253" s="29">
        <f>Cours_Hist_figé!D317/Cours_Hist_figé!D253 - 1</f>
        <v>-6.4869013189072788E-4</v>
      </c>
      <c r="E253" s="29">
        <f>Cours_Hist_figé!E317/Cours_Hist_figé!E253 - 1</f>
        <v>-6.4869013189050584E-4</v>
      </c>
    </row>
    <row r="254" spans="1:5" x14ac:dyDescent="0.4">
      <c r="A254" s="27">
        <v>42464</v>
      </c>
      <c r="B254" s="29">
        <f>Cours_Hist_figé!B318/Cours_Hist_figé!B254 - 1</f>
        <v>-7.8807794786061258E-2</v>
      </c>
      <c r="C254" s="29">
        <f>Cours_Hist_figé!C318/Cours_Hist_figé!C254 - 1</f>
        <v>3.0885587339406495E-2</v>
      </c>
      <c r="D254" s="29">
        <f>Cours_Hist_figé!D318/Cours_Hist_figé!D254 - 1</f>
        <v>-6.7267525351910606E-4</v>
      </c>
      <c r="E254" s="29">
        <f>Cours_Hist_figé!E318/Cours_Hist_figé!E254 - 1</f>
        <v>-6.7267525351921709E-4</v>
      </c>
    </row>
    <row r="255" spans="1:5" x14ac:dyDescent="0.4">
      <c r="A255" s="27">
        <v>42465</v>
      </c>
      <c r="B255" s="29">
        <f>Cours_Hist_figé!B319/Cours_Hist_figé!B255 - 1</f>
        <v>-7.298362848791029E-2</v>
      </c>
      <c r="C255" s="29">
        <f>Cours_Hist_figé!C319/Cours_Hist_figé!C255 - 1</f>
        <v>2.9455060722663573E-2</v>
      </c>
      <c r="D255" s="29">
        <f>Cours_Hist_figé!D319/Cours_Hist_figé!D255 - 1</f>
        <v>-6.6778328133010323E-4</v>
      </c>
      <c r="E255" s="29">
        <f>Cours_Hist_figé!E319/Cours_Hist_figé!E255 - 1</f>
        <v>-6.6778328133010323E-4</v>
      </c>
    </row>
    <row r="256" spans="1:5" x14ac:dyDescent="0.4">
      <c r="A256" s="27">
        <v>42466</v>
      </c>
      <c r="B256" s="29">
        <f>Cours_Hist_figé!B320/Cours_Hist_figé!B256 - 1</f>
        <v>-7.1573372080760311E-2</v>
      </c>
      <c r="C256" s="29">
        <f>Cours_Hist_figé!C320/Cours_Hist_figé!C256 - 1</f>
        <v>2.6936220577448822E-2</v>
      </c>
      <c r="D256" s="29">
        <f>Cours_Hist_figé!D320/Cours_Hist_figé!D256 - 1</f>
        <v>-6.7028029645643805E-4</v>
      </c>
      <c r="E256" s="29">
        <f>Cours_Hist_figé!E320/Cours_Hist_figé!E256 - 1</f>
        <v>-6.7028029645654907E-4</v>
      </c>
    </row>
    <row r="257" spans="1:5" x14ac:dyDescent="0.4">
      <c r="A257" s="27">
        <v>42467</v>
      </c>
      <c r="B257" s="29">
        <f>Cours_Hist_figé!B321/Cours_Hist_figé!B257 - 1</f>
        <v>-6.5727879361047736E-2</v>
      </c>
      <c r="C257" s="29">
        <f>Cours_Hist_figé!C321/Cours_Hist_figé!C257 - 1</f>
        <v>2.4776439956346819E-2</v>
      </c>
      <c r="D257" s="29">
        <f>Cours_Hist_figé!D321/Cours_Hist_figé!D257 - 1</f>
        <v>-6.7257996372838136E-4</v>
      </c>
      <c r="E257" s="29">
        <f>Cours_Hist_figé!E321/Cours_Hist_figé!E257 - 1</f>
        <v>-6.7257996372849238E-4</v>
      </c>
    </row>
    <row r="258" spans="1:5" x14ac:dyDescent="0.4">
      <c r="A258" s="27">
        <v>42468</v>
      </c>
      <c r="B258" s="29">
        <f>Cours_Hist_figé!B322/Cours_Hist_figé!B258 - 1</f>
        <v>-3.3191302951741775E-2</v>
      </c>
      <c r="C258" s="29">
        <f>Cours_Hist_figé!C322/Cours_Hist_figé!C258 - 1</f>
        <v>2.8334517728581643E-2</v>
      </c>
      <c r="D258" s="29">
        <f>Cours_Hist_figé!D322/Cours_Hist_figé!D258 - 1</f>
        <v>-6.7478087214067894E-4</v>
      </c>
      <c r="E258" s="29">
        <f>Cours_Hist_figé!E322/Cours_Hist_figé!E258 - 1</f>
        <v>-6.7478087214034588E-4</v>
      </c>
    </row>
    <row r="259" spans="1:5" x14ac:dyDescent="0.4">
      <c r="A259" s="27">
        <v>42471</v>
      </c>
      <c r="B259" s="29">
        <f>Cours_Hist_figé!B323/Cours_Hist_figé!B259 - 1</f>
        <v>-1.4203021840844765E-2</v>
      </c>
      <c r="C259" s="29">
        <f>Cours_Hist_figé!C323/Cours_Hist_figé!C259 - 1</f>
        <v>2.5529773418157653E-2</v>
      </c>
      <c r="D259" s="29">
        <f>Cours_Hist_figé!D323/Cours_Hist_figé!D259 - 1</f>
        <v>-6.9606347247752609E-4</v>
      </c>
      <c r="E259" s="29">
        <f>Cours_Hist_figé!E323/Cours_Hist_figé!E259 - 1</f>
        <v>-6.9606347247752609E-4</v>
      </c>
    </row>
    <row r="260" spans="1:5" x14ac:dyDescent="0.4">
      <c r="A260" s="27">
        <v>42472</v>
      </c>
      <c r="B260" s="29">
        <f>Cours_Hist_figé!B324/Cours_Hist_figé!B260 - 1</f>
        <v>-5.2643770965017378E-3</v>
      </c>
      <c r="C260" s="29">
        <f>Cours_Hist_figé!C324/Cours_Hist_figé!C260 - 1</f>
        <v>2.4795208921318812E-2</v>
      </c>
      <c r="D260" s="29">
        <f>Cours_Hist_figé!D324/Cours_Hist_figé!D260 - 1</f>
        <v>-6.8566578607598405E-4</v>
      </c>
      <c r="E260" s="29">
        <f>Cours_Hist_figé!E324/Cours_Hist_figé!E260 - 1</f>
        <v>-6.8566578607587303E-4</v>
      </c>
    </row>
    <row r="261" spans="1:5" x14ac:dyDescent="0.4">
      <c r="A261" s="27">
        <v>42473</v>
      </c>
      <c r="B261" s="29">
        <f>Cours_Hist_figé!B325/Cours_Hist_figé!B261 - 1</f>
        <v>1.1082252239905221E-2</v>
      </c>
      <c r="C261" s="29">
        <f>Cours_Hist_figé!C325/Cours_Hist_figé!C261 - 1</f>
        <v>2.7110383174937525E-2</v>
      </c>
      <c r="D261" s="29">
        <f>Cours_Hist_figé!D325/Cours_Hist_figé!D261 - 1</f>
        <v>-6.8857334096816825E-4</v>
      </c>
      <c r="E261" s="29">
        <f>Cours_Hist_figé!E325/Cours_Hist_figé!E261 - 1</f>
        <v>-6.8857334096827927E-4</v>
      </c>
    </row>
    <row r="262" spans="1:5" x14ac:dyDescent="0.4">
      <c r="A262" s="27">
        <v>42474</v>
      </c>
      <c r="B262" s="29">
        <f>Cours_Hist_figé!B326/Cours_Hist_figé!B262 - 1</f>
        <v>1.0404438931407745E-2</v>
      </c>
      <c r="C262" s="29">
        <f>Cours_Hist_figé!C326/Cours_Hist_figé!C262 - 1</f>
        <v>2.4124028579034951E-2</v>
      </c>
      <c r="D262" s="29">
        <f>Cours_Hist_figé!D326/Cours_Hist_figé!D262 - 1</f>
        <v>-6.9146567194067199E-4</v>
      </c>
      <c r="E262" s="29">
        <f>Cours_Hist_figé!E326/Cours_Hist_figé!E262 - 1</f>
        <v>-6.9146567194056097E-4</v>
      </c>
    </row>
    <row r="263" spans="1:5" x14ac:dyDescent="0.4">
      <c r="A263" s="27">
        <v>42475</v>
      </c>
      <c r="B263" s="29">
        <f>Cours_Hist_figé!B327/Cours_Hist_figé!B263 - 1</f>
        <v>2.1677029259881131E-2</v>
      </c>
      <c r="C263" s="29">
        <f>Cours_Hist_figé!C327/Cours_Hist_figé!C263 - 1</f>
        <v>2.6659408546644947E-2</v>
      </c>
      <c r="D263" s="29">
        <f>Cours_Hist_figé!D327/Cours_Hist_figé!D263 - 1</f>
        <v>-6.942669079509356E-4</v>
      </c>
      <c r="E263" s="29">
        <f>Cours_Hist_figé!E327/Cours_Hist_figé!E263 - 1</f>
        <v>-6.9426690795104662E-4</v>
      </c>
    </row>
    <row r="264" spans="1:5" x14ac:dyDescent="0.4">
      <c r="A264" s="27">
        <v>42478</v>
      </c>
      <c r="B264" s="29">
        <f>Cours_Hist_figé!B328/Cours_Hist_figé!B264 - 1</f>
        <v>5.5891145051697677E-2</v>
      </c>
      <c r="C264" s="29">
        <f>Cours_Hist_figé!C328/Cours_Hist_figé!C264 - 1</f>
        <v>2.4097735140201859E-2</v>
      </c>
      <c r="D264" s="29">
        <f>Cours_Hist_figé!D328/Cours_Hist_figé!D264 - 1</f>
        <v>-7.1594593620583069E-4</v>
      </c>
      <c r="E264" s="29">
        <f>Cours_Hist_figé!E328/Cours_Hist_figé!E264 - 1</f>
        <v>-7.1594593620571967E-4</v>
      </c>
    </row>
    <row r="265" spans="1:5" x14ac:dyDescent="0.4">
      <c r="A265" s="27">
        <v>42479</v>
      </c>
      <c r="B265" s="29">
        <f>Cours_Hist_figé!B329/Cours_Hist_figé!B265 - 1</f>
        <v>7.5233242749676021E-2</v>
      </c>
      <c r="C265" s="29">
        <f>Cours_Hist_figé!C329/Cours_Hist_figé!C265 - 1</f>
        <v>2.3419846921042486E-2</v>
      </c>
      <c r="D265" s="29">
        <f>Cours_Hist_figé!D329/Cours_Hist_figé!D265 - 1</f>
        <v>-7.0576116643905618E-4</v>
      </c>
      <c r="E265" s="29">
        <f>Cours_Hist_figé!E329/Cours_Hist_figé!E265 - 1</f>
        <v>-7.057611664391672E-4</v>
      </c>
    </row>
    <row r="266" spans="1:5" x14ac:dyDescent="0.4">
      <c r="A266" s="27">
        <v>42480</v>
      </c>
      <c r="B266" s="29">
        <f>Cours_Hist_figé!B330/Cours_Hist_figé!B266 - 1</f>
        <v>6.6730874910944094E-2</v>
      </c>
      <c r="C266" s="29">
        <f>Cours_Hist_figé!C330/Cours_Hist_figé!C266 - 1</f>
        <v>2.4695870185714064E-2</v>
      </c>
      <c r="D266" s="29">
        <f>Cours_Hist_figé!D330/Cours_Hist_figé!D266 - 1</f>
        <v>-7.0845626635529513E-4</v>
      </c>
      <c r="E266" s="29">
        <f>Cours_Hist_figé!E330/Cours_Hist_figé!E266 - 1</f>
        <v>-7.0845626635529513E-4</v>
      </c>
    </row>
    <row r="267" spans="1:5" x14ac:dyDescent="0.4">
      <c r="A267" s="27">
        <v>42481</v>
      </c>
      <c r="B267" s="29">
        <f>Cours_Hist_figé!B331/Cours_Hist_figé!B267 - 1</f>
        <v>9.9145740884415634E-2</v>
      </c>
      <c r="C267" s="29">
        <f>Cours_Hist_figé!C331/Cours_Hist_figé!C267 - 1</f>
        <v>2.0364950644242485E-2</v>
      </c>
      <c r="D267" s="29">
        <f>Cours_Hist_figé!D331/Cours_Hist_figé!D267 - 1</f>
        <v>-7.1135652573484087E-4</v>
      </c>
      <c r="E267" s="29">
        <f>Cours_Hist_figé!E331/Cours_Hist_figé!E267 - 1</f>
        <v>-7.1135652573495189E-4</v>
      </c>
    </row>
    <row r="268" spans="1:5" x14ac:dyDescent="0.4">
      <c r="A268" s="27">
        <v>42482</v>
      </c>
      <c r="B268" s="29">
        <f>Cours_Hist_figé!B332/Cours_Hist_figé!B268 - 1</f>
        <v>7.4194084509988878E-2</v>
      </c>
      <c r="C268" s="29">
        <f>Cours_Hist_figé!C332/Cours_Hist_figé!C268 - 1</f>
        <v>1.7828713397813001E-2</v>
      </c>
      <c r="D268" s="29">
        <f>Cours_Hist_figé!D332/Cours_Hist_figé!D268 - 1</f>
        <v>-7.1424922879426145E-4</v>
      </c>
      <c r="E268" s="29">
        <f>Cours_Hist_figé!E332/Cours_Hist_figé!E268 - 1</f>
        <v>-7.1424922879415043E-4</v>
      </c>
    </row>
    <row r="269" spans="1:5" x14ac:dyDescent="0.4">
      <c r="A269" s="27">
        <v>42485</v>
      </c>
      <c r="B269" s="29">
        <f>Cours_Hist_figé!B333/Cours_Hist_figé!B269 - 1</f>
        <v>3.6628139824796069E-2</v>
      </c>
      <c r="C269" s="29">
        <f>Cours_Hist_figé!C333/Cours_Hist_figé!C269 - 1</f>
        <v>1.6769160107987124E-2</v>
      </c>
      <c r="D269" s="29">
        <f>Cours_Hist_figé!D333/Cours_Hist_figé!D269 - 1</f>
        <v>-7.3583819281430873E-4</v>
      </c>
      <c r="E269" s="29">
        <f>Cours_Hist_figé!E333/Cours_Hist_figé!E269 - 1</f>
        <v>-7.3583819281419771E-4</v>
      </c>
    </row>
    <row r="270" spans="1:5" x14ac:dyDescent="0.4">
      <c r="A270" s="27">
        <v>42486</v>
      </c>
      <c r="B270" s="29">
        <f>Cours_Hist_figé!B334/Cours_Hist_figé!B270 - 1</f>
        <v>4.5658159934141462E-2</v>
      </c>
      <c r="C270" s="29">
        <f>Cours_Hist_figé!C334/Cours_Hist_figé!C270 - 1</f>
        <v>1.4580074742351457E-2</v>
      </c>
      <c r="D270" s="29">
        <f>Cours_Hist_figé!D334/Cours_Hist_figé!D270 - 1</f>
        <v>-7.2524308248234082E-4</v>
      </c>
      <c r="E270" s="29">
        <f>Cours_Hist_figé!E334/Cours_Hist_figé!E270 - 1</f>
        <v>-7.252430824822298E-4</v>
      </c>
    </row>
    <row r="271" spans="1:5" x14ac:dyDescent="0.4">
      <c r="A271" s="27">
        <v>42487</v>
      </c>
      <c r="B271" s="29">
        <f>Cours_Hist_figé!B335/Cours_Hist_figé!B271 - 1</f>
        <v>4.0023390219893873E-2</v>
      </c>
      <c r="C271" s="29">
        <f>Cours_Hist_figé!C335/Cours_Hist_figé!C271 - 1</f>
        <v>1.2729605212709272E-2</v>
      </c>
      <c r="D271" s="29">
        <f>Cours_Hist_figé!D335/Cours_Hist_figé!D271 - 1</f>
        <v>-7.2814356861583551E-4</v>
      </c>
      <c r="E271" s="29">
        <f>Cours_Hist_figé!E335/Cours_Hist_figé!E271 - 1</f>
        <v>-7.2814356861572449E-4</v>
      </c>
    </row>
    <row r="272" spans="1:5" x14ac:dyDescent="0.4">
      <c r="A272" s="27">
        <v>42488</v>
      </c>
      <c r="B272" s="29">
        <f>Cours_Hist_figé!B336/Cours_Hist_figé!B272 - 1</f>
        <v>3.8704515816514684E-2</v>
      </c>
      <c r="C272" s="29">
        <f>Cours_Hist_figé!C336/Cours_Hist_figé!C272 - 1</f>
        <v>1.3932079661599817E-2</v>
      </c>
      <c r="D272" s="29">
        <f>Cours_Hist_figé!D336/Cours_Hist_figé!D272 - 1</f>
        <v>-7.3093769413579146E-4</v>
      </c>
      <c r="E272" s="29">
        <f>Cours_Hist_figé!E336/Cours_Hist_figé!E272 - 1</f>
        <v>-7.3093769413579146E-4</v>
      </c>
    </row>
    <row r="273" spans="1:5" x14ac:dyDescent="0.4">
      <c r="A273" s="27">
        <v>42489</v>
      </c>
      <c r="B273" s="29">
        <f>Cours_Hist_figé!B337/Cours_Hist_figé!B273 - 1</f>
        <v>3.2530455303368511E-2</v>
      </c>
      <c r="C273" s="29">
        <f>Cours_Hist_figé!C337/Cours_Hist_figé!C273 - 1</f>
        <v>1.1084691078004916E-2</v>
      </c>
      <c r="D273" s="29">
        <f>Cours_Hist_figé!D337/Cours_Hist_figé!D273 - 1</f>
        <v>-7.3373945135535301E-4</v>
      </c>
      <c r="E273" s="29">
        <f>Cours_Hist_figé!E337/Cours_Hist_figé!E273 - 1</f>
        <v>-7.3373945135535301E-4</v>
      </c>
    </row>
    <row r="274" spans="1:5" x14ac:dyDescent="0.4">
      <c r="A274" s="27">
        <v>42493</v>
      </c>
      <c r="B274" s="29">
        <f>Cours_Hist_figé!B338/Cours_Hist_figé!B274 - 1</f>
        <v>-6.9784673667789843E-3</v>
      </c>
      <c r="C274" s="29">
        <f>Cours_Hist_figé!C338/Cours_Hist_figé!C274 - 1</f>
        <v>1.101569757502241E-2</v>
      </c>
      <c r="D274" s="29">
        <f>Cours_Hist_figé!D338/Cours_Hist_figé!D274 - 1</f>
        <v>-7.6421436515061725E-4</v>
      </c>
      <c r="E274" s="29">
        <f>Cours_Hist_figé!E338/Cours_Hist_figé!E274 - 1</f>
        <v>-7.6421436515072827E-4</v>
      </c>
    </row>
    <row r="275" spans="1:5" x14ac:dyDescent="0.4">
      <c r="A275" s="27">
        <v>42494</v>
      </c>
      <c r="B275" s="29">
        <f>Cours_Hist_figé!B339/Cours_Hist_figé!B275 - 1</f>
        <v>-1.6304153620068096E-2</v>
      </c>
      <c r="C275" s="29">
        <f>Cours_Hist_figé!C339/Cours_Hist_figé!C275 - 1</f>
        <v>1.2089781512507836E-2</v>
      </c>
      <c r="D275" s="29">
        <f>Cours_Hist_figé!D339/Cours_Hist_figé!D275 - 1</f>
        <v>-7.5442416160209635E-4</v>
      </c>
      <c r="E275" s="29">
        <f>Cours_Hist_figé!E339/Cours_Hist_figé!E275 - 1</f>
        <v>-7.5442416160209635E-4</v>
      </c>
    </row>
    <row r="276" spans="1:5" x14ac:dyDescent="0.4">
      <c r="A276" s="27">
        <v>42495</v>
      </c>
      <c r="B276" s="29">
        <f>Cours_Hist_figé!B340/Cours_Hist_figé!B276 - 1</f>
        <v>9.335990709071984E-3</v>
      </c>
      <c r="C276" s="29">
        <f>Cours_Hist_figé!C340/Cours_Hist_figé!C276 - 1</f>
        <v>1.2410910251641205E-2</v>
      </c>
      <c r="D276" s="29">
        <f>Cours_Hist_figé!D340/Cours_Hist_figé!D276 - 1</f>
        <v>-7.5711976116332735E-4</v>
      </c>
      <c r="E276" s="29">
        <f>Cours_Hist_figé!E340/Cours_Hist_figé!E276 - 1</f>
        <v>-7.5711976116321633E-4</v>
      </c>
    </row>
    <row r="277" spans="1:5" x14ac:dyDescent="0.4">
      <c r="A277" s="27">
        <v>42496</v>
      </c>
      <c r="B277" s="29">
        <f>Cours_Hist_figé!B341/Cours_Hist_figé!B277 - 1</f>
        <v>2.1802861904395066E-2</v>
      </c>
      <c r="C277" s="29">
        <f>Cours_Hist_figé!C341/Cours_Hist_figé!C277 - 1</f>
        <v>1.136503491092089E-2</v>
      </c>
      <c r="D277" s="29">
        <f>Cours_Hist_figé!D341/Cours_Hist_figé!D277 - 1</f>
        <v>-7.6021807541837294E-4</v>
      </c>
      <c r="E277" s="29">
        <f>Cours_Hist_figé!E341/Cours_Hist_figé!E277 - 1</f>
        <v>-7.6021807541859499E-4</v>
      </c>
    </row>
    <row r="278" spans="1:5" x14ac:dyDescent="0.4">
      <c r="A278" s="27">
        <v>42499</v>
      </c>
      <c r="B278" s="29">
        <f>Cours_Hist_figé!B342/Cours_Hist_figé!B278 - 1</f>
        <v>2.7381746932375828E-2</v>
      </c>
      <c r="C278" s="29">
        <f>Cours_Hist_figé!C342/Cours_Hist_figé!C278 - 1</f>
        <v>1.400734533032133E-2</v>
      </c>
      <c r="D278" s="29">
        <f>Cours_Hist_figé!D342/Cours_Hist_figé!D278 - 1</f>
        <v>-7.8069964305449435E-4</v>
      </c>
      <c r="E278" s="29">
        <f>Cours_Hist_figé!E342/Cours_Hist_figé!E278 - 1</f>
        <v>-7.8069964305427231E-4</v>
      </c>
    </row>
    <row r="279" spans="1:5" x14ac:dyDescent="0.4">
      <c r="A279" s="27">
        <v>42500</v>
      </c>
      <c r="B279" s="29">
        <f>Cours_Hist_figé!B343/Cours_Hist_figé!B279 - 1</f>
        <v>4.5676512938395142E-2</v>
      </c>
      <c r="C279" s="29">
        <f>Cours_Hist_figé!C343/Cours_Hist_figé!C279 - 1</f>
        <v>1.4970419253409473E-2</v>
      </c>
      <c r="D279" s="29">
        <f>Cours_Hist_figé!D343/Cours_Hist_figé!D279 - 1</f>
        <v>-7.8339530905768839E-4</v>
      </c>
      <c r="E279" s="29">
        <f>Cours_Hist_figé!E343/Cours_Hist_figé!E279 - 1</f>
        <v>-7.8339530905768839E-4</v>
      </c>
    </row>
    <row r="280" spans="1:5" x14ac:dyDescent="0.4">
      <c r="A280" s="27">
        <v>42501</v>
      </c>
      <c r="B280" s="29">
        <f>Cours_Hist_figé!B344/Cours_Hist_figé!B280 - 1</f>
        <v>7.8218506910411323E-2</v>
      </c>
      <c r="C280" s="29">
        <f>Cours_Hist_figé!C344/Cours_Hist_figé!C280 - 1</f>
        <v>1.4436881626971543E-2</v>
      </c>
      <c r="D280" s="29">
        <f>Cours_Hist_figé!D344/Cours_Hist_figé!D280 - 1</f>
        <v>-7.7291387855760174E-4</v>
      </c>
      <c r="E280" s="29">
        <f>Cours_Hist_figé!E344/Cours_Hist_figé!E280 - 1</f>
        <v>-7.729138785573797E-4</v>
      </c>
    </row>
    <row r="281" spans="1:5" x14ac:dyDescent="0.4">
      <c r="A281" s="27">
        <v>42502</v>
      </c>
      <c r="B281" s="29">
        <f>Cours_Hist_figé!B345/Cours_Hist_figé!B281 - 1</f>
        <v>9.1273396807892704E-2</v>
      </c>
      <c r="C281" s="29">
        <f>Cours_Hist_figé!C345/Cours_Hist_figé!C281 - 1</f>
        <v>1.3834856871111301E-2</v>
      </c>
      <c r="D281" s="29">
        <f>Cours_Hist_figé!D345/Cours_Hist_figé!D281 - 1</f>
        <v>-7.7550338741438907E-4</v>
      </c>
      <c r="E281" s="29">
        <f>Cours_Hist_figé!E345/Cours_Hist_figé!E281 - 1</f>
        <v>-7.7550338741450009E-4</v>
      </c>
    </row>
    <row r="282" spans="1:5" x14ac:dyDescent="0.4">
      <c r="A282" s="27">
        <v>42503</v>
      </c>
      <c r="B282" s="29">
        <f>Cours_Hist_figé!B346/Cours_Hist_figé!B282 - 1</f>
        <v>7.7502033928219527E-2</v>
      </c>
      <c r="C282" s="29">
        <f>Cours_Hist_figé!C346/Cours_Hist_figé!C282 - 1</f>
        <v>1.4885531468115776E-2</v>
      </c>
      <c r="D282" s="29">
        <f>Cours_Hist_figé!D346/Cours_Hist_figé!D282 - 1</f>
        <v>-7.7840448970523113E-4</v>
      </c>
      <c r="E282" s="29">
        <f>Cours_Hist_figé!E346/Cours_Hist_figé!E282 - 1</f>
        <v>-7.7840448970512011E-4</v>
      </c>
    </row>
    <row r="283" spans="1:5" x14ac:dyDescent="0.4">
      <c r="A283" s="27">
        <v>42506</v>
      </c>
      <c r="B283" s="29">
        <f>Cours_Hist_figé!B347/Cours_Hist_figé!B283 - 1</f>
        <v>0.11955582307488077</v>
      </c>
      <c r="C283" s="29">
        <f>Cours_Hist_figé!C347/Cours_Hist_figé!C283 - 1</f>
        <v>1.3192999410831741E-2</v>
      </c>
      <c r="D283" s="29">
        <f>Cours_Hist_figé!D347/Cours_Hist_figé!D283 - 1</f>
        <v>-8.0019427100008755E-4</v>
      </c>
      <c r="E283" s="29">
        <f>Cours_Hist_figé!E347/Cours_Hist_figé!E283 - 1</f>
        <v>-8.0019427099997653E-4</v>
      </c>
    </row>
    <row r="284" spans="1:5" x14ac:dyDescent="0.4">
      <c r="A284" s="27">
        <v>42507</v>
      </c>
      <c r="B284" s="29">
        <f>Cours_Hist_figé!B348/Cours_Hist_figé!B284 - 1</f>
        <v>8.712504890865147E-2</v>
      </c>
      <c r="C284" s="29">
        <f>Cours_Hist_figé!C348/Cours_Hist_figé!C284 - 1</f>
        <v>1.6615553963362562E-2</v>
      </c>
      <c r="D284" s="29">
        <f>Cours_Hist_figé!D348/Cours_Hist_figé!D284 - 1</f>
        <v>-8.0317919282313355E-4</v>
      </c>
      <c r="E284" s="29">
        <f>Cours_Hist_figé!E348/Cours_Hist_figé!E284 - 1</f>
        <v>-8.0317919282302253E-4</v>
      </c>
    </row>
    <row r="285" spans="1:5" x14ac:dyDescent="0.4">
      <c r="A285" s="27">
        <v>42508</v>
      </c>
      <c r="B285" s="29">
        <f>Cours_Hist_figé!B349/Cours_Hist_figé!B285 - 1</f>
        <v>6.4698417358507454E-2</v>
      </c>
      <c r="C285" s="29">
        <f>Cours_Hist_figé!C349/Cours_Hist_figé!C285 - 1</f>
        <v>1.2742289281886254E-2</v>
      </c>
      <c r="D285" s="29">
        <f>Cours_Hist_figé!D349/Cours_Hist_figé!D285 - 1</f>
        <v>-7.9249267458492145E-4</v>
      </c>
      <c r="E285" s="29">
        <f>Cours_Hist_figé!E349/Cours_Hist_figé!E285 - 1</f>
        <v>-7.9249267458503247E-4</v>
      </c>
    </row>
    <row r="286" spans="1:5" x14ac:dyDescent="0.4">
      <c r="A286" s="27">
        <v>42509</v>
      </c>
      <c r="B286" s="29">
        <f>Cours_Hist_figé!B350/Cours_Hist_figé!B286 - 1</f>
        <v>5.806685942827805E-2</v>
      </c>
      <c r="C286" s="29">
        <f>Cours_Hist_figé!C350/Cours_Hist_figé!C286 - 1</f>
        <v>1.4192426988040685E-2</v>
      </c>
      <c r="D286" s="29">
        <f>Cours_Hist_figé!D350/Cours_Hist_figé!D286 - 1</f>
        <v>-7.9519644882342089E-4</v>
      </c>
      <c r="E286" s="29">
        <f>Cours_Hist_figé!E350/Cours_Hist_figé!E286 - 1</f>
        <v>-7.9519644882353191E-4</v>
      </c>
    </row>
    <row r="287" spans="1:5" x14ac:dyDescent="0.4">
      <c r="A287" s="27">
        <v>42510</v>
      </c>
      <c r="B287" s="29">
        <f>Cours_Hist_figé!B351/Cours_Hist_figé!B287 - 1</f>
        <v>4.3365639195102279E-2</v>
      </c>
      <c r="C287" s="29">
        <f>Cours_Hist_figé!C351/Cours_Hist_figé!C287 - 1</f>
        <v>1.3625073901224916E-2</v>
      </c>
      <c r="D287" s="29">
        <f>Cours_Hist_figé!D351/Cours_Hist_figé!D287 - 1</f>
        <v>-7.9788506260658476E-4</v>
      </c>
      <c r="E287" s="29">
        <f>Cours_Hist_figé!E351/Cours_Hist_figé!E287 - 1</f>
        <v>-7.9788506260658476E-4</v>
      </c>
    </row>
    <row r="288" spans="1:5" x14ac:dyDescent="0.4">
      <c r="A288" s="27">
        <v>42513</v>
      </c>
      <c r="B288" s="29">
        <f>Cours_Hist_figé!B352/Cours_Hist_figé!B288 - 1</f>
        <v>3.8843809101492432E-2</v>
      </c>
      <c r="C288" s="29">
        <f>Cours_Hist_figé!C352/Cours_Hist_figé!C288 - 1</f>
        <v>1.0069330287282963E-2</v>
      </c>
      <c r="D288" s="29">
        <f>Cours_Hist_figé!D352/Cours_Hist_figé!D288 - 1</f>
        <v>-8.1897681943665646E-4</v>
      </c>
      <c r="E288" s="29">
        <f>Cours_Hist_figé!E352/Cours_Hist_figé!E288 - 1</f>
        <v>-8.1897681943665646E-4</v>
      </c>
    </row>
    <row r="289" spans="1:5" x14ac:dyDescent="0.4">
      <c r="A289" s="27">
        <v>42514</v>
      </c>
      <c r="B289" s="29">
        <f>Cours_Hist_figé!B353/Cours_Hist_figé!B289 - 1</f>
        <v>7.0545320009616885E-2</v>
      </c>
      <c r="C289" s="29">
        <f>Cours_Hist_figé!C353/Cours_Hist_figé!C289 - 1</f>
        <v>1.0733249504244258E-2</v>
      </c>
      <c r="D289" s="29">
        <f>Cours_Hist_figé!D353/Cours_Hist_figé!D289 - 1</f>
        <v>-8.2156689103674019E-4</v>
      </c>
      <c r="E289" s="29">
        <f>Cours_Hist_figé!E353/Cours_Hist_figé!E289 - 1</f>
        <v>-8.2156689103674019E-4</v>
      </c>
    </row>
    <row r="290" spans="1:5" x14ac:dyDescent="0.4">
      <c r="A290" s="27">
        <v>42515</v>
      </c>
      <c r="B290" s="29">
        <f>Cours_Hist_figé!B354/Cours_Hist_figé!B290 - 1</f>
        <v>6.634253819204905E-2</v>
      </c>
      <c r="C290" s="29">
        <f>Cours_Hist_figé!C354/Cours_Hist_figé!C290 - 1</f>
        <v>1.1148500822181218E-2</v>
      </c>
      <c r="D290" s="29">
        <f>Cours_Hist_figé!D354/Cours_Hist_figé!D290 - 1</f>
        <v>-8.1078157743141865E-4</v>
      </c>
      <c r="E290" s="29">
        <f>Cours_Hist_figé!E354/Cours_Hist_figé!E290 - 1</f>
        <v>-8.1078157743152968E-4</v>
      </c>
    </row>
    <row r="291" spans="1:5" x14ac:dyDescent="0.4">
      <c r="A291" s="27">
        <v>42516</v>
      </c>
      <c r="B291" s="29">
        <f>Cours_Hist_figé!B355/Cours_Hist_figé!B291 - 1</f>
        <v>8.1830323246652847E-2</v>
      </c>
      <c r="C291" s="29">
        <f>Cours_Hist_figé!C355/Cours_Hist_figé!C291 - 1</f>
        <v>1.1605833542706279E-2</v>
      </c>
      <c r="D291" s="29">
        <f>Cours_Hist_figé!D355/Cours_Hist_figé!D291 - 1</f>
        <v>-8.1357682804628073E-4</v>
      </c>
      <c r="E291" s="29">
        <f>Cours_Hist_figé!E355/Cours_Hist_figé!E291 - 1</f>
        <v>-8.1357682804616971E-4</v>
      </c>
    </row>
    <row r="292" spans="1:5" x14ac:dyDescent="0.4">
      <c r="A292" s="27">
        <v>42517</v>
      </c>
      <c r="B292" s="29">
        <f>Cours_Hist_figé!B356/Cours_Hist_figé!B292 - 1</f>
        <v>0.11005256261327245</v>
      </c>
      <c r="C292" s="29">
        <f>Cours_Hist_figé!C356/Cours_Hist_figé!C292 - 1</f>
        <v>1.0136221102626575E-2</v>
      </c>
      <c r="D292" s="29">
        <f>Cours_Hist_figé!D356/Cours_Hist_figé!D292 - 1</f>
        <v>-8.1667625966530544E-4</v>
      </c>
      <c r="E292" s="29">
        <f>Cours_Hist_figé!E356/Cours_Hist_figé!E292 - 1</f>
        <v>-8.1667625966541646E-4</v>
      </c>
    </row>
    <row r="293" spans="1:5" x14ac:dyDescent="0.4">
      <c r="A293" s="27">
        <v>42521</v>
      </c>
      <c r="B293" s="29">
        <f>Cours_Hist_figé!B357/Cours_Hist_figé!B293 - 1</f>
        <v>8.0817394162702616E-2</v>
      </c>
      <c r="C293" s="29">
        <f>Cours_Hist_figé!C357/Cours_Hist_figé!C293 - 1</f>
        <v>9.7220952873533495E-3</v>
      </c>
      <c r="D293" s="29">
        <f>Cours_Hist_figé!D357/Cours_Hist_figé!D293 - 1</f>
        <v>-8.4814565895974248E-4</v>
      </c>
      <c r="E293" s="29">
        <f>Cours_Hist_figé!E357/Cours_Hist_figé!E293 - 1</f>
        <v>-8.481456589598535E-4</v>
      </c>
    </row>
    <row r="294" spans="1:5" x14ac:dyDescent="0.4">
      <c r="A294" s="27">
        <v>42522</v>
      </c>
      <c r="B294" s="29">
        <f>Cours_Hist_figé!B358/Cours_Hist_figé!B294 - 1</f>
        <v>5.3952855369122199E-2</v>
      </c>
      <c r="C294" s="29">
        <f>Cours_Hist_figé!C358/Cours_Hist_figé!C294 - 1</f>
        <v>9.8319549804053441E-3</v>
      </c>
      <c r="D294" s="29">
        <f>Cours_Hist_figé!D358/Cours_Hist_figé!D294 - 1</f>
        <v>-8.502420168399194E-4</v>
      </c>
      <c r="E294" s="29">
        <f>Cours_Hist_figé!E358/Cours_Hist_figé!E294 - 1</f>
        <v>-8.5024201683980838E-4</v>
      </c>
    </row>
    <row r="295" spans="1:5" x14ac:dyDescent="0.4">
      <c r="A295" s="27">
        <v>42523</v>
      </c>
      <c r="B295" s="29">
        <f>Cours_Hist_figé!B359/Cours_Hist_figé!B295 - 1</f>
        <v>4.7646526041162263E-2</v>
      </c>
      <c r="C295" s="29">
        <f>Cours_Hist_figé!C359/Cours_Hist_figé!C295 - 1</f>
        <v>7.7598840061983143E-3</v>
      </c>
      <c r="D295" s="29">
        <f>Cours_Hist_figé!D359/Cours_Hist_figé!D295 - 1</f>
        <v>-8.3925151648578389E-4</v>
      </c>
      <c r="E295" s="29">
        <f>Cours_Hist_figé!E359/Cours_Hist_figé!E295 - 1</f>
        <v>-8.3925151648567287E-4</v>
      </c>
    </row>
    <row r="296" spans="1:5" x14ac:dyDescent="0.4">
      <c r="A296" s="27">
        <v>42524</v>
      </c>
      <c r="B296" s="29">
        <f>Cours_Hist_figé!B360/Cours_Hist_figé!B296 - 1</f>
        <v>2.38798542550962E-2</v>
      </c>
      <c r="C296" s="29">
        <f>Cours_Hist_figé!C360/Cours_Hist_figé!C296 - 1</f>
        <v>1.1809639929544646E-2</v>
      </c>
      <c r="D296" s="29">
        <f>Cours_Hist_figé!D360/Cours_Hist_figé!D296 - 1</f>
        <v>-8.4215317997027306E-4</v>
      </c>
      <c r="E296" s="29">
        <f>Cours_Hist_figé!E360/Cours_Hist_figé!E296 - 1</f>
        <v>-8.4215317997027306E-4</v>
      </c>
    </row>
    <row r="297" spans="1:5" x14ac:dyDescent="0.4">
      <c r="A297" s="27">
        <v>42527</v>
      </c>
      <c r="B297" s="29">
        <f>Cours_Hist_figé!B361/Cours_Hist_figé!B297 - 1</f>
        <v>2.0180172343612135E-2</v>
      </c>
      <c r="C297" s="29">
        <f>Cours_Hist_figé!C361/Cours_Hist_figé!C297 - 1</f>
        <v>1.3789710303238278E-2</v>
      </c>
      <c r="D297" s="29">
        <f>Cours_Hist_figé!D361/Cours_Hist_figé!D297 - 1</f>
        <v>-8.6373344810863895E-4</v>
      </c>
      <c r="E297" s="29">
        <f>Cours_Hist_figé!E361/Cours_Hist_figé!E297 - 1</f>
        <v>-8.6373344810863895E-4</v>
      </c>
    </row>
    <row r="298" spans="1:5" x14ac:dyDescent="0.4">
      <c r="A298" s="27">
        <v>42528</v>
      </c>
      <c r="B298" s="29">
        <f>Cours_Hist_figé!B362/Cours_Hist_figé!B298 - 1</f>
        <v>3.5421509473018808E-2</v>
      </c>
      <c r="C298" s="29">
        <f>Cours_Hist_figé!C362/Cours_Hist_figé!C298 - 1</f>
        <v>1.4248149535099675E-2</v>
      </c>
      <c r="D298" s="29">
        <f>Cours_Hist_figé!D362/Cours_Hist_figé!D298 - 1</f>
        <v>-8.6643021704058132E-4</v>
      </c>
      <c r="E298" s="29">
        <f>Cours_Hist_figé!E362/Cours_Hist_figé!E298 - 1</f>
        <v>-8.6643021704069234E-4</v>
      </c>
    </row>
    <row r="299" spans="1:5" x14ac:dyDescent="0.4">
      <c r="A299" s="27">
        <v>42529</v>
      </c>
      <c r="B299" s="29">
        <f>Cours_Hist_figé!B363/Cours_Hist_figé!B299 - 1</f>
        <v>2.3556742607895753E-2</v>
      </c>
      <c r="C299" s="29">
        <f>Cours_Hist_figé!C363/Cours_Hist_figé!C299 - 1</f>
        <v>1.7508135964660054E-2</v>
      </c>
      <c r="D299" s="29">
        <f>Cours_Hist_figé!D363/Cours_Hist_figé!D299 - 1</f>
        <v>-8.6902827855261933E-4</v>
      </c>
      <c r="E299" s="29">
        <f>Cours_Hist_figé!E363/Cours_Hist_figé!E299 - 1</f>
        <v>-8.6902827855261933E-4</v>
      </c>
    </row>
    <row r="300" spans="1:5" x14ac:dyDescent="0.4">
      <c r="A300" s="27">
        <v>42530</v>
      </c>
      <c r="B300" s="29">
        <f>Cours_Hist_figé!B364/Cours_Hist_figé!B300 - 1</f>
        <v>1.6598728100949867E-2</v>
      </c>
      <c r="C300" s="29">
        <f>Cours_Hist_figé!C364/Cours_Hist_figé!C300 - 1</f>
        <v>1.799196035811601E-2</v>
      </c>
      <c r="D300" s="29">
        <f>Cours_Hist_figé!D364/Cours_Hist_figé!D300 - 1</f>
        <v>-8.587442362822939E-4</v>
      </c>
      <c r="E300" s="29">
        <f>Cours_Hist_figé!E364/Cours_Hist_figé!E300 - 1</f>
        <v>-8.587442362822939E-4</v>
      </c>
    </row>
    <row r="301" spans="1:5" x14ac:dyDescent="0.4">
      <c r="A301" s="27">
        <v>42531</v>
      </c>
      <c r="B301" s="29">
        <f>Cours_Hist_figé!B365/Cours_Hist_figé!B301 - 1</f>
        <v>2.0698018164759802E-3</v>
      </c>
      <c r="C301" s="29">
        <f>Cours_Hist_figé!C365/Cours_Hist_figé!C301 - 1</f>
        <v>1.6683473375593616E-2</v>
      </c>
      <c r="D301" s="29">
        <f>Cours_Hist_figé!D365/Cours_Hist_figé!D301 - 1</f>
        <v>-8.6133471956173491E-4</v>
      </c>
      <c r="E301" s="29">
        <f>Cours_Hist_figé!E365/Cours_Hist_figé!E301 - 1</f>
        <v>-8.6133471956195695E-4</v>
      </c>
    </row>
    <row r="302" spans="1:5" x14ac:dyDescent="0.4">
      <c r="A302" s="27">
        <v>42534</v>
      </c>
      <c r="B302" s="29">
        <f>Cours_Hist_figé!B366/Cours_Hist_figé!B302 - 1</f>
        <v>-2.0915702668011016E-2</v>
      </c>
      <c r="C302" s="29">
        <f>Cours_Hist_figé!C366/Cours_Hist_figé!C302 - 1</f>
        <v>1.6854815512092891E-2</v>
      </c>
      <c r="D302" s="29">
        <f>Cours_Hist_figé!D366/Cours_Hist_figé!D302 - 1</f>
        <v>-8.8221659603404667E-4</v>
      </c>
      <c r="E302" s="29">
        <f>Cours_Hist_figé!E366/Cours_Hist_figé!E302 - 1</f>
        <v>-8.8221659603393565E-4</v>
      </c>
    </row>
    <row r="303" spans="1:5" x14ac:dyDescent="0.4">
      <c r="A303" s="27">
        <v>42535</v>
      </c>
      <c r="B303" s="29">
        <f>Cours_Hist_figé!B367/Cours_Hist_figé!B303 - 1</f>
        <v>-2.2970631561452071E-2</v>
      </c>
      <c r="C303" s="29">
        <f>Cours_Hist_figé!C367/Cours_Hist_figé!C303 - 1</f>
        <v>2.0227088642604363E-2</v>
      </c>
      <c r="D303" s="29">
        <f>Cours_Hist_figé!D367/Cours_Hist_figé!D303 - 1</f>
        <v>-8.8471603182727065E-4</v>
      </c>
      <c r="E303" s="29">
        <f>Cours_Hist_figé!E367/Cours_Hist_figé!E303 - 1</f>
        <v>-8.8471603182715963E-4</v>
      </c>
    </row>
    <row r="304" spans="1:5" x14ac:dyDescent="0.4">
      <c r="A304" s="27">
        <v>42536</v>
      </c>
      <c r="B304" s="29">
        <f>Cours_Hist_figé!B368/Cours_Hist_figé!B304 - 1</f>
        <v>-3.8837030011591889E-2</v>
      </c>
      <c r="C304" s="29">
        <f>Cours_Hist_figé!C368/Cours_Hist_figé!C304 - 1</f>
        <v>1.597391993005548E-2</v>
      </c>
      <c r="D304" s="29">
        <f>Cours_Hist_figé!D368/Cours_Hist_figé!D304 - 1</f>
        <v>-8.8721558829429892E-4</v>
      </c>
      <c r="E304" s="29">
        <f>Cours_Hist_figé!E368/Cours_Hist_figé!E304 - 1</f>
        <v>-8.8721558829440994E-4</v>
      </c>
    </row>
    <row r="305" spans="1:5" x14ac:dyDescent="0.4">
      <c r="A305" s="27">
        <v>42537</v>
      </c>
      <c r="B305" s="29">
        <f>Cours_Hist_figé!B369/Cours_Hist_figé!B305 - 1</f>
        <v>-5.1533723408181187E-2</v>
      </c>
      <c r="C305" s="29">
        <f>Cours_Hist_figé!C369/Cours_Hist_figé!C305 - 1</f>
        <v>1.4751331942009616E-2</v>
      </c>
      <c r="D305" s="29">
        <f>Cours_Hist_figé!D369/Cours_Hist_figé!D305 - 1</f>
        <v>-8.7632365527312572E-4</v>
      </c>
      <c r="E305" s="29">
        <f>Cours_Hist_figé!E369/Cours_Hist_figé!E305 - 1</f>
        <v>-8.7632365527323675E-4</v>
      </c>
    </row>
    <row r="306" spans="1:5" x14ac:dyDescent="0.4">
      <c r="A306" s="27">
        <v>42538</v>
      </c>
      <c r="B306" s="29">
        <f>Cours_Hist_figé!B370/Cours_Hist_figé!B306 - 1</f>
        <v>-2.7727591042266631E-2</v>
      </c>
      <c r="C306" s="29">
        <f>Cours_Hist_figé!C370/Cours_Hist_figé!C306 - 1</f>
        <v>1.6499788522103875E-2</v>
      </c>
      <c r="D306" s="29">
        <f>Cours_Hist_figé!D370/Cours_Hist_figé!D306 - 1</f>
        <v>-8.7892205834816384E-4</v>
      </c>
      <c r="E306" s="29">
        <f>Cours_Hist_figé!E370/Cours_Hist_figé!E306 - 1</f>
        <v>-8.7892205834827486E-4</v>
      </c>
    </row>
    <row r="307" spans="1:5" x14ac:dyDescent="0.4">
      <c r="A307" s="27">
        <v>42541</v>
      </c>
      <c r="B307" s="29">
        <f>Cours_Hist_figé!B371/Cours_Hist_figé!B307 - 1</f>
        <v>6.9277519328050374E-3</v>
      </c>
      <c r="C307" s="29">
        <f>Cours_Hist_figé!C371/Cours_Hist_figé!C307 - 1</f>
        <v>1.5760415458648147E-2</v>
      </c>
      <c r="D307" s="29">
        <f>Cours_Hist_figé!D371/Cours_Hist_figé!D307 - 1</f>
        <v>-9.0039840443589814E-4</v>
      </c>
      <c r="E307" s="29">
        <f>Cours_Hist_figé!E371/Cours_Hist_figé!E307 - 1</f>
        <v>-9.0039840443578711E-4</v>
      </c>
    </row>
    <row r="308" spans="1:5" x14ac:dyDescent="0.4">
      <c r="A308" s="27">
        <v>42542</v>
      </c>
      <c r="B308" s="29">
        <f>Cours_Hist_figé!B372/Cours_Hist_figé!B308 - 1</f>
        <v>1.4557658922595085E-2</v>
      </c>
      <c r="C308" s="29">
        <f>Cours_Hist_figé!C372/Cours_Hist_figé!C308 - 1</f>
        <v>1.244391986130311E-2</v>
      </c>
      <c r="D308" s="29">
        <f>Cours_Hist_figé!D372/Cours_Hist_figé!D308 - 1</f>
        <v>-9.0050570279975872E-4</v>
      </c>
      <c r="E308" s="29">
        <f>Cours_Hist_figé!E372/Cours_Hist_figé!E308 - 1</f>
        <v>-9.0050570279986974E-4</v>
      </c>
    </row>
    <row r="309" spans="1:5" x14ac:dyDescent="0.4">
      <c r="A309" s="27">
        <v>42543</v>
      </c>
      <c r="B309" s="29">
        <f>Cours_Hist_figé!B373/Cours_Hist_figé!B309 - 1</f>
        <v>1.5360831268526276E-2</v>
      </c>
      <c r="C309" s="29">
        <f>Cours_Hist_figé!C373/Cours_Hist_figé!C309 - 1</f>
        <v>1.1310619054089921E-2</v>
      </c>
      <c r="D309" s="29">
        <f>Cours_Hist_figé!D373/Cours_Hist_figé!D309 - 1</f>
        <v>-9.0020262960410768E-4</v>
      </c>
      <c r="E309" s="29">
        <f>Cours_Hist_figé!E373/Cours_Hist_figé!E309 - 1</f>
        <v>-9.0020262960399666E-4</v>
      </c>
    </row>
    <row r="310" spans="1:5" x14ac:dyDescent="0.4">
      <c r="A310" s="27">
        <v>42544</v>
      </c>
      <c r="B310" s="29">
        <f>Cours_Hist_figé!B374/Cours_Hist_figé!B310 - 1</f>
        <v>3.282135302377065E-2</v>
      </c>
      <c r="C310" s="29">
        <f>Cours_Hist_figé!C374/Cours_Hist_figé!C310 - 1</f>
        <v>1.0080752065299903E-2</v>
      </c>
      <c r="D310" s="29">
        <f>Cours_Hist_figé!D374/Cours_Hist_figé!D310 - 1</f>
        <v>-8.809164596773611E-4</v>
      </c>
      <c r="E310" s="29">
        <f>Cours_Hist_figé!E374/Cours_Hist_figé!E310 - 1</f>
        <v>-8.8091645967725007E-4</v>
      </c>
    </row>
    <row r="311" spans="1:5" x14ac:dyDescent="0.4">
      <c r="A311" s="27">
        <v>42545</v>
      </c>
      <c r="B311" s="29">
        <f>Cours_Hist_figé!B375/Cours_Hist_figé!B311 - 1</f>
        <v>-3.6258321799086168E-2</v>
      </c>
      <c r="C311" s="29">
        <f>Cours_Hist_figé!C375/Cours_Hist_figé!C311 - 1</f>
        <v>1.2147332067986127E-2</v>
      </c>
      <c r="D311" s="29">
        <f>Cours_Hist_figé!D375/Cours_Hist_figé!D311 - 1</f>
        <v>-8.8092491230906678E-4</v>
      </c>
      <c r="E311" s="29">
        <f>Cours_Hist_figé!E375/Cours_Hist_figé!E311 - 1</f>
        <v>-8.8092491230906678E-4</v>
      </c>
    </row>
    <row r="312" spans="1:5" x14ac:dyDescent="0.4">
      <c r="A312" s="27">
        <v>42548</v>
      </c>
      <c r="B312" s="29">
        <f>Cours_Hist_figé!B376/Cours_Hist_figé!B312 - 1</f>
        <v>-7.3079795776183842E-2</v>
      </c>
      <c r="C312" s="29">
        <f>Cours_Hist_figé!C376/Cours_Hist_figé!C312 - 1</f>
        <v>1.6392352980995062E-2</v>
      </c>
      <c r="D312" s="29">
        <f>Cours_Hist_figé!D376/Cours_Hist_figé!D312 - 1</f>
        <v>-8.9820806601237368E-4</v>
      </c>
      <c r="E312" s="29">
        <f>Cours_Hist_figé!E376/Cours_Hist_figé!E312 - 1</f>
        <v>-8.9820806601237368E-4</v>
      </c>
    </row>
    <row r="313" spans="1:5" x14ac:dyDescent="0.4">
      <c r="A313" s="27">
        <v>42549</v>
      </c>
      <c r="B313" s="29">
        <f>Cours_Hist_figé!B377/Cours_Hist_figé!B313 - 1</f>
        <v>-3.5635774025769673E-2</v>
      </c>
      <c r="C313" s="29">
        <f>Cours_Hist_figé!C377/Cours_Hist_figé!C313 - 1</f>
        <v>1.8682955353486408E-2</v>
      </c>
      <c r="D313" s="29">
        <f>Cours_Hist_figé!D377/Cours_Hist_figé!D313 - 1</f>
        <v>-8.9790495332420228E-4</v>
      </c>
      <c r="E313" s="29">
        <f>Cours_Hist_figé!E377/Cours_Hist_figé!E313 - 1</f>
        <v>-8.9790495332420228E-4</v>
      </c>
    </row>
    <row r="314" spans="1:5" x14ac:dyDescent="0.4">
      <c r="A314" s="27">
        <v>42550</v>
      </c>
      <c r="B314" s="29">
        <f>Cours_Hist_figé!B378/Cours_Hist_figé!B314 - 1</f>
        <v>-1.0138072284404664E-2</v>
      </c>
      <c r="C314" s="29">
        <f>Cours_Hist_figé!C378/Cours_Hist_figé!C314 - 1</f>
        <v>1.6863698240873193E-2</v>
      </c>
      <c r="D314" s="29">
        <f>Cours_Hist_figé!D378/Cours_Hist_figé!D314 - 1</f>
        <v>-8.5884246254619434E-4</v>
      </c>
      <c r="E314" s="29">
        <f>Cours_Hist_figé!E378/Cours_Hist_figé!E314 - 1</f>
        <v>-8.5884246254619434E-4</v>
      </c>
    </row>
    <row r="315" spans="1:5" x14ac:dyDescent="0.4">
      <c r="A315" s="27">
        <v>42551</v>
      </c>
      <c r="B315" s="29">
        <f>Cours_Hist_figé!B379/Cours_Hist_figé!B315 - 1</f>
        <v>-1.2714434806203156E-2</v>
      </c>
      <c r="C315" s="29">
        <f>Cours_Hist_figé!C379/Cours_Hist_figé!C315 - 1</f>
        <v>1.8747841070260174E-2</v>
      </c>
      <c r="D315" s="29">
        <f>Cours_Hist_figé!D379/Cours_Hist_figé!D315 - 1</f>
        <v>-8.5863780376749244E-4</v>
      </c>
      <c r="E315" s="29">
        <f>Cours_Hist_figé!E379/Cours_Hist_figé!E315 - 1</f>
        <v>-8.5863780376738141E-4</v>
      </c>
    </row>
    <row r="316" spans="1:5" x14ac:dyDescent="0.4">
      <c r="A316" s="27">
        <v>42552</v>
      </c>
      <c r="B316" s="29">
        <f>Cours_Hist_figé!B380/Cours_Hist_figé!B316 - 1</f>
        <v>5.1570905779383391E-3</v>
      </c>
      <c r="C316" s="29">
        <f>Cours_Hist_figé!C380/Cours_Hist_figé!C316 - 1</f>
        <v>2.0779736901882062E-2</v>
      </c>
      <c r="D316" s="29">
        <f>Cours_Hist_figé!D380/Cours_Hist_figé!D316 - 1</f>
        <v>-8.5714047386753478E-4</v>
      </c>
      <c r="E316" s="29">
        <f>Cours_Hist_figé!E380/Cours_Hist_figé!E316 - 1</f>
        <v>-8.5714047386753478E-4</v>
      </c>
    </row>
    <row r="317" spans="1:5" x14ac:dyDescent="0.4">
      <c r="A317" s="27">
        <v>42555</v>
      </c>
      <c r="B317" s="29">
        <f>Cours_Hist_figé!B381/Cours_Hist_figé!B317 - 1</f>
        <v>1.1351457243964358E-2</v>
      </c>
      <c r="C317" s="29">
        <f>Cours_Hist_figé!C381/Cours_Hist_figé!C317 - 1</f>
        <v>2.0292265131910625E-2</v>
      </c>
      <c r="D317" s="29">
        <f>Cours_Hist_figé!D381/Cours_Hist_figé!D317 - 1</f>
        <v>-8.7542757201752863E-4</v>
      </c>
      <c r="E317" s="29">
        <f>Cours_Hist_figé!E381/Cours_Hist_figé!E317 - 1</f>
        <v>-8.7542757201763965E-4</v>
      </c>
    </row>
    <row r="318" spans="1:5" x14ac:dyDescent="0.4">
      <c r="A318" s="27">
        <v>42556</v>
      </c>
      <c r="B318" s="29">
        <f>Cours_Hist_figé!B382/Cours_Hist_figé!B318 - 1</f>
        <v>-8.7582390285233513E-3</v>
      </c>
      <c r="C318" s="29">
        <f>Cours_Hist_figé!C382/Cours_Hist_figé!C318 - 1</f>
        <v>2.1487125780939476E-2</v>
      </c>
      <c r="D318" s="29">
        <f>Cours_Hist_figé!D382/Cours_Hist_figé!D318 - 1</f>
        <v>-8.5624388221361425E-4</v>
      </c>
      <c r="E318" s="29">
        <f>Cours_Hist_figé!E382/Cours_Hist_figé!E318 - 1</f>
        <v>-8.5624388221372527E-4</v>
      </c>
    </row>
    <row r="319" spans="1:5" x14ac:dyDescent="0.4">
      <c r="A319" s="27">
        <v>42557</v>
      </c>
      <c r="B319" s="29">
        <f>Cours_Hist_figé!B383/Cours_Hist_figé!B319 - 1</f>
        <v>-6.4586104881451112E-3</v>
      </c>
      <c r="C319" s="29">
        <f>Cours_Hist_figé!C383/Cours_Hist_figé!C319 - 1</f>
        <v>2.0830673464581784E-2</v>
      </c>
      <c r="D319" s="29">
        <f>Cours_Hist_figé!D383/Cours_Hist_figé!D319 - 1</f>
        <v>-8.5603884211415959E-4</v>
      </c>
      <c r="E319" s="29">
        <f>Cours_Hist_figé!E383/Cours_Hist_figé!E319 - 1</f>
        <v>-8.5603884211415959E-4</v>
      </c>
    </row>
    <row r="320" spans="1:5" x14ac:dyDescent="0.4">
      <c r="A320" s="27">
        <v>42558</v>
      </c>
      <c r="B320" s="29">
        <f>Cours_Hist_figé!B384/Cours_Hist_figé!B320 - 1</f>
        <v>-3.7720543267614204E-3</v>
      </c>
      <c r="C320" s="29">
        <f>Cours_Hist_figé!C384/Cours_Hist_figé!C320 - 1</f>
        <v>2.13558081191354E-2</v>
      </c>
      <c r="D320" s="29">
        <f>Cours_Hist_figé!D384/Cours_Hist_figé!D320 - 1</f>
        <v>-8.5594025847257615E-4</v>
      </c>
      <c r="E320" s="29">
        <f>Cours_Hist_figé!E384/Cours_Hist_figé!E320 - 1</f>
        <v>-8.5594025847246513E-4</v>
      </c>
    </row>
    <row r="321" spans="1:5" x14ac:dyDescent="0.4">
      <c r="A321" s="27">
        <v>42559</v>
      </c>
      <c r="B321" s="29">
        <f>Cours_Hist_figé!B385/Cours_Hist_figé!B321 - 1</f>
        <v>1.8480578185018359E-2</v>
      </c>
      <c r="C321" s="29">
        <f>Cours_Hist_figé!C385/Cours_Hist_figé!C321 - 1</f>
        <v>2.3877780452878694E-2</v>
      </c>
      <c r="D321" s="29">
        <f>Cours_Hist_figé!D385/Cours_Hist_figé!D321 - 1</f>
        <v>-8.5574290077428117E-4</v>
      </c>
      <c r="E321" s="29">
        <f>Cours_Hist_figé!E385/Cours_Hist_figé!E321 - 1</f>
        <v>-8.5574290077428117E-4</v>
      </c>
    </row>
    <row r="322" spans="1:5" x14ac:dyDescent="0.4">
      <c r="A322" s="27">
        <v>42562</v>
      </c>
      <c r="B322" s="29">
        <f>Cours_Hist_figé!B386/Cours_Hist_figé!B322 - 1</f>
        <v>2.2390908732950798E-2</v>
      </c>
      <c r="C322" s="29">
        <f>Cours_Hist_figé!C386/Cours_Hist_figé!C322 - 1</f>
        <v>2.2900221276015431E-2</v>
      </c>
      <c r="D322" s="29">
        <f>Cours_Hist_figé!D386/Cours_Hist_figé!D322 - 1</f>
        <v>-8.7322578460979905E-4</v>
      </c>
      <c r="E322" s="29">
        <f>Cours_Hist_figé!E386/Cours_Hist_figé!E322 - 1</f>
        <v>-8.7322578461002109E-4</v>
      </c>
    </row>
    <row r="323" spans="1:5" x14ac:dyDescent="0.4">
      <c r="A323" s="27">
        <v>42563</v>
      </c>
      <c r="B323" s="29">
        <f>Cours_Hist_figé!B387/Cours_Hist_figé!B323 - 1</f>
        <v>2.9234280711628147E-2</v>
      </c>
      <c r="C323" s="29">
        <f>Cours_Hist_figé!C387/Cours_Hist_figé!C323 - 1</f>
        <v>2.1504288711639674E-2</v>
      </c>
      <c r="D323" s="29">
        <f>Cours_Hist_figé!D387/Cours_Hist_figé!D323 - 1</f>
        <v>-8.5453500823917672E-4</v>
      </c>
      <c r="E323" s="29">
        <f>Cours_Hist_figé!E387/Cours_Hist_figé!E323 - 1</f>
        <v>-8.545350082390657E-4</v>
      </c>
    </row>
    <row r="324" spans="1:5" x14ac:dyDescent="0.4">
      <c r="A324" s="27">
        <v>42564</v>
      </c>
      <c r="B324" s="29">
        <f>Cours_Hist_figé!B388/Cours_Hist_figé!B324 - 1</f>
        <v>2.2015097261748995E-2</v>
      </c>
      <c r="C324" s="29">
        <f>Cours_Hist_figé!C388/Cours_Hist_figé!C324 - 1</f>
        <v>2.6116395292600458E-2</v>
      </c>
      <c r="D324" s="29">
        <f>Cours_Hist_figé!D388/Cours_Hist_figé!D324 - 1</f>
        <v>-8.5434514209881129E-4</v>
      </c>
      <c r="E324" s="29">
        <f>Cours_Hist_figé!E388/Cours_Hist_figé!E324 - 1</f>
        <v>-8.5434514209881129E-4</v>
      </c>
    </row>
    <row r="325" spans="1:5" x14ac:dyDescent="0.4">
      <c r="A325" s="27">
        <v>42565</v>
      </c>
      <c r="B325" s="29">
        <f>Cours_Hist_figé!B389/Cours_Hist_figé!B325 - 1</f>
        <v>4.0554673319985746E-3</v>
      </c>
      <c r="C325" s="29">
        <f>Cours_Hist_figé!C389/Cours_Hist_figé!C325 - 1</f>
        <v>2.2065960210336355E-2</v>
      </c>
      <c r="D325" s="29">
        <f>Cours_Hist_figé!D389/Cours_Hist_figé!D325 - 1</f>
        <v>-8.5394260448634629E-4</v>
      </c>
      <c r="E325" s="29">
        <f>Cours_Hist_figé!E389/Cours_Hist_figé!E325 - 1</f>
        <v>-8.5394260448645731E-4</v>
      </c>
    </row>
    <row r="326" spans="1:5" x14ac:dyDescent="0.4">
      <c r="A326" s="27">
        <v>42566</v>
      </c>
      <c r="B326" s="29">
        <f>Cours_Hist_figé!B390/Cours_Hist_figé!B326 - 1</f>
        <v>-1.0569077569342333E-3</v>
      </c>
      <c r="C326" s="29">
        <f>Cours_Hist_figé!C390/Cours_Hist_figé!C326 - 1</f>
        <v>2.1105932817058859E-2</v>
      </c>
      <c r="D326" s="29">
        <f>Cours_Hist_figé!D390/Cours_Hist_figé!D326 - 1</f>
        <v>-8.5373769491470242E-4</v>
      </c>
      <c r="E326" s="29">
        <f>Cours_Hist_figé!E390/Cours_Hist_figé!E326 - 1</f>
        <v>-8.5373769491492446E-4</v>
      </c>
    </row>
    <row r="327" spans="1:5" x14ac:dyDescent="0.4">
      <c r="A327" s="27">
        <v>42569</v>
      </c>
      <c r="B327" s="29">
        <f>Cours_Hist_figé!B391/Cours_Hist_figé!B327 - 1</f>
        <v>4.2133454370387735E-3</v>
      </c>
      <c r="C327" s="29">
        <f>Cours_Hist_figé!C391/Cours_Hist_figé!C327 - 1</f>
        <v>2.0846521205285518E-2</v>
      </c>
      <c r="D327" s="29">
        <f>Cours_Hist_figé!D391/Cours_Hist_figé!D327 - 1</f>
        <v>-8.7202799439078937E-4</v>
      </c>
      <c r="E327" s="29">
        <f>Cours_Hist_figé!E391/Cours_Hist_figé!E327 - 1</f>
        <v>-8.7202799439067835E-4</v>
      </c>
    </row>
    <row r="328" spans="1:5" x14ac:dyDescent="0.4">
      <c r="A328" s="27">
        <v>42570</v>
      </c>
      <c r="B328" s="29">
        <f>Cours_Hist_figé!B392/Cours_Hist_figé!B328 - 1</f>
        <v>-4.1443222510882949E-3</v>
      </c>
      <c r="C328" s="29">
        <f>Cours_Hist_figé!C392/Cours_Hist_figé!C328 - 1</f>
        <v>2.2325476619750928E-2</v>
      </c>
      <c r="D328" s="29">
        <f>Cours_Hist_figé!D392/Cours_Hist_figé!D328 - 1</f>
        <v>-8.5294100222310654E-4</v>
      </c>
      <c r="E328" s="29">
        <f>Cours_Hist_figé!E392/Cours_Hist_figé!E328 - 1</f>
        <v>-8.5294100222321756E-4</v>
      </c>
    </row>
    <row r="329" spans="1:5" x14ac:dyDescent="0.4">
      <c r="A329" s="27">
        <v>42571</v>
      </c>
      <c r="B329" s="29">
        <f>Cours_Hist_figé!B393/Cours_Hist_figé!B329 - 1</f>
        <v>-9.0184389222185413E-3</v>
      </c>
      <c r="C329" s="29">
        <f>Cours_Hist_figé!C393/Cours_Hist_figé!C329 - 1</f>
        <v>2.3587973171459664E-2</v>
      </c>
      <c r="D329" s="29">
        <f>Cours_Hist_figé!D393/Cours_Hist_figé!D329 - 1</f>
        <v>-8.5253859701395207E-4</v>
      </c>
      <c r="E329" s="29">
        <f>Cours_Hist_figé!E393/Cours_Hist_figé!E329 - 1</f>
        <v>-8.5253859701384105E-4</v>
      </c>
    </row>
    <row r="330" spans="1:5" x14ac:dyDescent="0.4">
      <c r="A330" s="27">
        <v>42572</v>
      </c>
      <c r="B330" s="29">
        <f>Cours_Hist_figé!B394/Cours_Hist_figé!B330 - 1</f>
        <v>-1.4508901564139309E-2</v>
      </c>
      <c r="C330" s="29">
        <f>Cours_Hist_figé!C394/Cours_Hist_figé!C330 - 1</f>
        <v>2.2037082979164735E-2</v>
      </c>
      <c r="D330" s="29">
        <f>Cours_Hist_figé!D394/Cours_Hist_figé!D330 - 1</f>
        <v>-8.5234126788524822E-4</v>
      </c>
      <c r="E330" s="29">
        <f>Cours_Hist_figé!E394/Cours_Hist_figé!E330 - 1</f>
        <v>-8.523412678851372E-4</v>
      </c>
    </row>
    <row r="331" spans="1:5" x14ac:dyDescent="0.4">
      <c r="A331" s="27">
        <v>42573</v>
      </c>
      <c r="B331" s="29">
        <f>Cours_Hist_figé!B395/Cours_Hist_figé!B331 - 1</f>
        <v>-1.2174361313819437E-2</v>
      </c>
      <c r="C331" s="29">
        <f>Cours_Hist_figé!C395/Cours_Hist_figé!C331 - 1</f>
        <v>2.6359485602469368E-2</v>
      </c>
      <c r="D331" s="29">
        <f>Cours_Hist_figé!D395/Cours_Hist_figé!D331 - 1</f>
        <v>-8.5214401929811778E-4</v>
      </c>
      <c r="E331" s="29">
        <f>Cours_Hist_figé!E395/Cours_Hist_figé!E331 - 1</f>
        <v>-8.5214401929811778E-4</v>
      </c>
    </row>
    <row r="332" spans="1:5" x14ac:dyDescent="0.4">
      <c r="A332" s="27">
        <v>42576</v>
      </c>
      <c r="B332" s="29">
        <f>Cours_Hist_figé!B396/Cours_Hist_figé!B332 - 1</f>
        <v>-7.9247438753506927E-3</v>
      </c>
      <c r="C332" s="29">
        <f>Cours_Hist_figé!C396/Cours_Hist_figé!C332 - 1</f>
        <v>2.8067985564965925E-2</v>
      </c>
      <c r="D332" s="29">
        <f>Cours_Hist_figé!D396/Cours_Hist_figé!D332 - 1</f>
        <v>-8.7052686973010385E-4</v>
      </c>
      <c r="E332" s="29">
        <f>Cours_Hist_figé!E396/Cours_Hist_figé!E332 - 1</f>
        <v>-8.7052686973021487E-4</v>
      </c>
    </row>
    <row r="333" spans="1:5" x14ac:dyDescent="0.4">
      <c r="A333" s="27">
        <v>42577</v>
      </c>
      <c r="B333" s="29">
        <f>Cours_Hist_figé!B397/Cours_Hist_figé!B333 - 1</f>
        <v>-8.4887610979667016E-4</v>
      </c>
      <c r="C333" s="29">
        <f>Cours_Hist_figé!C397/Cours_Hist_figé!C333 - 1</f>
        <v>2.9173543009146208E-2</v>
      </c>
      <c r="D333" s="29">
        <f>Cours_Hist_figé!D397/Cours_Hist_figé!D333 - 1</f>
        <v>-8.5154496063388763E-4</v>
      </c>
      <c r="E333" s="29">
        <f>Cours_Hist_figé!E397/Cours_Hist_figé!E333 - 1</f>
        <v>-8.5154496063399865E-4</v>
      </c>
    </row>
    <row r="334" spans="1:5" x14ac:dyDescent="0.4">
      <c r="A334" s="27">
        <v>42578</v>
      </c>
      <c r="B334" s="29">
        <f>Cours_Hist_figé!B398/Cours_Hist_figé!B334 - 1</f>
        <v>1.0142417348528721E-3</v>
      </c>
      <c r="C334" s="29">
        <f>Cours_Hist_figé!C398/Cours_Hist_figé!C334 - 1</f>
        <v>3.3731189437880449E-2</v>
      </c>
      <c r="D334" s="29">
        <f>Cours_Hist_figé!D398/Cours_Hist_figé!D334 - 1</f>
        <v>-8.5134008941945005E-4</v>
      </c>
      <c r="E334" s="29">
        <f>Cours_Hist_figé!E398/Cours_Hist_figé!E334 - 1</f>
        <v>-8.5134008941956107E-4</v>
      </c>
    </row>
    <row r="335" spans="1:5" x14ac:dyDescent="0.4">
      <c r="A335" s="27">
        <v>42579</v>
      </c>
      <c r="B335" s="29">
        <f>Cours_Hist_figé!B399/Cours_Hist_figé!B335 - 1</f>
        <v>-1.233058700975409E-2</v>
      </c>
      <c r="C335" s="29">
        <f>Cours_Hist_figé!C399/Cours_Hist_figé!C335 - 1</f>
        <v>3.3625754929037965E-2</v>
      </c>
      <c r="D335" s="29">
        <f>Cours_Hist_figé!D399/Cours_Hist_figé!D335 - 1</f>
        <v>-8.5104394465285171E-4</v>
      </c>
      <c r="E335" s="29">
        <f>Cours_Hist_figé!E399/Cours_Hist_figé!E335 - 1</f>
        <v>-8.5104394465296274E-4</v>
      </c>
    </row>
    <row r="336" spans="1:5" x14ac:dyDescent="0.4">
      <c r="A336" s="27">
        <v>42580</v>
      </c>
      <c r="B336" s="29">
        <f>Cours_Hist_figé!B400/Cours_Hist_figé!B336 - 1</f>
        <v>-7.9760260423160645E-3</v>
      </c>
      <c r="C336" s="29">
        <f>Cours_Hist_figé!C400/Cours_Hist_figé!C336 - 1</f>
        <v>3.4023498184557965E-2</v>
      </c>
      <c r="D336" s="29">
        <f>Cours_Hist_figé!D400/Cours_Hist_figé!D336 - 1</f>
        <v>-8.5094546292951989E-4</v>
      </c>
      <c r="E336" s="29">
        <f>Cours_Hist_figé!E400/Cours_Hist_figé!E336 - 1</f>
        <v>-8.5094546292963091E-4</v>
      </c>
    </row>
    <row r="337" spans="1:5" x14ac:dyDescent="0.4">
      <c r="A337" s="27">
        <v>42583</v>
      </c>
      <c r="B337" s="29">
        <f>Cours_Hist_figé!B401/Cours_Hist_figé!B337 - 1</f>
        <v>7.549334304024935E-3</v>
      </c>
      <c r="C337" s="29">
        <f>Cours_Hist_figé!C401/Cours_Hist_figé!C337 - 1</f>
        <v>3.4851669252879081E-2</v>
      </c>
      <c r="D337" s="29">
        <f>Cours_Hist_figé!D401/Cours_Hist_figé!D337 - 1</f>
        <v>-8.6822657054264063E-4</v>
      </c>
      <c r="E337" s="29">
        <f>Cours_Hist_figé!E401/Cours_Hist_figé!E337 - 1</f>
        <v>-8.6822657054275165E-4</v>
      </c>
    </row>
    <row r="338" spans="1:5" x14ac:dyDescent="0.4">
      <c r="A338" s="27">
        <v>42584</v>
      </c>
      <c r="B338" s="29">
        <f>Cours_Hist_figé!B402/Cours_Hist_figé!B338 - 1</f>
        <v>1.1114078356216028E-2</v>
      </c>
      <c r="C338" s="29">
        <f>Cours_Hist_figé!C402/Cours_Hist_figé!C338 - 1</f>
        <v>2.7211070070104704E-2</v>
      </c>
      <c r="D338" s="29">
        <f>Cours_Hist_figé!D402/Cours_Hist_figé!D338 - 1</f>
        <v>-8.403591257224452E-4</v>
      </c>
      <c r="E338" s="29">
        <f>Cours_Hist_figé!E402/Cours_Hist_figé!E338 - 1</f>
        <v>-8.4035912572233418E-4</v>
      </c>
    </row>
    <row r="339" spans="1:5" x14ac:dyDescent="0.4">
      <c r="A339" s="27">
        <v>42585</v>
      </c>
      <c r="B339" s="29">
        <f>Cours_Hist_figé!B403/Cours_Hist_figé!B339 - 1</f>
        <v>2.3546172555007239E-2</v>
      </c>
      <c r="C339" s="29">
        <f>Cours_Hist_figé!C403/Cours_Hist_figé!C339 - 1</f>
        <v>2.7711484851919321E-2</v>
      </c>
      <c r="D339" s="29">
        <f>Cours_Hist_figé!D403/Cours_Hist_figé!D339 - 1</f>
        <v>-8.4035164747098268E-4</v>
      </c>
      <c r="E339" s="29">
        <f>Cours_Hist_figé!E403/Cours_Hist_figé!E339 - 1</f>
        <v>-8.4035164747087165E-4</v>
      </c>
    </row>
    <row r="340" spans="1:5" x14ac:dyDescent="0.4">
      <c r="A340" s="27">
        <v>42586</v>
      </c>
      <c r="B340" s="29">
        <f>Cours_Hist_figé!B404/Cours_Hist_figé!B340 - 1</f>
        <v>2.6695488774919118E-2</v>
      </c>
      <c r="C340" s="29">
        <f>Cours_Hist_figé!C404/Cours_Hist_figé!C340 - 1</f>
        <v>3.0362997047532758E-2</v>
      </c>
      <c r="D340" s="29">
        <f>Cours_Hist_figé!D404/Cours_Hist_figé!D340 - 1</f>
        <v>-8.4025297572642987E-4</v>
      </c>
      <c r="E340" s="29">
        <f>Cours_Hist_figé!E404/Cours_Hist_figé!E340 - 1</f>
        <v>-8.4025297572642987E-4</v>
      </c>
    </row>
    <row r="341" spans="1:5" x14ac:dyDescent="0.4">
      <c r="A341" s="27">
        <v>42587</v>
      </c>
      <c r="B341" s="29">
        <f>Cours_Hist_figé!B405/Cours_Hist_figé!B341 - 1</f>
        <v>4.0674115008628275E-2</v>
      </c>
      <c r="C341" s="29">
        <f>Cours_Hist_figé!C405/Cours_Hist_figé!C341 - 1</f>
        <v>2.8287642242010858E-2</v>
      </c>
      <c r="D341" s="29">
        <f>Cours_Hist_figé!D405/Cours_Hist_figé!D341 - 1</f>
        <v>-8.4015446830121299E-4</v>
      </c>
      <c r="E341" s="29">
        <f>Cours_Hist_figé!E405/Cours_Hist_figé!E341 - 1</f>
        <v>-8.4015446830110196E-4</v>
      </c>
    </row>
    <row r="342" spans="1:5" x14ac:dyDescent="0.4">
      <c r="A342" s="27">
        <v>42590</v>
      </c>
      <c r="B342" s="29">
        <f>Cours_Hist_figé!B406/Cours_Hist_figé!B342 - 1</f>
        <v>3.6597989348468474E-2</v>
      </c>
      <c r="C342" s="29">
        <f>Cours_Hist_figé!C406/Cours_Hist_figé!C342 - 1</f>
        <v>2.8074239428949932E-2</v>
      </c>
      <c r="D342" s="29">
        <f>Cours_Hist_figé!D406/Cours_Hist_figé!D342 - 1</f>
        <v>-8.4095336628908779E-4</v>
      </c>
      <c r="E342" s="29">
        <f>Cours_Hist_figé!E406/Cours_Hist_figé!E342 - 1</f>
        <v>-8.4095336628908779E-4</v>
      </c>
    </row>
    <row r="343" spans="1:5" x14ac:dyDescent="0.4">
      <c r="A343" s="27">
        <v>42591</v>
      </c>
      <c r="B343" s="29">
        <f>Cours_Hist_figé!B407/Cours_Hist_figé!B343 - 1</f>
        <v>3.6206992944438632E-2</v>
      </c>
      <c r="C343" s="29">
        <f>Cours_Hist_figé!C407/Cours_Hist_figé!C343 - 1</f>
        <v>2.8691314375120625E-2</v>
      </c>
      <c r="D343" s="29">
        <f>Cours_Hist_figé!D407/Cours_Hist_figé!D343 - 1</f>
        <v>-8.4135656645945023E-4</v>
      </c>
      <c r="E343" s="29">
        <f>Cours_Hist_figé!E407/Cours_Hist_figé!E343 - 1</f>
        <v>-8.4135656645933921E-4</v>
      </c>
    </row>
    <row r="344" spans="1:5" x14ac:dyDescent="0.4">
      <c r="A344" s="27">
        <v>42592</v>
      </c>
      <c r="B344" s="29">
        <f>Cours_Hist_figé!B408/Cours_Hist_figé!B344 - 1</f>
        <v>3.8599470067934405E-2</v>
      </c>
      <c r="C344" s="29">
        <f>Cours_Hist_figé!C408/Cours_Hist_figé!C344 - 1</f>
        <v>3.0690598415659798E-2</v>
      </c>
      <c r="D344" s="29">
        <f>Cours_Hist_figé!D408/Cours_Hist_figé!D344 - 1</f>
        <v>-8.4154687346693624E-4</v>
      </c>
      <c r="E344" s="29">
        <f>Cours_Hist_figé!E408/Cours_Hist_figé!E344 - 1</f>
        <v>-8.4154687346693624E-4</v>
      </c>
    </row>
    <row r="345" spans="1:5" x14ac:dyDescent="0.4">
      <c r="A345" s="27">
        <v>42593</v>
      </c>
      <c r="B345" s="29">
        <f>Cours_Hist_figé!B409/Cours_Hist_figé!B345 - 1</f>
        <v>5.2877414668916378E-2</v>
      </c>
      <c r="C345" s="29">
        <f>Cours_Hist_figé!C409/Cours_Hist_figé!C345 - 1</f>
        <v>3.207236641196487E-2</v>
      </c>
      <c r="D345" s="29">
        <f>Cours_Hist_figé!D409/Cours_Hist_figé!D345 - 1</f>
        <v>-8.4145580693784083E-4</v>
      </c>
      <c r="E345" s="29">
        <f>Cours_Hist_figé!E409/Cours_Hist_figé!E345 - 1</f>
        <v>-8.4145580693784083E-4</v>
      </c>
    </row>
    <row r="346" spans="1:5" x14ac:dyDescent="0.4">
      <c r="A346" s="27">
        <v>42594</v>
      </c>
      <c r="B346" s="29">
        <f>Cours_Hist_figé!B410/Cours_Hist_figé!B346 - 1</f>
        <v>4.5442867272205145E-2</v>
      </c>
      <c r="C346" s="29">
        <f>Cours_Hist_figé!C410/Cours_Hist_figé!C346 - 1</f>
        <v>3.0668230387476347E-2</v>
      </c>
      <c r="D346" s="29">
        <f>Cours_Hist_figé!D410/Cours_Hist_figé!D346 - 1</f>
        <v>-8.4155508486560837E-4</v>
      </c>
      <c r="E346" s="29">
        <f>Cours_Hist_figé!E410/Cours_Hist_figé!E346 - 1</f>
        <v>-8.4155508486571939E-4</v>
      </c>
    </row>
    <row r="347" spans="1:5" x14ac:dyDescent="0.4">
      <c r="A347" s="27">
        <v>42597</v>
      </c>
      <c r="B347" s="29">
        <f>Cours_Hist_figé!B411/Cours_Hist_figé!B347 - 1</f>
        <v>4.5009306393380077E-2</v>
      </c>
      <c r="C347" s="29">
        <f>Cours_Hist_figé!C411/Cours_Hist_figé!C347 - 1</f>
        <v>2.9977798142140744E-2</v>
      </c>
      <c r="D347" s="29">
        <f>Cours_Hist_figé!D411/Cours_Hist_figé!D347 - 1</f>
        <v>-8.4205063261133528E-4</v>
      </c>
      <c r="E347" s="29">
        <f>Cours_Hist_figé!E411/Cours_Hist_figé!E347 - 1</f>
        <v>-8.420506326114463E-4</v>
      </c>
    </row>
    <row r="348" spans="1:5" x14ac:dyDescent="0.4">
      <c r="A348" s="27">
        <v>42598</v>
      </c>
      <c r="B348" s="29">
        <f>Cours_Hist_figé!B412/Cours_Hist_figé!B348 - 1</f>
        <v>3.6758102221698952E-2</v>
      </c>
      <c r="C348" s="29">
        <f>Cours_Hist_figé!C412/Cours_Hist_figé!C348 - 1</f>
        <v>2.633320245785753E-2</v>
      </c>
      <c r="D348" s="29">
        <f>Cours_Hist_figé!D412/Cours_Hist_figé!D348 - 1</f>
        <v>-8.4205871015718969E-4</v>
      </c>
      <c r="E348" s="29">
        <f>Cours_Hist_figé!E412/Cours_Hist_figé!E348 - 1</f>
        <v>-8.4205871015707867E-4</v>
      </c>
    </row>
    <row r="349" spans="1:5" x14ac:dyDescent="0.4">
      <c r="A349" s="27">
        <v>42599</v>
      </c>
      <c r="B349" s="29">
        <f>Cours_Hist_figé!B413/Cours_Hist_figé!B349 - 1</f>
        <v>1.9768073432850031E-2</v>
      </c>
      <c r="C349" s="29">
        <f>Cours_Hist_figé!C413/Cours_Hist_figé!C349 - 1</f>
        <v>2.9334574508589562E-2</v>
      </c>
      <c r="D349" s="29">
        <f>Cours_Hist_figé!D413/Cours_Hist_figé!D349 - 1</f>
        <v>-8.4205132984849218E-4</v>
      </c>
      <c r="E349" s="29">
        <f>Cours_Hist_figé!E413/Cours_Hist_figé!E349 - 1</f>
        <v>-8.4205132984849218E-4</v>
      </c>
    </row>
    <row r="350" spans="1:5" x14ac:dyDescent="0.4">
      <c r="A350" s="27">
        <v>42600</v>
      </c>
      <c r="B350" s="29">
        <f>Cours_Hist_figé!B414/Cours_Hist_figé!B350 - 1</f>
        <v>3.7967365527331154E-2</v>
      </c>
      <c r="C350" s="29">
        <f>Cours_Hist_figé!C414/Cours_Hist_figé!C350 - 1</f>
        <v>3.1541588841761836E-2</v>
      </c>
      <c r="D350" s="29">
        <f>Cours_Hist_figé!D414/Cours_Hist_figé!D350 - 1</f>
        <v>-8.4205164004225175E-4</v>
      </c>
      <c r="E350" s="29">
        <f>Cours_Hist_figé!E414/Cours_Hist_figé!E350 - 1</f>
        <v>-8.4205164004214073E-4</v>
      </c>
    </row>
    <row r="351" spans="1:5" x14ac:dyDescent="0.4">
      <c r="A351" s="27">
        <v>42601</v>
      </c>
      <c r="B351" s="29">
        <f>Cours_Hist_figé!B415/Cours_Hist_figé!B351 - 1</f>
        <v>1.7240259686198689E-2</v>
      </c>
      <c r="C351" s="29">
        <f>Cours_Hist_figé!C415/Cours_Hist_figé!C351 - 1</f>
        <v>2.9520755113528585E-2</v>
      </c>
      <c r="D351" s="29">
        <f>Cours_Hist_figé!D415/Cours_Hist_figé!D351 - 1</f>
        <v>-8.4205194383590865E-4</v>
      </c>
      <c r="E351" s="29">
        <f>Cours_Hist_figé!E415/Cours_Hist_figé!E351 - 1</f>
        <v>-8.4205194383601967E-4</v>
      </c>
    </row>
    <row r="352" spans="1:5" x14ac:dyDescent="0.4">
      <c r="A352" s="27">
        <v>42604</v>
      </c>
      <c r="B352" s="29">
        <f>Cours_Hist_figé!B416/Cours_Hist_figé!B352 - 1</f>
        <v>2.168811795393899E-2</v>
      </c>
      <c r="C352" s="29">
        <f>Cours_Hist_figé!C416/Cours_Hist_figé!C352 - 1</f>
        <v>3.1581987695551872E-2</v>
      </c>
      <c r="D352" s="29">
        <f>Cours_Hist_figé!D416/Cours_Hist_figé!D352 - 1</f>
        <v>-8.4265362249036357E-4</v>
      </c>
      <c r="E352" s="29">
        <f>Cours_Hist_figé!E416/Cours_Hist_figé!E352 - 1</f>
        <v>-8.4265362249025255E-4</v>
      </c>
    </row>
    <row r="353" spans="1:5" x14ac:dyDescent="0.4">
      <c r="A353" s="27">
        <v>42605</v>
      </c>
      <c r="B353" s="29">
        <f>Cours_Hist_figé!B417/Cours_Hist_figé!B353 - 1</f>
        <v>8.5869639279922971E-3</v>
      </c>
      <c r="C353" s="29">
        <f>Cours_Hist_figé!C417/Cours_Hist_figé!C353 - 1</f>
        <v>3.0655237541769687E-2</v>
      </c>
      <c r="D353" s="29">
        <f>Cours_Hist_figé!D417/Cours_Hist_figé!D353 - 1</f>
        <v>-8.4275283231638465E-4</v>
      </c>
      <c r="E353" s="29">
        <f>Cours_Hist_figé!E417/Cours_Hist_figé!E353 - 1</f>
        <v>-8.4275283231638465E-4</v>
      </c>
    </row>
    <row r="354" spans="1:5" x14ac:dyDescent="0.4">
      <c r="A354" s="27">
        <v>42606</v>
      </c>
      <c r="B354" s="29">
        <f>Cours_Hist_figé!B418/Cours_Hist_figé!B354 - 1</f>
        <v>-1.2493022085168226E-3</v>
      </c>
      <c r="C354" s="29">
        <f>Cours_Hist_figé!C418/Cours_Hist_figé!C354 - 1</f>
        <v>2.7620382225592488E-2</v>
      </c>
      <c r="D354" s="29">
        <f>Cours_Hist_figé!D418/Cours_Hist_figé!D354 - 1</f>
        <v>-8.427531491238538E-4</v>
      </c>
      <c r="E354" s="29">
        <f>Cours_Hist_figé!E418/Cours_Hist_figé!E354 - 1</f>
        <v>-8.4275314912374277E-4</v>
      </c>
    </row>
    <row r="355" spans="1:5" x14ac:dyDescent="0.4">
      <c r="A355" s="27">
        <v>42607</v>
      </c>
      <c r="B355" s="29">
        <f>Cours_Hist_figé!B419/Cours_Hist_figé!B355 - 1</f>
        <v>-1.0940587679353797E-2</v>
      </c>
      <c r="C355" s="29">
        <f>Cours_Hist_figé!C419/Cours_Hist_figé!C355 - 1</f>
        <v>2.6844537225144682E-2</v>
      </c>
      <c r="D355" s="29">
        <f>Cours_Hist_figé!D419/Cours_Hist_figé!D355 - 1</f>
        <v>-8.4264703918857098E-4</v>
      </c>
      <c r="E355" s="29">
        <f>Cours_Hist_figé!E419/Cours_Hist_figé!E355 - 1</f>
        <v>-8.42647039188682E-4</v>
      </c>
    </row>
    <row r="356" spans="1:5" x14ac:dyDescent="0.4">
      <c r="A356" s="27">
        <v>42608</v>
      </c>
      <c r="B356" s="29">
        <f>Cours_Hist_figé!B420/Cours_Hist_figé!B356 - 1</f>
        <v>-7.9458509733654203E-3</v>
      </c>
      <c r="C356" s="29">
        <f>Cours_Hist_figé!C420/Cours_Hist_figé!C356 - 1</f>
        <v>2.7815909255111571E-2</v>
      </c>
      <c r="D356" s="29">
        <f>Cours_Hist_figé!D420/Cours_Hist_figé!D356 - 1</f>
        <v>-8.4225215885547211E-4</v>
      </c>
      <c r="E356" s="29">
        <f>Cours_Hist_figé!E420/Cours_Hist_figé!E356 - 1</f>
        <v>-8.4225215885513904E-4</v>
      </c>
    </row>
    <row r="357" spans="1:5" x14ac:dyDescent="0.4">
      <c r="A357" s="27">
        <v>42612</v>
      </c>
      <c r="B357" s="29">
        <f>Cours_Hist_figé!B421/Cours_Hist_figé!B357 - 1</f>
        <v>1.5330608371169063E-3</v>
      </c>
      <c r="C357" s="29">
        <f>Cours_Hist_figé!C421/Cours_Hist_figé!C357 - 1</f>
        <v>2.7577280149496897E-2</v>
      </c>
      <c r="D357" s="29">
        <f>Cours_Hist_figé!D421/Cours_Hist_figé!D357 - 1</f>
        <v>-8.4205625333233503E-4</v>
      </c>
      <c r="E357" s="29">
        <f>Cours_Hist_figé!E421/Cours_Hist_figé!E357 - 1</f>
        <v>-8.4205625333233503E-4</v>
      </c>
    </row>
    <row r="358" spans="1:5" x14ac:dyDescent="0.4">
      <c r="A358" s="27">
        <v>42613</v>
      </c>
      <c r="B358" s="29">
        <f>Cours_Hist_figé!B422/Cours_Hist_figé!B358 - 1</f>
        <v>7.5365039201360506E-3</v>
      </c>
      <c r="C358" s="29">
        <f>Cours_Hist_figé!C422/Cours_Hist_figé!C358 - 1</f>
        <v>2.5549841117339378E-2</v>
      </c>
      <c r="D358" s="29">
        <f>Cours_Hist_figé!D422/Cours_Hist_figé!D358 - 1</f>
        <v>-8.4255076356765102E-4</v>
      </c>
      <c r="E358" s="29">
        <f>Cours_Hist_figé!E422/Cours_Hist_figé!E358 - 1</f>
        <v>-8.4255076356742897E-4</v>
      </c>
    </row>
    <row r="359" spans="1:5" x14ac:dyDescent="0.4">
      <c r="A359" s="27">
        <v>42614</v>
      </c>
      <c r="B359" s="29">
        <f>Cours_Hist_figé!B423/Cours_Hist_figé!B359 - 1</f>
        <v>6.1360434509085682E-3</v>
      </c>
      <c r="C359" s="29">
        <f>Cours_Hist_figé!C423/Cours_Hist_figé!C359 - 1</f>
        <v>2.330795946505293E-2</v>
      </c>
      <c r="D359" s="29">
        <f>Cours_Hist_figé!D423/Cours_Hist_figé!D359 - 1</f>
        <v>-8.4245199660559766E-4</v>
      </c>
      <c r="E359" s="29">
        <f>Cours_Hist_figé!E423/Cours_Hist_figé!E359 - 1</f>
        <v>-8.4245199660559766E-4</v>
      </c>
    </row>
    <row r="360" spans="1:5" x14ac:dyDescent="0.4">
      <c r="A360" s="27">
        <v>42615</v>
      </c>
      <c r="B360" s="29">
        <f>Cours_Hist_figé!B424/Cours_Hist_figé!B360 - 1</f>
        <v>3.5526083364511019E-2</v>
      </c>
      <c r="C360" s="29">
        <f>Cours_Hist_figé!C424/Cours_Hist_figé!C360 - 1</f>
        <v>1.9557463114175722E-2</v>
      </c>
      <c r="D360" s="29">
        <f>Cours_Hist_figé!D424/Cours_Hist_figé!D360 - 1</f>
        <v>-8.4264996340144283E-4</v>
      </c>
      <c r="E360" s="29">
        <f>Cours_Hist_figé!E424/Cours_Hist_figé!E360 - 1</f>
        <v>-8.4264996340144283E-4</v>
      </c>
    </row>
    <row r="361" spans="1:5" x14ac:dyDescent="0.4">
      <c r="A361" s="27">
        <v>42618</v>
      </c>
      <c r="B361" s="29">
        <f>Cours_Hist_figé!B425/Cours_Hist_figé!B361 - 1</f>
        <v>3.2230806439711879E-2</v>
      </c>
      <c r="C361" s="29">
        <f>Cours_Hist_figé!C425/Cours_Hist_figé!C361 - 1</f>
        <v>2.197349839126006E-2</v>
      </c>
      <c r="D361" s="29">
        <f>Cours_Hist_figé!D425/Cours_Hist_figé!D361 - 1</f>
        <v>-8.4265089820656502E-4</v>
      </c>
      <c r="E361" s="29">
        <f>Cours_Hist_figé!E425/Cours_Hist_figé!E361 - 1</f>
        <v>-8.4265089820656502E-4</v>
      </c>
    </row>
    <row r="362" spans="1:5" x14ac:dyDescent="0.4">
      <c r="A362" s="27">
        <v>42619</v>
      </c>
      <c r="B362" s="29">
        <f>Cours_Hist_figé!B426/Cours_Hist_figé!B362 - 1</f>
        <v>1.6519168622170621E-2</v>
      </c>
      <c r="C362" s="29">
        <f>Cours_Hist_figé!C426/Cours_Hist_figé!C362 - 1</f>
        <v>2.3763953667804039E-2</v>
      </c>
      <c r="D362" s="29">
        <f>Cours_Hist_figé!D426/Cours_Hist_figé!D362 - 1</f>
        <v>-8.4285647655013562E-4</v>
      </c>
      <c r="E362" s="29">
        <f>Cours_Hist_figé!E426/Cours_Hist_figé!E362 - 1</f>
        <v>-8.4285647655013562E-4</v>
      </c>
    </row>
    <row r="363" spans="1:5" x14ac:dyDescent="0.4">
      <c r="A363" s="27">
        <v>42620</v>
      </c>
      <c r="B363" s="29">
        <f>Cours_Hist_figé!B427/Cours_Hist_figé!B363 - 1</f>
        <v>2.4369223421633945E-2</v>
      </c>
      <c r="C363" s="29">
        <f>Cours_Hist_figé!C427/Cours_Hist_figé!C363 - 1</f>
        <v>2.4245428250597945E-2</v>
      </c>
      <c r="D363" s="29">
        <f>Cours_Hist_figé!D427/Cours_Hist_figé!D363 - 1</f>
        <v>-8.4315336421225684E-4</v>
      </c>
      <c r="E363" s="29">
        <f>Cours_Hist_figé!E427/Cours_Hist_figé!E363 - 1</f>
        <v>-8.4315336421236786E-4</v>
      </c>
    </row>
    <row r="364" spans="1:5" x14ac:dyDescent="0.4">
      <c r="A364" s="27">
        <v>42621</v>
      </c>
      <c r="B364" s="29">
        <f>Cours_Hist_figé!B428/Cours_Hist_figé!B364 - 1</f>
        <v>3.0504281730352689E-2</v>
      </c>
      <c r="C364" s="29">
        <f>Cours_Hist_figé!C428/Cours_Hist_figé!C364 - 1</f>
        <v>1.8427615468815217E-2</v>
      </c>
      <c r="D364" s="29">
        <f>Cours_Hist_figé!D428/Cours_Hist_figé!D364 - 1</f>
        <v>-8.4354934587527186E-4</v>
      </c>
      <c r="E364" s="29">
        <f>Cours_Hist_figé!E428/Cours_Hist_figé!E364 - 1</f>
        <v>-8.4354934587516084E-4</v>
      </c>
    </row>
    <row r="365" spans="1:5" x14ac:dyDescent="0.4">
      <c r="A365" s="27">
        <v>42622</v>
      </c>
      <c r="B365" s="29">
        <f>Cours_Hist_figé!B429/Cours_Hist_figé!B365 - 1</f>
        <v>4.4410505447826321E-2</v>
      </c>
      <c r="C365" s="29">
        <f>Cours_Hist_figé!C429/Cours_Hist_figé!C365 - 1</f>
        <v>1.2459196222977864E-2</v>
      </c>
      <c r="D365" s="29">
        <f>Cours_Hist_figé!D429/Cours_Hist_figé!D365 - 1</f>
        <v>-8.4374732926351115E-4</v>
      </c>
      <c r="E365" s="29">
        <f>Cours_Hist_figé!E429/Cours_Hist_figé!E365 - 1</f>
        <v>-8.4374732926340013E-4</v>
      </c>
    </row>
    <row r="366" spans="1:5" x14ac:dyDescent="0.4">
      <c r="A366" s="27">
        <v>42625</v>
      </c>
      <c r="B366" s="29">
        <f>Cours_Hist_figé!B430/Cours_Hist_figé!B366 - 1</f>
        <v>5.3419431087316616E-2</v>
      </c>
      <c r="C366" s="29">
        <f>Cours_Hist_figé!C430/Cours_Hist_figé!C366 - 1</f>
        <v>1.3713931520735523E-2</v>
      </c>
      <c r="D366" s="29">
        <f>Cours_Hist_figé!D430/Cours_Hist_figé!D366 - 1</f>
        <v>-8.448509469370924E-4</v>
      </c>
      <c r="E366" s="29">
        <f>Cours_Hist_figé!E430/Cours_Hist_figé!E366 - 1</f>
        <v>-8.448509469370924E-4</v>
      </c>
    </row>
    <row r="367" spans="1:5" x14ac:dyDescent="0.4">
      <c r="A367" s="27">
        <v>42626</v>
      </c>
      <c r="B367" s="29">
        <f>Cours_Hist_figé!B431/Cours_Hist_figé!B367 - 1</f>
        <v>6.2794204006301202E-2</v>
      </c>
      <c r="C367" s="29">
        <f>Cours_Hist_figé!C431/Cours_Hist_figé!C367 - 1</f>
        <v>1.3061256433406054E-2</v>
      </c>
      <c r="D367" s="29">
        <f>Cours_Hist_figé!D431/Cours_Hist_figé!D367 - 1</f>
        <v>-8.4534562529814394E-4</v>
      </c>
      <c r="E367" s="29">
        <f>Cours_Hist_figé!E431/Cours_Hist_figé!E367 - 1</f>
        <v>-8.4534562529836599E-4</v>
      </c>
    </row>
    <row r="368" spans="1:5" x14ac:dyDescent="0.4">
      <c r="A368" s="27">
        <v>42627</v>
      </c>
      <c r="B368" s="29">
        <f>Cours_Hist_figé!B432/Cours_Hist_figé!B368 - 1</f>
        <v>5.1547420926651988E-2</v>
      </c>
      <c r="C368" s="29">
        <f>Cours_Hist_figé!C432/Cours_Hist_figé!C368 - 1</f>
        <v>1.3112856785682636E-2</v>
      </c>
      <c r="D368" s="29">
        <f>Cours_Hist_figé!D432/Cours_Hist_figé!D368 - 1</f>
        <v>-8.4574908492640599E-4</v>
      </c>
      <c r="E368" s="29">
        <f>Cours_Hist_figé!E432/Cours_Hist_figé!E368 - 1</f>
        <v>-8.4574908492640599E-4</v>
      </c>
    </row>
    <row r="369" spans="1:5" x14ac:dyDescent="0.4">
      <c r="A369" s="27">
        <v>42628</v>
      </c>
      <c r="B369" s="29">
        <f>Cours_Hist_figé!B433/Cours_Hist_figé!B369 - 1</f>
        <v>6.4156117322604622E-2</v>
      </c>
      <c r="C369" s="29">
        <f>Cours_Hist_figé!C433/Cours_Hist_figé!C369 - 1</f>
        <v>1.2168865290620889E-2</v>
      </c>
      <c r="D369" s="29">
        <f>Cours_Hist_figé!D433/Cours_Hist_figé!D369 - 1</f>
        <v>-8.4594718310371242E-4</v>
      </c>
      <c r="E369" s="29">
        <f>Cours_Hist_figé!E433/Cours_Hist_figé!E369 - 1</f>
        <v>-8.4594718310371242E-4</v>
      </c>
    </row>
    <row r="370" spans="1:5" x14ac:dyDescent="0.4">
      <c r="A370" s="27">
        <v>42629</v>
      </c>
      <c r="B370" s="29">
        <f>Cours_Hist_figé!B434/Cours_Hist_figé!B370 - 1</f>
        <v>4.1974727150521529E-2</v>
      </c>
      <c r="C370" s="29">
        <f>Cours_Hist_figé!C434/Cours_Hist_figé!C370 - 1</f>
        <v>1.3820577465658346E-2</v>
      </c>
      <c r="D370" s="29">
        <f>Cours_Hist_figé!D434/Cours_Hist_figé!D370 - 1</f>
        <v>-8.4625181692155049E-4</v>
      </c>
      <c r="E370" s="29">
        <f>Cours_Hist_figé!E434/Cours_Hist_figé!E370 - 1</f>
        <v>-8.4625181692143947E-4</v>
      </c>
    </row>
    <row r="371" spans="1:5" x14ac:dyDescent="0.4">
      <c r="A371" s="27">
        <v>42632</v>
      </c>
      <c r="B371" s="29">
        <f>Cours_Hist_figé!B435/Cours_Hist_figé!B371 - 1</f>
        <v>1.614736063286637E-2</v>
      </c>
      <c r="C371" s="29">
        <f>Cours_Hist_figé!C435/Cours_Hist_figé!C371 - 1</f>
        <v>1.3390211441165256E-2</v>
      </c>
      <c r="D371" s="29">
        <f>Cours_Hist_figé!D435/Cours_Hist_figé!D371 - 1</f>
        <v>-8.4664872221873466E-4</v>
      </c>
      <c r="E371" s="29">
        <f>Cours_Hist_figé!E435/Cours_Hist_figé!E371 - 1</f>
        <v>-8.4664872221873466E-4</v>
      </c>
    </row>
    <row r="372" spans="1:5" x14ac:dyDescent="0.4">
      <c r="A372" s="27">
        <v>42633</v>
      </c>
      <c r="B372" s="29">
        <f>Cours_Hist_figé!B436/Cours_Hist_figé!B372 - 1</f>
        <v>7.9950856902568646E-3</v>
      </c>
      <c r="C372" s="29">
        <f>Cours_Hist_figé!C436/Cours_Hist_figé!C372 - 1</f>
        <v>1.5963055683520633E-2</v>
      </c>
      <c r="D372" s="29">
        <f>Cours_Hist_figé!D436/Cours_Hist_figé!D372 - 1</f>
        <v>-8.4674808578610872E-4</v>
      </c>
      <c r="E372" s="29">
        <f>Cours_Hist_figé!E436/Cours_Hist_figé!E372 - 1</f>
        <v>-8.4674808578610872E-4</v>
      </c>
    </row>
    <row r="373" spans="1:5" x14ac:dyDescent="0.4">
      <c r="A373" s="27">
        <v>42634</v>
      </c>
      <c r="B373" s="29">
        <f>Cours_Hist_figé!B437/Cours_Hist_figé!B373 - 1</f>
        <v>8.7067043811348555E-3</v>
      </c>
      <c r="C373" s="29">
        <f>Cours_Hist_figé!C437/Cours_Hist_figé!C373 - 1</f>
        <v>1.5013037446645727E-2</v>
      </c>
      <c r="D373" s="29">
        <f>Cours_Hist_figé!D437/Cours_Hist_figé!D373 - 1</f>
        <v>-8.4704513164679529E-4</v>
      </c>
      <c r="E373" s="29">
        <f>Cours_Hist_figé!E437/Cours_Hist_figé!E373 - 1</f>
        <v>-8.4704513164679529E-4</v>
      </c>
    </row>
    <row r="374" spans="1:5" x14ac:dyDescent="0.4">
      <c r="A374" s="27">
        <v>42635</v>
      </c>
      <c r="B374" s="29">
        <f>Cours_Hist_figé!B438/Cours_Hist_figé!B374 - 1</f>
        <v>9.849368619854415E-3</v>
      </c>
      <c r="C374" s="29">
        <f>Cours_Hist_figé!C438/Cours_Hist_figé!C374 - 1</f>
        <v>2.1376852121431922E-2</v>
      </c>
      <c r="D374" s="29">
        <f>Cours_Hist_figé!D438/Cours_Hist_figé!D374 - 1</f>
        <v>-8.4725094858373318E-4</v>
      </c>
      <c r="E374" s="29">
        <f>Cours_Hist_figé!E438/Cours_Hist_figé!E374 - 1</f>
        <v>-8.472509485838442E-4</v>
      </c>
    </row>
    <row r="375" spans="1:5" x14ac:dyDescent="0.4">
      <c r="A375" s="27">
        <v>42636</v>
      </c>
      <c r="B375" s="29">
        <f>Cours_Hist_figé!B439/Cours_Hist_figé!B375 - 1</f>
        <v>7.6417327206852015E-2</v>
      </c>
      <c r="C375" s="29">
        <f>Cours_Hist_figé!C439/Cours_Hist_figé!C375 - 1</f>
        <v>1.8128005472240583E-2</v>
      </c>
      <c r="D375" s="29">
        <f>Cours_Hist_figé!D439/Cours_Hist_figé!D375 - 1</f>
        <v>-8.4714493641468991E-4</v>
      </c>
      <c r="E375" s="29">
        <f>Cours_Hist_figé!E439/Cours_Hist_figé!E375 - 1</f>
        <v>-8.4714493641468991E-4</v>
      </c>
    </row>
    <row r="376" spans="1:5" x14ac:dyDescent="0.4">
      <c r="A376" s="27">
        <v>42639</v>
      </c>
      <c r="B376" s="29">
        <f>Cours_Hist_figé!B440/Cours_Hist_figé!B376 - 1</f>
        <v>0.10237969436597871</v>
      </c>
      <c r="C376" s="29">
        <f>Cours_Hist_figé!C440/Cours_Hist_figé!C376 - 1</f>
        <v>1.5490465199412107E-2</v>
      </c>
      <c r="D376" s="29">
        <f>Cours_Hist_figé!D440/Cours_Hist_figé!D376 - 1</f>
        <v>-8.4894088737852424E-4</v>
      </c>
      <c r="E376" s="29">
        <f>Cours_Hist_figé!E440/Cours_Hist_figé!E376 - 1</f>
        <v>-8.4894088737852424E-4</v>
      </c>
    </row>
    <row r="377" spans="1:5" x14ac:dyDescent="0.4">
      <c r="A377" s="27">
        <v>42640</v>
      </c>
      <c r="B377" s="29">
        <f>Cours_Hist_figé!B441/Cours_Hist_figé!B377 - 1</f>
        <v>7.6092023120844399E-2</v>
      </c>
      <c r="C377" s="29">
        <f>Cours_Hist_figé!C441/Cours_Hist_figé!C377 - 1</f>
        <v>1.3367313304830875E-2</v>
      </c>
      <c r="D377" s="29">
        <f>Cours_Hist_figé!D441/Cours_Hist_figé!D377 - 1</f>
        <v>-8.492455802346921E-4</v>
      </c>
      <c r="E377" s="29">
        <f>Cours_Hist_figé!E441/Cours_Hist_figé!E377 - 1</f>
        <v>-8.4924558023480312E-4</v>
      </c>
    </row>
    <row r="378" spans="1:5" x14ac:dyDescent="0.4">
      <c r="A378" s="27">
        <v>42641</v>
      </c>
      <c r="B378" s="29">
        <f>Cours_Hist_figé!B442/Cours_Hist_figé!B378 - 1</f>
        <v>5.0492315013302536E-2</v>
      </c>
      <c r="C378" s="29">
        <f>Cours_Hist_figé!C442/Cours_Hist_figé!C378 - 1</f>
        <v>1.3046860112395198E-2</v>
      </c>
      <c r="D378" s="29">
        <f>Cours_Hist_figé!D442/Cours_Hist_figé!D378 - 1</f>
        <v>-8.4934488534715857E-4</v>
      </c>
      <c r="E378" s="29">
        <f>Cours_Hist_figé!E442/Cours_Hist_figé!E378 - 1</f>
        <v>-8.4934488534715857E-4</v>
      </c>
    </row>
    <row r="379" spans="1:5" x14ac:dyDescent="0.4">
      <c r="A379" s="27">
        <v>42642</v>
      </c>
      <c r="B379" s="29">
        <f>Cours_Hist_figé!B443/Cours_Hist_figé!B379 - 1</f>
        <v>4.131749678988994E-2</v>
      </c>
      <c r="C379" s="29">
        <f>Cours_Hist_figé!C443/Cours_Hist_figé!C379 - 1</f>
        <v>9.6388166311172085E-3</v>
      </c>
      <c r="D379" s="29">
        <f>Cours_Hist_figé!D443/Cours_Hist_figé!D379 - 1</f>
        <v>-8.4954312684781819E-4</v>
      </c>
      <c r="E379" s="29">
        <f>Cours_Hist_figé!E443/Cours_Hist_figé!E379 - 1</f>
        <v>-8.4954312684792921E-4</v>
      </c>
    </row>
    <row r="380" spans="1:5" x14ac:dyDescent="0.4">
      <c r="A380" s="27">
        <v>42643</v>
      </c>
      <c r="B380" s="29">
        <f>Cours_Hist_figé!B444/Cours_Hist_figé!B380 - 1</f>
        <v>3.4738860143035843E-2</v>
      </c>
      <c r="C380" s="29">
        <f>Cours_Hist_figé!C444/Cours_Hist_figé!C380 - 1</f>
        <v>7.6376050737965162E-3</v>
      </c>
      <c r="D380" s="29">
        <f>Cours_Hist_figé!D444/Cours_Hist_figé!D380 - 1</f>
        <v>-8.5095032134008264E-4</v>
      </c>
      <c r="E380" s="29">
        <f>Cours_Hist_figé!E444/Cours_Hist_figé!E380 - 1</f>
        <v>-8.5095032134008264E-4</v>
      </c>
    </row>
    <row r="381" spans="1:5" x14ac:dyDescent="0.4">
      <c r="A381" s="27">
        <v>42646</v>
      </c>
      <c r="B381" s="29">
        <f>Cours_Hist_figé!B445/Cours_Hist_figé!B381 - 1</f>
        <v>4.2663544902667327E-2</v>
      </c>
      <c r="C381" s="29">
        <f>Cours_Hist_figé!C445/Cours_Hist_figé!C381 - 1</f>
        <v>5.8056064889093761E-3</v>
      </c>
      <c r="D381" s="29">
        <f>Cours_Hist_figé!D445/Cours_Hist_figé!D381 - 1</f>
        <v>-8.5164278042881847E-4</v>
      </c>
      <c r="E381" s="29">
        <f>Cours_Hist_figé!E445/Cours_Hist_figé!E381 - 1</f>
        <v>-8.5164278042870745E-4</v>
      </c>
    </row>
    <row r="382" spans="1:5" x14ac:dyDescent="0.4">
      <c r="A382" s="27">
        <v>42647</v>
      </c>
      <c r="B382" s="29">
        <f>Cours_Hist_figé!B446/Cours_Hist_figé!B382 - 1</f>
        <v>6.8873007436158762E-2</v>
      </c>
      <c r="C382" s="29">
        <f>Cours_Hist_figé!C446/Cours_Hist_figé!C382 - 1</f>
        <v>3.4292582903203694E-3</v>
      </c>
      <c r="D382" s="29">
        <f>Cours_Hist_figé!D446/Cours_Hist_figé!D382 - 1</f>
        <v>-8.5184045584685286E-4</v>
      </c>
      <c r="E382" s="29">
        <f>Cours_Hist_figé!E446/Cours_Hist_figé!E382 - 1</f>
        <v>-8.5184045584674184E-4</v>
      </c>
    </row>
    <row r="383" spans="1:5" x14ac:dyDescent="0.4">
      <c r="A383" s="27">
        <v>42648</v>
      </c>
      <c r="B383" s="29">
        <f>Cours_Hist_figé!B447/Cours_Hist_figé!B383 - 1</f>
        <v>8.1536470486913259E-2</v>
      </c>
      <c r="C383" s="29">
        <f>Cours_Hist_figé!C447/Cours_Hist_figé!C383 - 1</f>
        <v>-2.0618425717882083E-3</v>
      </c>
      <c r="D383" s="29">
        <f>Cours_Hist_figé!D447/Cours_Hist_figé!D383 - 1</f>
        <v>-8.524493679621381E-4</v>
      </c>
      <c r="E383" s="29">
        <f>Cours_Hist_figé!E447/Cours_Hist_figé!E383 - 1</f>
        <v>-8.5244936796202708E-4</v>
      </c>
    </row>
    <row r="384" spans="1:5" x14ac:dyDescent="0.4">
      <c r="A384" s="27">
        <v>42649</v>
      </c>
      <c r="B384" s="29">
        <f>Cours_Hist_figé!B448/Cours_Hist_figé!B384 - 1</f>
        <v>6.6276150916754206E-2</v>
      </c>
      <c r="C384" s="29">
        <f>Cours_Hist_figé!C448/Cours_Hist_figé!C384 - 1</f>
        <v>-1.3847069546857327E-3</v>
      </c>
      <c r="D384" s="29">
        <f>Cours_Hist_figé!D448/Cours_Hist_figé!D384 - 1</f>
        <v>-8.5284527906170915E-4</v>
      </c>
      <c r="E384" s="29">
        <f>Cours_Hist_figé!E448/Cours_Hist_figé!E384 - 1</f>
        <v>-8.5284527906170915E-4</v>
      </c>
    </row>
    <row r="385" spans="1:5" x14ac:dyDescent="0.4">
      <c r="A385" s="27">
        <v>42650</v>
      </c>
      <c r="B385" s="29">
        <f>Cours_Hist_figé!B449/Cours_Hist_figé!B385 - 1</f>
        <v>4.0615319021549245E-2</v>
      </c>
      <c r="C385" s="29">
        <f>Cours_Hist_figé!C449/Cours_Hist_figé!C385 - 1</f>
        <v>-4.335300800402897E-3</v>
      </c>
      <c r="D385" s="29">
        <f>Cours_Hist_figé!D449/Cours_Hist_figé!D385 - 1</f>
        <v>-8.5334013888604954E-4</v>
      </c>
      <c r="E385" s="29">
        <f>Cours_Hist_figé!E449/Cours_Hist_figé!E385 - 1</f>
        <v>-8.5334013888604954E-4</v>
      </c>
    </row>
    <row r="386" spans="1:5" x14ac:dyDescent="0.4">
      <c r="A386" s="27">
        <v>42653</v>
      </c>
      <c r="B386" s="29">
        <f>Cours_Hist_figé!B450/Cours_Hist_figé!B386 - 1</f>
        <v>3.189327974994427E-2</v>
      </c>
      <c r="C386" s="29">
        <f>Cours_Hist_figé!C450/Cours_Hist_figé!C386 - 1</f>
        <v>-5.3277223649691452E-3</v>
      </c>
      <c r="D386" s="29">
        <f>Cours_Hist_figé!D450/Cours_Hist_figé!D386 - 1</f>
        <v>-8.5573758261647814E-4</v>
      </c>
      <c r="E386" s="29">
        <f>Cours_Hist_figé!E450/Cours_Hist_figé!E386 - 1</f>
        <v>-8.5573758261647814E-4</v>
      </c>
    </row>
    <row r="387" spans="1:5" x14ac:dyDescent="0.4">
      <c r="A387" s="27">
        <v>42654</v>
      </c>
      <c r="B387" s="29">
        <f>Cours_Hist_figé!B451/Cours_Hist_figé!B387 - 1</f>
        <v>1.5780258383089718E-2</v>
      </c>
      <c r="C387" s="29">
        <f>Cours_Hist_figé!C451/Cours_Hist_figé!C387 - 1</f>
        <v>-1.918769823974209E-3</v>
      </c>
      <c r="D387" s="29">
        <f>Cours_Hist_figé!D451/Cours_Hist_figé!D387 - 1</f>
        <v>-8.5624770228631686E-4</v>
      </c>
      <c r="E387" s="29">
        <f>Cours_Hist_figé!E451/Cours_Hist_figé!E387 - 1</f>
        <v>-8.5624770228631686E-4</v>
      </c>
    </row>
    <row r="388" spans="1:5" x14ac:dyDescent="0.4">
      <c r="A388" s="27">
        <v>42655</v>
      </c>
      <c r="B388" s="29">
        <f>Cours_Hist_figé!B452/Cours_Hist_figé!B388 - 1</f>
        <v>1.2304329743648701E-2</v>
      </c>
      <c r="C388" s="29">
        <f>Cours_Hist_figé!C452/Cours_Hist_figé!C388 - 1</f>
        <v>-6.0304537916479051E-3</v>
      </c>
      <c r="D388" s="29">
        <f>Cours_Hist_figé!D452/Cours_Hist_figé!D388 - 1</f>
        <v>-8.569404224288979E-4</v>
      </c>
      <c r="E388" s="29">
        <f>Cours_Hist_figé!E452/Cours_Hist_figé!E388 - 1</f>
        <v>-8.5694042242900892E-4</v>
      </c>
    </row>
    <row r="389" spans="1:5" x14ac:dyDescent="0.4">
      <c r="A389" s="27">
        <v>42656</v>
      </c>
      <c r="B389" s="29">
        <f>Cours_Hist_figé!B453/Cours_Hist_figé!B389 - 1</f>
        <v>-4.4742766137964018E-3</v>
      </c>
      <c r="C389" s="29">
        <f>Cours_Hist_figé!C453/Cours_Hist_figé!C389 - 1</f>
        <v>-2.4875720771824206E-3</v>
      </c>
      <c r="D389" s="29">
        <f>Cours_Hist_figé!D453/Cours_Hist_figé!D389 - 1</f>
        <v>-8.5743534620630335E-4</v>
      </c>
      <c r="E389" s="29">
        <f>Cours_Hist_figé!E453/Cours_Hist_figé!E389 - 1</f>
        <v>-8.5743534620619233E-4</v>
      </c>
    </row>
    <row r="390" spans="1:5" x14ac:dyDescent="0.4">
      <c r="A390" s="27">
        <v>42657</v>
      </c>
      <c r="B390" s="29">
        <f>Cours_Hist_figé!B454/Cours_Hist_figé!B390 - 1</f>
        <v>9.9317037351340787E-3</v>
      </c>
      <c r="C390" s="29">
        <f>Cours_Hist_figé!C454/Cours_Hist_figé!C390 - 1</f>
        <v>-9.3147224806322537E-4</v>
      </c>
      <c r="D390" s="29">
        <f>Cours_Hist_figé!D454/Cours_Hist_figé!D390 - 1</f>
        <v>-8.5793796872080108E-4</v>
      </c>
      <c r="E390" s="29">
        <f>Cours_Hist_figé!E454/Cours_Hist_figé!E390 - 1</f>
        <v>-8.5793796872069006E-4</v>
      </c>
    </row>
    <row r="391" spans="1:5" x14ac:dyDescent="0.4">
      <c r="A391" s="27">
        <v>42660</v>
      </c>
      <c r="B391" s="29">
        <f>Cours_Hist_figé!B455/Cours_Hist_figé!B391 - 1</f>
        <v>2.6384051965067101E-4</v>
      </c>
      <c r="C391" s="29">
        <f>Cours_Hist_figé!C455/Cours_Hist_figé!C391 - 1</f>
        <v>-2.1229563460634093E-3</v>
      </c>
      <c r="D391" s="29">
        <f>Cours_Hist_figé!D455/Cours_Hist_figé!D391 - 1</f>
        <v>-8.5943838481294943E-4</v>
      </c>
      <c r="E391" s="29">
        <f>Cours_Hist_figé!E455/Cours_Hist_figé!E391 - 1</f>
        <v>-8.5943838481294943E-4</v>
      </c>
    </row>
    <row r="392" spans="1:5" x14ac:dyDescent="0.4">
      <c r="A392" s="27">
        <v>42661</v>
      </c>
      <c r="B392" s="29">
        <f>Cours_Hist_figé!B456/Cours_Hist_figé!B392 - 1</f>
        <v>1.9414780373257834E-2</v>
      </c>
      <c r="C392" s="29">
        <f>Cours_Hist_figé!C456/Cours_Hist_figé!C392 - 1</f>
        <v>-1.5770405174124758E-3</v>
      </c>
      <c r="D392" s="29">
        <f>Cours_Hist_figé!D456/Cours_Hist_figé!D392 - 1</f>
        <v>-8.599411293849224E-4</v>
      </c>
      <c r="E392" s="29">
        <f>Cours_Hist_figé!E456/Cours_Hist_figé!E392 - 1</f>
        <v>-8.5994112938503342E-4</v>
      </c>
    </row>
    <row r="393" spans="1:5" x14ac:dyDescent="0.4">
      <c r="A393" s="27">
        <v>42662</v>
      </c>
      <c r="B393" s="29">
        <f>Cours_Hist_figé!B457/Cours_Hist_figé!B393 - 1</f>
        <v>1.2625875683601739E-2</v>
      </c>
      <c r="C393" s="29">
        <f>Cours_Hist_figé!C457/Cours_Hist_figé!C393 - 1</f>
        <v>-9.9933603032054119E-4</v>
      </c>
      <c r="D393" s="29">
        <f>Cours_Hist_figé!D457/Cours_Hist_figé!D393 - 1</f>
        <v>-8.6033732579127165E-4</v>
      </c>
      <c r="E393" s="29">
        <f>Cours_Hist_figé!E457/Cours_Hist_figé!E393 - 1</f>
        <v>-8.6033732579127165E-4</v>
      </c>
    </row>
    <row r="394" spans="1:5" x14ac:dyDescent="0.4">
      <c r="A394" s="27">
        <v>42663</v>
      </c>
      <c r="B394" s="29">
        <f>Cours_Hist_figé!B458/Cours_Hist_figé!B394 - 1</f>
        <v>1.6135228163148607E-2</v>
      </c>
      <c r="C394" s="29">
        <f>Cours_Hist_figé!C458/Cours_Hist_figé!C394 - 1</f>
        <v>7.4691752271704992E-4</v>
      </c>
      <c r="D394" s="29">
        <f>Cours_Hist_figé!D458/Cours_Hist_figé!D394 - 1</f>
        <v>-8.6083239764778163E-4</v>
      </c>
      <c r="E394" s="29">
        <f>Cours_Hist_figé!E458/Cours_Hist_figé!E394 - 1</f>
        <v>-8.6083239764789266E-4</v>
      </c>
    </row>
    <row r="395" spans="1:5" x14ac:dyDescent="0.4">
      <c r="A395" s="27">
        <v>42664</v>
      </c>
      <c r="B395" s="29">
        <f>Cours_Hist_figé!B459/Cours_Hist_figé!B395 - 1</f>
        <v>1.6438724074646194E-2</v>
      </c>
      <c r="C395" s="29">
        <f>Cours_Hist_figé!C459/Cours_Hist_figé!C395 - 1</f>
        <v>-1.7259803389357842E-4</v>
      </c>
      <c r="D395" s="29">
        <f>Cours_Hist_figé!D459/Cours_Hist_figé!D395 - 1</f>
        <v>-8.612362215354441E-4</v>
      </c>
      <c r="E395" s="29">
        <f>Cours_Hist_figé!E459/Cours_Hist_figé!E395 - 1</f>
        <v>-8.6123622153533308E-4</v>
      </c>
    </row>
    <row r="396" spans="1:5" x14ac:dyDescent="0.4">
      <c r="A396" s="27">
        <v>42667</v>
      </c>
      <c r="B396" s="29">
        <f>Cours_Hist_figé!B460/Cours_Hist_figé!B396 - 1</f>
        <v>1.532173851401275E-2</v>
      </c>
      <c r="C396" s="29">
        <f>Cours_Hist_figé!C460/Cours_Hist_figé!C396 - 1</f>
        <v>-2.6990799782103947E-3</v>
      </c>
      <c r="D396" s="29">
        <f>Cours_Hist_figé!D460/Cours_Hist_figé!D396 - 1</f>
        <v>-8.6233355063269901E-4</v>
      </c>
      <c r="E396" s="29">
        <f>Cours_Hist_figé!E460/Cours_Hist_figé!E396 - 1</f>
        <v>-8.6233355063269901E-4</v>
      </c>
    </row>
    <row r="397" spans="1:5" x14ac:dyDescent="0.4">
      <c r="A397" s="27">
        <v>42668</v>
      </c>
      <c r="B397" s="29">
        <f>Cours_Hist_figé!B461/Cours_Hist_figé!B397 - 1</f>
        <v>1.1080709566247959E-2</v>
      </c>
      <c r="C397" s="29">
        <f>Cours_Hist_figé!C461/Cours_Hist_figé!C397 - 1</f>
        <v>-2.1187240149462827E-3</v>
      </c>
      <c r="D397" s="29">
        <f>Cours_Hist_figé!D461/Cours_Hist_figé!D397 - 1</f>
        <v>-8.6272979136381434E-4</v>
      </c>
      <c r="E397" s="29">
        <f>Cours_Hist_figé!E461/Cours_Hist_figé!E397 - 1</f>
        <v>-8.6272979136381434E-4</v>
      </c>
    </row>
    <row r="398" spans="1:5" x14ac:dyDescent="0.4">
      <c r="A398" s="27">
        <v>42669</v>
      </c>
      <c r="B398" s="29">
        <f>Cours_Hist_figé!B462/Cours_Hist_figé!B398 - 1</f>
        <v>2.9403820055782237E-3</v>
      </c>
      <c r="C398" s="29">
        <f>Cours_Hist_figé!C462/Cours_Hist_figé!C398 - 1</f>
        <v>-9.2616829350681273E-3</v>
      </c>
      <c r="D398" s="29">
        <f>Cours_Hist_figé!D462/Cours_Hist_figé!D398 - 1</f>
        <v>-8.6324021609651691E-4</v>
      </c>
      <c r="E398" s="29">
        <f>Cours_Hist_figé!E462/Cours_Hist_figé!E398 - 1</f>
        <v>-8.6324021609651691E-4</v>
      </c>
    </row>
    <row r="399" spans="1:5" x14ac:dyDescent="0.4">
      <c r="A399" s="27">
        <v>42670</v>
      </c>
      <c r="B399" s="29">
        <f>Cours_Hist_figé!B463/Cours_Hist_figé!B399 - 1</f>
        <v>1.3905790189130629E-2</v>
      </c>
      <c r="C399" s="29">
        <f>Cours_Hist_figé!C463/Cours_Hist_figé!C399 - 1</f>
        <v>-1.3994827817645494E-2</v>
      </c>
      <c r="D399" s="29">
        <f>Cours_Hist_figé!D463/Cours_Hist_figé!D399 - 1</f>
        <v>-8.6373534684913711E-4</v>
      </c>
      <c r="E399" s="29">
        <f>Cours_Hist_figé!E463/Cours_Hist_figé!E399 - 1</f>
        <v>-8.6373534684924813E-4</v>
      </c>
    </row>
    <row r="400" spans="1:5" x14ac:dyDescent="0.4">
      <c r="A400" s="27">
        <v>42671</v>
      </c>
      <c r="B400" s="29">
        <f>Cours_Hist_figé!B464/Cours_Hist_figé!B400 - 1</f>
        <v>3.9556015017139234E-3</v>
      </c>
      <c r="C400" s="29">
        <f>Cours_Hist_figé!C464/Cours_Hist_figé!C400 - 1</f>
        <v>-1.6279901446492051E-2</v>
      </c>
      <c r="D400" s="29">
        <f>Cours_Hist_figé!D464/Cours_Hist_figé!D400 - 1</f>
        <v>-8.6423057224060962E-4</v>
      </c>
      <c r="E400" s="29">
        <f>Cours_Hist_figé!E464/Cours_Hist_figé!E400 - 1</f>
        <v>-8.6423057224038757E-4</v>
      </c>
    </row>
    <row r="401" spans="1:5" x14ac:dyDescent="0.4">
      <c r="A401" s="27">
        <v>42674</v>
      </c>
      <c r="B401" s="29">
        <f>Cours_Hist_figé!B465/Cours_Hist_figé!B401 - 1</f>
        <v>4.477706713494678E-3</v>
      </c>
      <c r="C401" s="29">
        <f>Cours_Hist_figé!C465/Cours_Hist_figé!C401 - 1</f>
        <v>-1.5198331603988535E-2</v>
      </c>
      <c r="D401" s="29">
        <f>Cours_Hist_figé!D465/Cours_Hist_figé!D401 - 1</f>
        <v>-8.6673533853220963E-4</v>
      </c>
      <c r="E401" s="29">
        <f>Cours_Hist_figé!E465/Cours_Hist_figé!E401 - 1</f>
        <v>-8.6673533853209861E-4</v>
      </c>
    </row>
    <row r="402" spans="1:5" x14ac:dyDescent="0.4">
      <c r="A402" s="27">
        <v>42675</v>
      </c>
      <c r="B402" s="29">
        <f>Cours_Hist_figé!B466/Cours_Hist_figé!B402 - 1</f>
        <v>7.6505048733961356E-3</v>
      </c>
      <c r="C402" s="29">
        <f>Cours_Hist_figé!C466/Cours_Hist_figé!C402 - 1</f>
        <v>-1.4172345045510348E-2</v>
      </c>
      <c r="D402" s="29">
        <f>Cours_Hist_figé!D466/Cours_Hist_figé!D402 - 1</f>
        <v>-8.667280904204322E-4</v>
      </c>
      <c r="E402" s="29">
        <f>Cours_Hist_figé!E466/Cours_Hist_figé!E402 - 1</f>
        <v>-8.667280904204322E-4</v>
      </c>
    </row>
    <row r="403" spans="1:5" x14ac:dyDescent="0.4">
      <c r="A403" s="27">
        <v>42676</v>
      </c>
      <c r="B403" s="29">
        <f>Cours_Hist_figé!B467/Cours_Hist_figé!B403 - 1</f>
        <v>-4.7357648398852481E-3</v>
      </c>
      <c r="C403" s="29">
        <f>Cours_Hist_figé!C467/Cours_Hist_figé!C403 - 1</f>
        <v>-1.1032602745377429E-2</v>
      </c>
      <c r="D403" s="29">
        <f>Cours_Hist_figé!D467/Cours_Hist_figé!D403 - 1</f>
        <v>-8.6723088630946688E-4</v>
      </c>
      <c r="E403" s="29">
        <f>Cours_Hist_figé!E467/Cours_Hist_figé!E403 - 1</f>
        <v>-8.672308863095779E-4</v>
      </c>
    </row>
    <row r="404" spans="1:5" x14ac:dyDescent="0.4">
      <c r="A404" s="27">
        <v>42677</v>
      </c>
      <c r="B404" s="29">
        <f>Cours_Hist_figé!B468/Cours_Hist_figé!B404 - 1</f>
        <v>-1.2425194527255767E-2</v>
      </c>
      <c r="C404" s="29">
        <f>Cours_Hist_figé!C468/Cours_Hist_figé!C404 - 1</f>
        <v>-1.6110718840657623E-2</v>
      </c>
      <c r="D404" s="29">
        <f>Cours_Hist_figé!D468/Cours_Hist_figé!D404 - 1</f>
        <v>-8.6752815332769018E-4</v>
      </c>
      <c r="E404" s="29">
        <f>Cours_Hist_figé!E468/Cours_Hist_figé!E404 - 1</f>
        <v>-8.675281533278012E-4</v>
      </c>
    </row>
    <row r="405" spans="1:5" x14ac:dyDescent="0.4">
      <c r="A405" s="27">
        <v>42678</v>
      </c>
      <c r="B405" s="29">
        <f>Cours_Hist_figé!B469/Cours_Hist_figé!B405 - 1</f>
        <v>-3.0363018325234803E-2</v>
      </c>
      <c r="C405" s="29">
        <f>Cours_Hist_figé!C469/Cours_Hist_figé!C405 - 1</f>
        <v>-1.4343867314972614E-2</v>
      </c>
      <c r="D405" s="29">
        <f>Cours_Hist_figé!D469/Cours_Hist_figé!D405 - 1</f>
        <v>-8.6762766377235234E-4</v>
      </c>
      <c r="E405" s="29">
        <f>Cours_Hist_figé!E469/Cours_Hist_figé!E405 - 1</f>
        <v>-8.6762766377246336E-4</v>
      </c>
    </row>
    <row r="406" spans="1:5" x14ac:dyDescent="0.4">
      <c r="A406" s="27">
        <v>42681</v>
      </c>
      <c r="B406" s="29">
        <f>Cours_Hist_figé!B470/Cours_Hist_figé!B406 - 1</f>
        <v>-1.5829733851607797E-2</v>
      </c>
      <c r="C406" s="29">
        <f>Cours_Hist_figé!C470/Cours_Hist_figé!C406 - 1</f>
        <v>-1.4684282584126684E-2</v>
      </c>
      <c r="D406" s="29">
        <f>Cours_Hist_figé!D470/Cours_Hist_figé!D406 - 1</f>
        <v>-8.6803278247948867E-4</v>
      </c>
      <c r="E406" s="29">
        <f>Cours_Hist_figé!E470/Cours_Hist_figé!E406 - 1</f>
        <v>-8.6803278247971072E-4</v>
      </c>
    </row>
    <row r="407" spans="1:5" x14ac:dyDescent="0.4">
      <c r="A407" s="27">
        <v>42682</v>
      </c>
      <c r="B407" s="29">
        <f>Cours_Hist_figé!B471/Cours_Hist_figé!B407 - 1</f>
        <v>-2.1209416959548255E-2</v>
      </c>
      <c r="C407" s="29">
        <f>Cours_Hist_figé!C471/Cours_Hist_figé!C407 - 1</f>
        <v>-1.7297211879388819E-2</v>
      </c>
      <c r="D407" s="29">
        <f>Cours_Hist_figé!D471/Cours_Hist_figé!D407 - 1</f>
        <v>-8.6812477420428191E-4</v>
      </c>
      <c r="E407" s="29">
        <f>Cours_Hist_figé!E471/Cours_Hist_figé!E407 - 1</f>
        <v>-8.6812477420417089E-4</v>
      </c>
    </row>
    <row r="408" spans="1:5" x14ac:dyDescent="0.4">
      <c r="A408" s="27">
        <v>42683</v>
      </c>
      <c r="B408" s="29">
        <f>Cours_Hist_figé!B472/Cours_Hist_figé!B408 - 1</f>
        <v>-5.1358902498097603E-3</v>
      </c>
      <c r="C408" s="29">
        <f>Cours_Hist_figé!C472/Cours_Hist_figé!C408 - 1</f>
        <v>-1.9815138106165309E-2</v>
      </c>
      <c r="D408" s="29">
        <f>Cours_Hist_figé!D472/Cours_Hist_figé!D408 - 1</f>
        <v>-8.6833087310311807E-4</v>
      </c>
      <c r="E408" s="29">
        <f>Cours_Hist_figé!E472/Cours_Hist_figé!E408 - 1</f>
        <v>-8.683308731032291E-4</v>
      </c>
    </row>
    <row r="409" spans="1:5" x14ac:dyDescent="0.4">
      <c r="A409" s="27">
        <v>42684</v>
      </c>
      <c r="B409" s="29">
        <f>Cours_Hist_figé!B473/Cours_Hist_figé!B409 - 1</f>
        <v>-1.6685260594387907E-2</v>
      </c>
      <c r="C409" s="29">
        <f>Cours_Hist_figé!C473/Cours_Hist_figé!C409 - 1</f>
        <v>-2.7225951330209219E-2</v>
      </c>
      <c r="D409" s="29">
        <f>Cours_Hist_figé!D473/Cours_Hist_figé!D409 - 1</f>
        <v>-8.6903167296747963E-4</v>
      </c>
      <c r="E409" s="29">
        <f>Cours_Hist_figé!E473/Cours_Hist_figé!E409 - 1</f>
        <v>-8.6903167296736861E-4</v>
      </c>
    </row>
    <row r="410" spans="1:5" x14ac:dyDescent="0.4">
      <c r="A410" s="27">
        <v>42685</v>
      </c>
      <c r="B410" s="29">
        <f>Cours_Hist_figé!B474/Cours_Hist_figé!B410 - 1</f>
        <v>-1.9129510936783167E-2</v>
      </c>
      <c r="C410" s="29">
        <f>Cours_Hist_figé!C474/Cours_Hist_figé!C410 - 1</f>
        <v>-3.0834781346123052E-2</v>
      </c>
      <c r="D410" s="29">
        <f>Cours_Hist_figé!D474/Cours_Hist_figé!D410 - 1</f>
        <v>-8.6923034955999068E-4</v>
      </c>
      <c r="E410" s="29">
        <f>Cours_Hist_figé!E474/Cours_Hist_figé!E410 - 1</f>
        <v>-8.6923034955999068E-4</v>
      </c>
    </row>
    <row r="411" spans="1:5" x14ac:dyDescent="0.4">
      <c r="A411" s="27">
        <v>42688</v>
      </c>
      <c r="B411" s="29">
        <f>Cours_Hist_figé!B475/Cours_Hist_figé!B411 - 1</f>
        <v>-1.7097066315308274E-2</v>
      </c>
      <c r="C411" s="29">
        <f>Cours_Hist_figé!C475/Cours_Hist_figé!C411 - 1</f>
        <v>-3.2667343836979668E-2</v>
      </c>
      <c r="D411" s="29">
        <f>Cours_Hist_figé!D475/Cours_Hist_figé!D411 - 1</f>
        <v>-8.6952955944441523E-4</v>
      </c>
      <c r="E411" s="29">
        <f>Cours_Hist_figé!E475/Cours_Hist_figé!E411 - 1</f>
        <v>-8.6952955944441523E-4</v>
      </c>
    </row>
    <row r="412" spans="1:5" x14ac:dyDescent="0.4">
      <c r="A412" s="27">
        <v>42689</v>
      </c>
      <c r="B412" s="29">
        <f>Cours_Hist_figé!B476/Cours_Hist_figé!B412 - 1</f>
        <v>-6.1989749845620112E-3</v>
      </c>
      <c r="C412" s="29">
        <f>Cours_Hist_figé!C476/Cours_Hist_figé!C412 - 1</f>
        <v>-2.6244454274470752E-2</v>
      </c>
      <c r="D412" s="29">
        <f>Cours_Hist_figé!D476/Cours_Hist_figé!D412 - 1</f>
        <v>-8.695302939832894E-4</v>
      </c>
      <c r="E412" s="29">
        <f>Cours_Hist_figé!E476/Cours_Hist_figé!E412 - 1</f>
        <v>-8.6953029398340043E-4</v>
      </c>
    </row>
    <row r="413" spans="1:5" x14ac:dyDescent="0.4">
      <c r="A413" s="27">
        <v>42690</v>
      </c>
      <c r="B413" s="29">
        <f>Cours_Hist_figé!B477/Cours_Hist_figé!B413 - 1</f>
        <v>-1.5591634379452657E-4</v>
      </c>
      <c r="C413" s="29">
        <f>Cours_Hist_figé!C477/Cours_Hist_figé!C413 - 1</f>
        <v>-2.8982405475170836E-2</v>
      </c>
      <c r="D413" s="29">
        <f>Cours_Hist_figé!D477/Cours_Hist_figé!D413 - 1</f>
        <v>-8.6992667636875964E-4</v>
      </c>
      <c r="E413" s="29">
        <f>Cours_Hist_figé!E477/Cours_Hist_figé!E413 - 1</f>
        <v>-8.6992667636887067E-4</v>
      </c>
    </row>
    <row r="414" spans="1:5" x14ac:dyDescent="0.4">
      <c r="A414" s="27">
        <v>42691</v>
      </c>
      <c r="B414" s="29">
        <f>Cours_Hist_figé!B478/Cours_Hist_figé!B414 - 1</f>
        <v>-9.786329990933984E-4</v>
      </c>
      <c r="C414" s="29">
        <f>Cours_Hist_figé!C478/Cours_Hist_figé!C414 - 1</f>
        <v>-3.1140163506586882E-2</v>
      </c>
      <c r="D414" s="29">
        <f>Cours_Hist_figé!D478/Cours_Hist_figé!D414 - 1</f>
        <v>-8.7042975176288007E-4</v>
      </c>
      <c r="E414" s="29">
        <f>Cours_Hist_figé!E478/Cours_Hist_figé!E414 - 1</f>
        <v>-8.7042975176288007E-4</v>
      </c>
    </row>
    <row r="415" spans="1:5" x14ac:dyDescent="0.4">
      <c r="A415" s="27">
        <v>42692</v>
      </c>
      <c r="B415" s="29">
        <f>Cours_Hist_figé!B479/Cours_Hist_figé!B415 - 1</f>
        <v>3.1340453683621483E-3</v>
      </c>
      <c r="C415" s="29">
        <f>Cours_Hist_figé!C479/Cours_Hist_figé!C415 - 1</f>
        <v>-2.9636830044880047E-2</v>
      </c>
      <c r="D415" s="29">
        <f>Cours_Hist_figé!D479/Cours_Hist_figé!D415 - 1</f>
        <v>-8.7073486994238003E-4</v>
      </c>
      <c r="E415" s="29">
        <f>Cours_Hist_figé!E479/Cours_Hist_figé!E415 - 1</f>
        <v>-8.7073486994215799E-4</v>
      </c>
    </row>
    <row r="416" spans="1:5" x14ac:dyDescent="0.4">
      <c r="A416" s="27">
        <v>42695</v>
      </c>
      <c r="B416" s="29">
        <f>Cours_Hist_figé!B480/Cours_Hist_figé!B416 - 1</f>
        <v>5.8550787558544481E-3</v>
      </c>
      <c r="C416" s="29">
        <f>Cours_Hist_figé!C480/Cours_Hist_figé!C416 - 1</f>
        <v>-3.0951956898359501E-2</v>
      </c>
      <c r="D416" s="29">
        <f>Cours_Hist_figé!D480/Cours_Hist_figé!D416 - 1</f>
        <v>-8.7142211568047578E-4</v>
      </c>
      <c r="E416" s="29">
        <f>Cours_Hist_figé!E480/Cours_Hist_figé!E416 - 1</f>
        <v>-8.7142211568058681E-4</v>
      </c>
    </row>
    <row r="417" spans="1:5" x14ac:dyDescent="0.4">
      <c r="A417" s="27">
        <v>42696</v>
      </c>
      <c r="B417" s="29">
        <f>Cours_Hist_figé!B481/Cours_Hist_figé!B417 - 1</f>
        <v>-9.625580588430438E-4</v>
      </c>
      <c r="C417" s="29">
        <f>Cours_Hist_figé!C481/Cours_Hist_figé!C417 - 1</f>
        <v>-2.9009404720444665E-2</v>
      </c>
      <c r="D417" s="29">
        <f>Cours_Hist_figé!D481/Cours_Hist_figé!D417 - 1</f>
        <v>-8.7162835725207444E-4</v>
      </c>
      <c r="E417" s="29">
        <f>Cours_Hist_figé!E481/Cours_Hist_figé!E417 - 1</f>
        <v>-8.7162835725207444E-4</v>
      </c>
    </row>
    <row r="418" spans="1:5" x14ac:dyDescent="0.4">
      <c r="A418" s="27">
        <v>42697</v>
      </c>
      <c r="B418" s="29">
        <f>Cours_Hist_figé!B482/Cours_Hist_figé!B418 - 1</f>
        <v>-5.2140012869423824E-3</v>
      </c>
      <c r="C418" s="29">
        <f>Cours_Hist_figé!C482/Cours_Hist_figé!C418 - 1</f>
        <v>-3.1699047286463E-2</v>
      </c>
      <c r="D418" s="29">
        <f>Cours_Hist_figé!D482/Cours_Hist_figé!D418 - 1</f>
        <v>-8.7192589358575656E-4</v>
      </c>
      <c r="E418" s="29">
        <f>Cours_Hist_figé!E482/Cours_Hist_figé!E418 - 1</f>
        <v>-8.7192589358575656E-4</v>
      </c>
    </row>
    <row r="419" spans="1:5" x14ac:dyDescent="0.4">
      <c r="A419" s="27">
        <v>42698</v>
      </c>
      <c r="B419" s="29">
        <f>Cours_Hist_figé!B483/Cours_Hist_figé!B419 - 1</f>
        <v>6.5395636816141245E-3</v>
      </c>
      <c r="C419" s="29">
        <f>Cours_Hist_figé!C483/Cours_Hist_figé!C419 - 1</f>
        <v>-3.0737923582617066E-2</v>
      </c>
      <c r="D419" s="29">
        <f>Cours_Hist_figé!D483/Cours_Hist_figé!D419 - 1</f>
        <v>-8.7223104315448108E-4</v>
      </c>
      <c r="E419" s="29">
        <f>Cours_Hist_figé!E483/Cours_Hist_figé!E419 - 1</f>
        <v>-8.7223104315437006E-4</v>
      </c>
    </row>
    <row r="420" spans="1:5" x14ac:dyDescent="0.4">
      <c r="A420" s="27">
        <v>42699</v>
      </c>
      <c r="B420" s="29">
        <f>Cours_Hist_figé!B484/Cours_Hist_figé!B420 - 1</f>
        <v>3.2180565487829327E-3</v>
      </c>
      <c r="C420" s="29">
        <f>Cours_Hist_figé!C484/Cours_Hist_figé!C420 - 1</f>
        <v>-3.1092776795770383E-2</v>
      </c>
      <c r="D420" s="29">
        <f>Cours_Hist_figé!D484/Cours_Hist_figé!D420 - 1</f>
        <v>-8.7252867711806736E-4</v>
      </c>
      <c r="E420" s="29">
        <f>Cours_Hist_figé!E484/Cours_Hist_figé!E420 - 1</f>
        <v>-8.7252867711828941E-4</v>
      </c>
    </row>
    <row r="421" spans="1:5" x14ac:dyDescent="0.4">
      <c r="A421" s="27">
        <v>42702</v>
      </c>
      <c r="B421" s="29">
        <f>Cours_Hist_figé!B485/Cours_Hist_figé!B421 - 1</f>
        <v>-7.8705520854702726E-3</v>
      </c>
      <c r="C421" s="29">
        <f>Cours_Hist_figé!C485/Cours_Hist_figé!C421 - 1</f>
        <v>-2.8894320516780536E-2</v>
      </c>
      <c r="D421" s="29">
        <f>Cours_Hist_figé!D485/Cours_Hist_figé!D421 - 1</f>
        <v>-8.6353104273184655E-4</v>
      </c>
      <c r="E421" s="29">
        <f>Cours_Hist_figé!E485/Cours_Hist_figé!E421 - 1</f>
        <v>-8.6353104273173553E-4</v>
      </c>
    </row>
    <row r="422" spans="1:5" x14ac:dyDescent="0.4">
      <c r="A422" s="27">
        <v>42703</v>
      </c>
      <c r="B422" s="29">
        <f>Cours_Hist_figé!B486/Cours_Hist_figé!B422 - 1</f>
        <v>-1.5328755058705568E-3</v>
      </c>
      <c r="C422" s="29">
        <f>Cours_Hist_figé!C486/Cours_Hist_figé!C422 - 1</f>
        <v>-2.7009694641539461E-2</v>
      </c>
      <c r="D422" s="29">
        <f>Cours_Hist_figé!D486/Cours_Hist_figé!D422 - 1</f>
        <v>-8.6383621635477414E-4</v>
      </c>
      <c r="E422" s="29">
        <f>Cours_Hist_figé!E486/Cours_Hist_figé!E422 - 1</f>
        <v>-8.6383621635499619E-4</v>
      </c>
    </row>
    <row r="423" spans="1:5" x14ac:dyDescent="0.4">
      <c r="A423" s="27">
        <v>42704</v>
      </c>
      <c r="B423" s="29">
        <f>Cours_Hist_figé!B487/Cours_Hist_figé!B423 - 1</f>
        <v>2.4756568515871269E-3</v>
      </c>
      <c r="C423" s="29">
        <f>Cours_Hist_figé!C487/Cours_Hist_figé!C423 - 1</f>
        <v>-2.6755750820555368E-2</v>
      </c>
      <c r="D423" s="29">
        <f>Cours_Hist_figé!D487/Cours_Hist_figé!D423 - 1</f>
        <v>-8.6443803022318022E-4</v>
      </c>
      <c r="E423" s="29">
        <f>Cours_Hist_figé!E487/Cours_Hist_figé!E423 - 1</f>
        <v>-8.644380302230692E-4</v>
      </c>
    </row>
    <row r="424" spans="1:5" x14ac:dyDescent="0.4">
      <c r="A424" s="27">
        <v>42705</v>
      </c>
      <c r="B424" s="29">
        <f>Cours_Hist_figé!B488/Cours_Hist_figé!B424 - 1</f>
        <v>-1.9982560289376283E-2</v>
      </c>
      <c r="C424" s="29">
        <f>Cours_Hist_figé!C488/Cours_Hist_figé!C424 - 1</f>
        <v>-2.9111573476580221E-2</v>
      </c>
      <c r="D424" s="29">
        <f>Cours_Hist_figé!D488/Cours_Hist_figé!D424 - 1</f>
        <v>-8.6452992312446852E-4</v>
      </c>
      <c r="E424" s="29">
        <f>Cours_Hist_figé!E488/Cours_Hist_figé!E424 - 1</f>
        <v>-8.6452992312469057E-4</v>
      </c>
    </row>
    <row r="425" spans="1:5" x14ac:dyDescent="0.4">
      <c r="A425" s="27">
        <v>42706</v>
      </c>
      <c r="B425" s="29">
        <f>Cours_Hist_figé!B489/Cours_Hist_figé!B425 - 1</f>
        <v>-2.4775569033239186E-2</v>
      </c>
      <c r="C425" s="29">
        <f>Cours_Hist_figé!C489/Cours_Hist_figé!C425 - 1</f>
        <v>-2.7296231782114933E-2</v>
      </c>
      <c r="D425" s="29">
        <f>Cours_Hist_figé!D489/Cours_Hist_figé!D425 - 1</f>
        <v>-8.4595068190318479E-4</v>
      </c>
      <c r="E425" s="29">
        <f>Cours_Hist_figé!E489/Cours_Hist_figé!E425 - 1</f>
        <v>-8.4595068190329581E-4</v>
      </c>
    </row>
    <row r="426" spans="1:5" x14ac:dyDescent="0.4">
      <c r="A426" s="27">
        <v>42709</v>
      </c>
      <c r="B426" s="29">
        <f>Cours_Hist_figé!B490/Cours_Hist_figé!B426 - 1</f>
        <v>-1.5390691276180868E-2</v>
      </c>
      <c r="C426" s="29">
        <f>Cours_Hist_figé!C490/Cours_Hist_figé!C426 - 1</f>
        <v>-3.3568081971572905E-2</v>
      </c>
      <c r="D426" s="29">
        <f>Cours_Hist_figé!D490/Cours_Hist_figé!D426 - 1</f>
        <v>-8.6543055886123543E-4</v>
      </c>
      <c r="E426" s="29">
        <f>Cours_Hist_figé!E490/Cours_Hist_figé!E426 - 1</f>
        <v>-8.6543055886123543E-4</v>
      </c>
    </row>
    <row r="427" spans="1:5" x14ac:dyDescent="0.4">
      <c r="A427" s="27">
        <v>42710</v>
      </c>
      <c r="B427" s="29">
        <f>Cours_Hist_figé!B491/Cours_Hist_figé!B427 - 1</f>
        <v>-8.911390473607006E-3</v>
      </c>
      <c r="C427" s="29">
        <f>Cours_Hist_figé!C491/Cours_Hist_figé!C427 - 1</f>
        <v>-3.4988646600718987E-2</v>
      </c>
      <c r="D427" s="29">
        <f>Cours_Hist_figé!D491/Cours_Hist_figé!D427 - 1</f>
        <v>-8.6553015972568037E-4</v>
      </c>
      <c r="E427" s="29">
        <f>Cours_Hist_figé!E491/Cours_Hist_figé!E427 - 1</f>
        <v>-8.6553015972568037E-4</v>
      </c>
    </row>
    <row r="428" spans="1:5" x14ac:dyDescent="0.4">
      <c r="A428" s="27">
        <v>42711</v>
      </c>
      <c r="B428" s="29">
        <f>Cours_Hist_figé!B492/Cours_Hist_figé!B428 - 1</f>
        <v>3.6731209408291665E-3</v>
      </c>
      <c r="C428" s="29">
        <f>Cours_Hist_figé!C492/Cours_Hist_figé!C428 - 1</f>
        <v>-2.892520775623264E-2</v>
      </c>
      <c r="D428" s="29">
        <f>Cours_Hist_figé!D492/Cours_Hist_figé!D428 - 1</f>
        <v>-8.654320286201056E-4</v>
      </c>
      <c r="E428" s="29">
        <f>Cours_Hist_figé!E492/Cours_Hist_figé!E428 - 1</f>
        <v>-8.6543202862021662E-4</v>
      </c>
    </row>
    <row r="429" spans="1:5" x14ac:dyDescent="0.4">
      <c r="A429" s="27">
        <v>42712</v>
      </c>
      <c r="B429" s="29">
        <f>Cours_Hist_figé!B493/Cours_Hist_figé!B429 - 1</f>
        <v>2.7326600926185218E-2</v>
      </c>
      <c r="C429" s="29">
        <f>Cours_Hist_figé!C493/Cours_Hist_figé!C429 - 1</f>
        <v>-2.7296537816730471E-2</v>
      </c>
      <c r="D429" s="29">
        <f>Cours_Hist_figé!D493/Cours_Hist_figé!D429 - 1</f>
        <v>-8.6573716049820337E-4</v>
      </c>
      <c r="E429" s="29">
        <f>Cours_Hist_figé!E493/Cours_Hist_figé!E429 - 1</f>
        <v>-8.657371604983144E-4</v>
      </c>
    </row>
    <row r="430" spans="1:5" x14ac:dyDescent="0.4">
      <c r="A430" s="27">
        <v>42713</v>
      </c>
      <c r="B430" s="29">
        <f>Cours_Hist_figé!B494/Cours_Hist_figé!B430 - 1</f>
        <v>4.675828298342033E-2</v>
      </c>
      <c r="C430" s="29">
        <f>Cours_Hist_figé!C494/Cours_Hist_figé!C430 - 1</f>
        <v>-2.560699477080064E-2</v>
      </c>
      <c r="D430" s="29">
        <f>Cours_Hist_figé!D494/Cours_Hist_figé!D430 - 1</f>
        <v>-8.4684474083063233E-4</v>
      </c>
      <c r="E430" s="29">
        <f>Cours_Hist_figé!E494/Cours_Hist_figé!E430 - 1</f>
        <v>-8.468447408305213E-4</v>
      </c>
    </row>
    <row r="431" spans="1:5" x14ac:dyDescent="0.4">
      <c r="A431" s="27">
        <v>42716</v>
      </c>
      <c r="B431" s="29">
        <f>Cours_Hist_figé!B495/Cours_Hist_figé!B431 - 1</f>
        <v>5.3207234407838255E-2</v>
      </c>
      <c r="C431" s="29">
        <f>Cours_Hist_figé!C495/Cours_Hist_figé!C431 - 1</f>
        <v>-2.7672838264837796E-2</v>
      </c>
      <c r="D431" s="29">
        <f>Cours_Hist_figé!D495/Cours_Hist_figé!D431 - 1</f>
        <v>-8.6623470080282594E-4</v>
      </c>
      <c r="E431" s="29">
        <f>Cours_Hist_figé!E495/Cours_Hist_figé!E431 - 1</f>
        <v>-8.6623470080282594E-4</v>
      </c>
    </row>
    <row r="432" spans="1:5" x14ac:dyDescent="0.4">
      <c r="A432" s="27">
        <v>42717</v>
      </c>
      <c r="B432" s="29">
        <f>Cours_Hist_figé!B496/Cours_Hist_figé!B432 - 1</f>
        <v>6.5593211130909213E-2</v>
      </c>
      <c r="C432" s="29">
        <f>Cours_Hist_figé!C496/Cours_Hist_figé!C432 - 1</f>
        <v>-2.4097071325563824E-2</v>
      </c>
      <c r="D432" s="29">
        <f>Cours_Hist_figé!D496/Cours_Hist_figé!D432 - 1</f>
        <v>-8.6633440832584174E-4</v>
      </c>
      <c r="E432" s="29">
        <f>Cours_Hist_figé!E496/Cours_Hist_figé!E432 - 1</f>
        <v>-8.6633440832584174E-4</v>
      </c>
    </row>
    <row r="433" spans="1:5" x14ac:dyDescent="0.4">
      <c r="A433" s="27">
        <v>42718</v>
      </c>
      <c r="B433" s="29">
        <f>Cours_Hist_figé!B497/Cours_Hist_figé!B433 - 1</f>
        <v>5.449878114865081E-2</v>
      </c>
      <c r="C433" s="29">
        <f>Cours_Hist_figé!C497/Cours_Hist_figé!C433 - 1</f>
        <v>-1.9626627051048673E-2</v>
      </c>
      <c r="D433" s="29">
        <f>Cours_Hist_figé!D497/Cours_Hist_figé!D433 - 1</f>
        <v>-8.6663203611336836E-4</v>
      </c>
      <c r="E433" s="29">
        <f>Cours_Hist_figé!E497/Cours_Hist_figé!E433 - 1</f>
        <v>-8.6663203611347939E-4</v>
      </c>
    </row>
    <row r="434" spans="1:5" x14ac:dyDescent="0.4">
      <c r="A434" s="27">
        <v>42719</v>
      </c>
      <c r="B434" s="29">
        <f>Cours_Hist_figé!B498/Cours_Hist_figé!B434 - 1</f>
        <v>7.1864068625591138E-2</v>
      </c>
      <c r="C434" s="29">
        <f>Cours_Hist_figé!C498/Cours_Hist_figé!C434 - 1</f>
        <v>-2.3771611641704493E-2</v>
      </c>
      <c r="D434" s="29">
        <f>Cours_Hist_figé!D498/Cours_Hist_figé!D434 - 1</f>
        <v>-8.667317493568083E-4</v>
      </c>
      <c r="E434" s="29">
        <f>Cours_Hist_figé!E498/Cours_Hist_figé!E434 - 1</f>
        <v>-8.667317493568083E-4</v>
      </c>
    </row>
    <row r="435" spans="1:5" x14ac:dyDescent="0.4">
      <c r="A435" s="27">
        <v>42720</v>
      </c>
      <c r="B435" s="29">
        <f>Cours_Hist_figé!B499/Cours_Hist_figé!B435 - 1</f>
        <v>6.4396759265305858E-2</v>
      </c>
      <c r="C435" s="29">
        <f>Cours_Hist_figé!C499/Cours_Hist_figé!C435 - 1</f>
        <v>-2.2274797746126285E-2</v>
      </c>
      <c r="D435" s="29">
        <f>Cours_Hist_figé!D499/Cours_Hist_figé!D435 - 1</f>
        <v>-8.4785357342431755E-4</v>
      </c>
      <c r="E435" s="29">
        <f>Cours_Hist_figé!E499/Cours_Hist_figé!E435 - 1</f>
        <v>-8.4785357342431755E-4</v>
      </c>
    </row>
    <row r="436" spans="1:5" x14ac:dyDescent="0.4">
      <c r="A436" s="27">
        <v>42723</v>
      </c>
      <c r="B436" s="29">
        <f>Cours_Hist_figé!B500/Cours_Hist_figé!B436 - 1</f>
        <v>6.3982729390262394E-2</v>
      </c>
      <c r="C436" s="29">
        <f>Cours_Hist_figé!C500/Cours_Hist_figé!C436 - 1</f>
        <v>-2.0731406136715425E-2</v>
      </c>
      <c r="D436" s="29">
        <f>Cours_Hist_figé!D500/Cours_Hist_figé!D436 - 1</f>
        <v>-8.6773228514214207E-4</v>
      </c>
      <c r="E436" s="29">
        <f>Cours_Hist_figé!E500/Cours_Hist_figé!E436 - 1</f>
        <v>-8.6773228514203105E-4</v>
      </c>
    </row>
    <row r="437" spans="1:5" x14ac:dyDescent="0.4">
      <c r="A437" s="27">
        <v>42724</v>
      </c>
      <c r="B437" s="29">
        <f>Cours_Hist_figé!B501/Cours_Hist_figé!B437 - 1</f>
        <v>6.4519766904721054E-2</v>
      </c>
      <c r="C437" s="29">
        <f>Cours_Hist_figé!C501/Cours_Hist_figé!C437 - 1</f>
        <v>-1.9588924773758287E-2</v>
      </c>
      <c r="D437" s="29">
        <f>Cours_Hist_figé!D501/Cours_Hist_figé!D437 - 1</f>
        <v>-8.6793101819715446E-4</v>
      </c>
      <c r="E437" s="29">
        <f>Cours_Hist_figé!E501/Cours_Hist_figé!E437 - 1</f>
        <v>-8.6793101819726548E-4</v>
      </c>
    </row>
    <row r="438" spans="1:5" x14ac:dyDescent="0.4">
      <c r="A438" s="27">
        <v>42725</v>
      </c>
      <c r="B438" s="29">
        <f>Cours_Hist_figé!B502/Cours_Hist_figé!B438 - 1</f>
        <v>4.5388430069568164E-2</v>
      </c>
      <c r="C438" s="29">
        <f>Cours_Hist_figé!C502/Cours_Hist_figé!C438 - 1</f>
        <v>-2.3974886878275314E-2</v>
      </c>
      <c r="D438" s="29">
        <f>Cours_Hist_figé!D502/Cours_Hist_figé!D438 - 1</f>
        <v>-8.6812976167827127E-4</v>
      </c>
      <c r="E438" s="29">
        <f>Cours_Hist_figé!E502/Cours_Hist_figé!E438 - 1</f>
        <v>-8.6812976167816025E-4</v>
      </c>
    </row>
    <row r="439" spans="1:5" x14ac:dyDescent="0.4">
      <c r="A439" s="27">
        <v>42726</v>
      </c>
      <c r="B439" s="29">
        <f>Cours_Hist_figé!B503/Cours_Hist_figé!B439 - 1</f>
        <v>5.0423292790723107E-2</v>
      </c>
      <c r="C439" s="29">
        <f>Cours_Hist_figé!C503/Cours_Hist_figé!C439 - 1</f>
        <v>-2.4561328539373539E-2</v>
      </c>
      <c r="D439" s="29">
        <f>Cours_Hist_figé!D503/Cours_Hist_figé!D439 - 1</f>
        <v>-8.6843504572797769E-4</v>
      </c>
      <c r="E439" s="29">
        <f>Cours_Hist_figé!E503/Cours_Hist_figé!E439 - 1</f>
        <v>-8.6843504572797769E-4</v>
      </c>
    </row>
    <row r="440" spans="1:5" x14ac:dyDescent="0.4">
      <c r="A440" s="27">
        <v>42727</v>
      </c>
      <c r="B440" s="29">
        <f>Cours_Hist_figé!B504/Cours_Hist_figé!B440 - 1</f>
        <v>6.7464474496588878E-2</v>
      </c>
      <c r="C440" s="29">
        <f>Cours_Hist_figé!C504/Cours_Hist_figé!C440 - 1</f>
        <v>-2.4314224069983514E-2</v>
      </c>
      <c r="D440" s="29">
        <f>Cours_Hist_figé!D504/Cours_Hist_figé!D440 - 1</f>
        <v>-8.4954795136060746E-4</v>
      </c>
      <c r="E440" s="29">
        <f>Cours_Hist_figé!E504/Cours_Hist_figé!E440 - 1</f>
        <v>-8.4954795136049643E-4</v>
      </c>
    </row>
    <row r="441" spans="1:5" x14ac:dyDescent="0.4">
      <c r="A441" s="27">
        <v>42732</v>
      </c>
      <c r="B441" s="29">
        <f>Cours_Hist_figé!B505/Cours_Hist_figé!B441 - 1</f>
        <v>7.1372652567112116E-2</v>
      </c>
      <c r="C441" s="29">
        <f>Cours_Hist_figé!C505/Cours_Hist_figé!C441 - 1</f>
        <v>-2.4086169893195564E-2</v>
      </c>
      <c r="D441" s="29">
        <f>Cours_Hist_figé!D505/Cours_Hist_figé!D441 - 1</f>
        <v>-8.8941416175358778E-4</v>
      </c>
      <c r="E441" s="29">
        <f>Cours_Hist_figé!E505/Cours_Hist_figé!E441 - 1</f>
        <v>-8.8941416175336574E-4</v>
      </c>
    </row>
    <row r="442" spans="1:5" x14ac:dyDescent="0.4">
      <c r="A442" s="27">
        <v>42733</v>
      </c>
      <c r="B442" s="29">
        <f>Cours_Hist_figé!B506/Cours_Hist_figé!B442 - 1</f>
        <v>6.037527898837558E-2</v>
      </c>
      <c r="C442" s="29">
        <f>Cours_Hist_figé!C506/Cours_Hist_figé!C442 - 1</f>
        <v>-2.3598177924109676E-2</v>
      </c>
      <c r="D442" s="29">
        <f>Cours_Hist_figé!D506/Cours_Hist_figé!D442 - 1</f>
        <v>-8.8971204581234087E-4</v>
      </c>
      <c r="E442" s="29">
        <f>Cours_Hist_figé!E506/Cours_Hist_figé!E442 - 1</f>
        <v>-8.8971204581245189E-4</v>
      </c>
    </row>
    <row r="443" spans="1:5" x14ac:dyDescent="0.4">
      <c r="A443" s="27">
        <v>42734</v>
      </c>
      <c r="B443" s="29">
        <f>Cours_Hist_figé!B507/Cours_Hist_figé!B443 - 1</f>
        <v>6.1875981947047132E-2</v>
      </c>
      <c r="C443" s="29">
        <f>Cours_Hist_figé!C507/Cours_Hist_figé!C443 - 1</f>
        <v>-2.4076197369741426E-2</v>
      </c>
      <c r="D443" s="29">
        <f>Cours_Hist_figé!D507/Cours_Hist_figé!D443 - 1</f>
        <v>-8.9001764047580423E-4</v>
      </c>
      <c r="E443" s="29">
        <f>Cours_Hist_figé!E507/Cours_Hist_figé!E443 - 1</f>
        <v>-8.9001764047580423E-4</v>
      </c>
    </row>
    <row r="444" spans="1:5" x14ac:dyDescent="0.4">
      <c r="A444" s="27">
        <v>42738</v>
      </c>
      <c r="B444" s="29">
        <f>Cours_Hist_figé!B508/Cours_Hist_figé!B444 - 1</f>
        <v>7.356934385471825E-2</v>
      </c>
      <c r="C444" s="29">
        <f>Cours_Hist_figé!C508/Cours_Hist_figé!C444 - 1</f>
        <v>-2.7952418389478595E-2</v>
      </c>
      <c r="D444" s="29">
        <f>Cours_Hist_figé!D508/Cours_Hist_figé!D444 - 1</f>
        <v>-9.1778205181858308E-4</v>
      </c>
      <c r="E444" s="29">
        <f>Cours_Hist_figé!E508/Cours_Hist_figé!E444 - 1</f>
        <v>-9.1778205181858308E-4</v>
      </c>
    </row>
    <row r="445" spans="1:5" x14ac:dyDescent="0.4">
      <c r="A445" s="27">
        <v>42739</v>
      </c>
      <c r="B445" s="29">
        <f>Cours_Hist_figé!B509/Cours_Hist_figé!B445 - 1</f>
        <v>7.1487282401011765E-2</v>
      </c>
      <c r="C445" s="29">
        <f>Cours_Hist_figé!C509/Cours_Hist_figé!C445 - 1</f>
        <v>-2.7203227626303672E-2</v>
      </c>
      <c r="D445" s="29">
        <f>Cours_Hist_figé!D509/Cours_Hist_figé!D445 - 1</f>
        <v>-9.0010505808646446E-4</v>
      </c>
      <c r="E445" s="29">
        <f>Cours_Hist_figé!E509/Cours_Hist_figé!E445 - 1</f>
        <v>-9.0010505808646446E-4</v>
      </c>
    </row>
    <row r="446" spans="1:5" x14ac:dyDescent="0.4">
      <c r="A446" s="27">
        <v>42740</v>
      </c>
      <c r="B446" s="29">
        <f>Cours_Hist_figé!B510/Cours_Hist_figé!B446 - 1</f>
        <v>6.2820765361944364E-2</v>
      </c>
      <c r="C446" s="29">
        <f>Cours_Hist_figé!C510/Cours_Hist_figé!C446 - 1</f>
        <v>-2.6870808487593711E-2</v>
      </c>
      <c r="D446" s="29">
        <f>Cours_Hist_figé!D510/Cours_Hist_figé!D446 - 1</f>
        <v>-9.0080622842980684E-4</v>
      </c>
      <c r="E446" s="29">
        <f>Cours_Hist_figé!E510/Cours_Hist_figé!E446 - 1</f>
        <v>-9.0080622842991787E-4</v>
      </c>
    </row>
    <row r="447" spans="1:5" x14ac:dyDescent="0.4">
      <c r="A447" s="27">
        <v>42741</v>
      </c>
      <c r="B447" s="29">
        <f>Cours_Hist_figé!B511/Cours_Hist_figé!B447 - 1</f>
        <v>6.7833151742598519E-2</v>
      </c>
      <c r="C447" s="29">
        <f>Cours_Hist_figé!C511/Cours_Hist_figé!C447 - 1</f>
        <v>-2.3888888004748865E-2</v>
      </c>
      <c r="D447" s="29">
        <f>Cours_Hist_figé!D511/Cours_Hist_figé!D447 - 1</f>
        <v>-9.0099769475648905E-4</v>
      </c>
      <c r="E447" s="29">
        <f>Cours_Hist_figé!E511/Cours_Hist_figé!E447 - 1</f>
        <v>-9.0099769475648905E-4</v>
      </c>
    </row>
    <row r="448" spans="1:5" x14ac:dyDescent="0.4">
      <c r="A448" s="27">
        <v>42744</v>
      </c>
      <c r="B448" s="29">
        <f>Cours_Hist_figé!B512/Cours_Hist_figé!B448 - 1</f>
        <v>6.6645747776512776E-2</v>
      </c>
      <c r="C448" s="29">
        <f>Cours_Hist_figé!C512/Cours_Hist_figé!C448 - 1</f>
        <v>-2.3019600181912625E-2</v>
      </c>
      <c r="D448" s="29">
        <f>Cours_Hist_figé!D512/Cours_Hist_figé!D448 - 1</f>
        <v>-9.2118451533118595E-4</v>
      </c>
      <c r="E448" s="29">
        <f>Cours_Hist_figé!E512/Cours_Hist_figé!E448 - 1</f>
        <v>-9.2118451533107493E-4</v>
      </c>
    </row>
    <row r="449" spans="1:5" x14ac:dyDescent="0.4">
      <c r="A449" s="27">
        <v>42745</v>
      </c>
      <c r="B449" s="29">
        <f>Cours_Hist_figé!B513/Cours_Hist_figé!B449 - 1</f>
        <v>7.7341010480526329E-2</v>
      </c>
      <c r="C449" s="29">
        <f>Cours_Hist_figé!C513/Cours_Hist_figé!C449 - 1</f>
        <v>-2.1574943387329348E-2</v>
      </c>
      <c r="D449" s="29">
        <f>Cours_Hist_figé!D513/Cours_Hist_figé!D449 - 1</f>
        <v>-9.2128476540753734E-4</v>
      </c>
      <c r="E449" s="29">
        <f>Cours_Hist_figé!E513/Cours_Hist_figé!E449 - 1</f>
        <v>-9.2128476540753734E-4</v>
      </c>
    </row>
    <row r="450" spans="1:5" x14ac:dyDescent="0.4">
      <c r="A450" s="27">
        <v>42746</v>
      </c>
      <c r="B450" s="29">
        <f>Cours_Hist_figé!B514/Cours_Hist_figé!B450 - 1</f>
        <v>7.2250830295228052E-2</v>
      </c>
      <c r="C450" s="29">
        <f>Cours_Hist_figé!C514/Cours_Hist_figé!C450 - 1</f>
        <v>-1.8736935892798234E-2</v>
      </c>
      <c r="D450" s="29">
        <f>Cours_Hist_figé!D514/Cours_Hist_figé!D450 - 1</f>
        <v>-9.0190190946626281E-4</v>
      </c>
      <c r="E450" s="29">
        <f>Cours_Hist_figé!E514/Cours_Hist_figé!E450 - 1</f>
        <v>-9.0190190946615179E-4</v>
      </c>
    </row>
    <row r="451" spans="1:5" x14ac:dyDescent="0.4">
      <c r="A451" s="27">
        <v>42747</v>
      </c>
      <c r="B451" s="29">
        <f>Cours_Hist_figé!B515/Cours_Hist_figé!B451 - 1</f>
        <v>7.0900895022457E-2</v>
      </c>
      <c r="C451" s="29">
        <f>Cours_Hist_figé!C515/Cours_Hist_figé!C451 - 1</f>
        <v>-1.9519827620211427E-2</v>
      </c>
      <c r="D451" s="29">
        <f>Cours_Hist_figé!D515/Cours_Hist_figé!D451 - 1</f>
        <v>-9.01994367532577E-4</v>
      </c>
      <c r="E451" s="29">
        <f>Cours_Hist_figé!E515/Cours_Hist_figé!E451 - 1</f>
        <v>-9.0199436753268802E-4</v>
      </c>
    </row>
    <row r="452" spans="1:5" x14ac:dyDescent="0.4">
      <c r="A452" s="27">
        <v>42748</v>
      </c>
      <c r="B452" s="29">
        <f>Cours_Hist_figé!B516/Cours_Hist_figé!B452 - 1</f>
        <v>8.617006630273738E-2</v>
      </c>
      <c r="C452" s="29">
        <f>Cours_Hist_figé!C516/Cours_Hist_figé!C452 - 1</f>
        <v>-1.9582172479583604E-2</v>
      </c>
      <c r="D452" s="29">
        <f>Cours_Hist_figé!D516/Cours_Hist_figé!D452 - 1</f>
        <v>-9.0210214534724997E-4</v>
      </c>
      <c r="E452" s="29">
        <f>Cours_Hist_figé!E516/Cours_Hist_figé!E452 - 1</f>
        <v>-9.0210214534713895E-4</v>
      </c>
    </row>
    <row r="453" spans="1:5" x14ac:dyDescent="0.4">
      <c r="A453" s="27">
        <v>42751</v>
      </c>
      <c r="B453" s="29">
        <f>Cours_Hist_figé!B517/Cours_Hist_figé!B453 - 1</f>
        <v>8.7184358016163754E-2</v>
      </c>
      <c r="C453" s="29">
        <f>Cours_Hist_figé!C517/Cours_Hist_figé!C453 - 1</f>
        <v>-2.0878296740956537E-2</v>
      </c>
      <c r="D453" s="29">
        <f>Cours_Hist_figé!D517/Cours_Hist_figé!D453 - 1</f>
        <v>-9.2178765374661964E-4</v>
      </c>
      <c r="E453" s="29">
        <f>Cours_Hist_figé!E517/Cours_Hist_figé!E453 - 1</f>
        <v>-9.2178765374650862E-4</v>
      </c>
    </row>
    <row r="454" spans="1:5" x14ac:dyDescent="0.4">
      <c r="A454" s="27">
        <v>42752</v>
      </c>
      <c r="B454" s="29">
        <f>Cours_Hist_figé!B518/Cours_Hist_figé!B454 - 1</f>
        <v>7.1418386761114228E-2</v>
      </c>
      <c r="C454" s="29">
        <f>Cours_Hist_figé!C518/Cours_Hist_figé!C454 - 1</f>
        <v>-1.8937123629253705E-2</v>
      </c>
      <c r="D454" s="29">
        <f>Cours_Hist_figé!D518/Cours_Hist_figé!D454 - 1</f>
        <v>-9.2188800768633339E-4</v>
      </c>
      <c r="E454" s="29">
        <f>Cours_Hist_figé!E518/Cours_Hist_figé!E454 - 1</f>
        <v>-9.2188800768622237E-4</v>
      </c>
    </row>
    <row r="455" spans="1:5" x14ac:dyDescent="0.4">
      <c r="A455" s="27">
        <v>42753</v>
      </c>
      <c r="B455" s="29">
        <f>Cours_Hist_figé!B519/Cours_Hist_figé!B455 - 1</f>
        <v>8.1501925911627415E-2</v>
      </c>
      <c r="C455" s="29">
        <f>Cours_Hist_figé!C519/Cours_Hist_figé!C455 - 1</f>
        <v>-2.0652919591576224E-2</v>
      </c>
      <c r="D455" s="29">
        <f>Cours_Hist_figé!D519/Cours_Hist_figé!D455 - 1</f>
        <v>-9.0249633516803485E-4</v>
      </c>
      <c r="E455" s="29">
        <f>Cours_Hist_figé!E519/Cours_Hist_figé!E455 - 1</f>
        <v>-9.0249633516803485E-4</v>
      </c>
    </row>
    <row r="456" spans="1:5" x14ac:dyDescent="0.4">
      <c r="A456" s="27">
        <v>42754</v>
      </c>
      <c r="B456" s="29">
        <f>Cours_Hist_figé!B520/Cours_Hist_figé!B456 - 1</f>
        <v>6.4985759188443959E-2</v>
      </c>
      <c r="C456" s="29">
        <f>Cours_Hist_figé!C520/Cours_Hist_figé!C456 - 1</f>
        <v>-2.3860287351239129E-2</v>
      </c>
      <c r="D456" s="29">
        <f>Cours_Hist_figé!D520/Cours_Hist_figé!D456 - 1</f>
        <v>-9.0249755872917614E-4</v>
      </c>
      <c r="E456" s="29">
        <f>Cours_Hist_figé!E520/Cours_Hist_figé!E456 - 1</f>
        <v>-9.0249755872906512E-4</v>
      </c>
    </row>
    <row r="457" spans="1:5" x14ac:dyDescent="0.4">
      <c r="A457" s="27">
        <v>42755</v>
      </c>
      <c r="B457" s="29">
        <f>Cours_Hist_figé!B521/Cours_Hist_figé!B457 - 1</f>
        <v>6.0784369687351791E-2</v>
      </c>
      <c r="C457" s="29">
        <f>Cours_Hist_figé!C521/Cours_Hist_figé!C457 - 1</f>
        <v>-2.7179901535427708E-2</v>
      </c>
      <c r="D457" s="29">
        <f>Cours_Hist_figé!D521/Cours_Hist_figé!D457 - 1</f>
        <v>-9.0250631120591951E-4</v>
      </c>
      <c r="E457" s="29">
        <f>Cours_Hist_figé!E521/Cours_Hist_figé!E457 - 1</f>
        <v>-9.0250631120580849E-4</v>
      </c>
    </row>
    <row r="458" spans="1:5" x14ac:dyDescent="0.4">
      <c r="A458" s="27">
        <v>42758</v>
      </c>
      <c r="B458" s="29">
        <f>Cours_Hist_figé!B522/Cours_Hist_figé!B458 - 1</f>
        <v>5.3138052395921953E-2</v>
      </c>
      <c r="C458" s="29">
        <f>Cours_Hist_figé!C522/Cours_Hist_figé!C458 - 1</f>
        <v>-2.5819604337715796E-2</v>
      </c>
      <c r="D458" s="29">
        <f>Cours_Hist_figé!D522/Cours_Hist_figé!D458 - 1</f>
        <v>-9.2198755809713706E-4</v>
      </c>
      <c r="E458" s="29">
        <f>Cours_Hist_figé!E522/Cours_Hist_figé!E458 - 1</f>
        <v>-9.2198755809702604E-4</v>
      </c>
    </row>
    <row r="459" spans="1:5" x14ac:dyDescent="0.4">
      <c r="A459" s="27">
        <v>42759</v>
      </c>
      <c r="B459" s="29">
        <f>Cours_Hist_figé!B523/Cours_Hist_figé!B459 - 1</f>
        <v>5.6230692886389377E-2</v>
      </c>
      <c r="C459" s="29">
        <f>Cours_Hist_figé!C523/Cours_Hist_figé!C459 - 1</f>
        <v>-2.6319777540801281E-2</v>
      </c>
      <c r="D459" s="29">
        <f>Cours_Hist_figé!D523/Cours_Hist_figé!D459 - 1</f>
        <v>-9.2208030941376418E-4</v>
      </c>
      <c r="E459" s="29">
        <f>Cours_Hist_figé!E523/Cours_Hist_figé!E459 - 1</f>
        <v>-9.2208030941365315E-4</v>
      </c>
    </row>
    <row r="460" spans="1:5" x14ac:dyDescent="0.4">
      <c r="A460" s="27">
        <v>42760</v>
      </c>
      <c r="B460" s="29">
        <f>Cours_Hist_figé!B524/Cours_Hist_figé!B460 - 1</f>
        <v>6.9987427247480083E-2</v>
      </c>
      <c r="C460" s="29">
        <f>Cours_Hist_figé!C524/Cours_Hist_figé!C460 - 1</f>
        <v>-2.9236758103030502E-2</v>
      </c>
      <c r="D460" s="29">
        <f>Cours_Hist_figé!D524/Cours_Hist_figé!D460 - 1</f>
        <v>-9.0290045113394779E-4</v>
      </c>
      <c r="E460" s="29">
        <f>Cours_Hist_figé!E524/Cours_Hist_figé!E460 - 1</f>
        <v>-9.0290045113394779E-4</v>
      </c>
    </row>
    <row r="461" spans="1:5" x14ac:dyDescent="0.4">
      <c r="A461" s="27">
        <v>42761</v>
      </c>
      <c r="B461" s="29">
        <f>Cours_Hist_figé!B525/Cours_Hist_figé!B461 - 1</f>
        <v>7.5607995647747561E-2</v>
      </c>
      <c r="C461" s="29">
        <f>Cours_Hist_figé!C525/Cours_Hist_figé!C461 - 1</f>
        <v>-3.2181509653417928E-2</v>
      </c>
      <c r="D461" s="29">
        <f>Cours_Hist_figé!D525/Cours_Hist_figé!D461 - 1</f>
        <v>-9.0300063261228303E-4</v>
      </c>
      <c r="E461" s="29">
        <f>Cours_Hist_figé!E525/Cours_Hist_figé!E461 - 1</f>
        <v>-9.0300063261217201E-4</v>
      </c>
    </row>
    <row r="462" spans="1:5" x14ac:dyDescent="0.4">
      <c r="A462" s="27">
        <v>42762</v>
      </c>
      <c r="B462" s="29">
        <f>Cours_Hist_figé!B526/Cours_Hist_figé!B462 - 1</f>
        <v>7.6332339855028852E-2</v>
      </c>
      <c r="C462" s="29">
        <f>Cours_Hist_figé!C526/Cours_Hist_figé!C462 - 1</f>
        <v>-2.7369691688766906E-2</v>
      </c>
      <c r="D462" s="29">
        <f>Cours_Hist_figé!D526/Cours_Hist_figé!D462 - 1</f>
        <v>-9.0300186808933702E-4</v>
      </c>
      <c r="E462" s="29">
        <f>Cours_Hist_figé!E526/Cours_Hist_figé!E462 - 1</f>
        <v>-9.0300186808944805E-4</v>
      </c>
    </row>
    <row r="463" spans="1:5" x14ac:dyDescent="0.4">
      <c r="A463" s="27">
        <v>42765</v>
      </c>
      <c r="B463" s="29">
        <f>Cours_Hist_figé!B527/Cours_Hist_figé!B463 - 1</f>
        <v>6.4337085974259356E-2</v>
      </c>
      <c r="C463" s="29">
        <f>Cours_Hist_figé!C527/Cours_Hist_figé!C463 - 1</f>
        <v>-2.3580272198996721E-2</v>
      </c>
      <c r="D463" s="29">
        <f>Cours_Hist_figé!D527/Cours_Hist_figé!D463 - 1</f>
        <v>-9.2248444269871221E-4</v>
      </c>
      <c r="E463" s="29">
        <f>Cours_Hist_figé!E527/Cours_Hist_figé!E463 - 1</f>
        <v>-9.2248444269860119E-4</v>
      </c>
    </row>
    <row r="464" spans="1:5" x14ac:dyDescent="0.4">
      <c r="A464" s="27">
        <v>42766</v>
      </c>
      <c r="B464" s="29">
        <f>Cours_Hist_figé!B528/Cours_Hist_figé!B464 - 1</f>
        <v>6.0104489017272167E-2</v>
      </c>
      <c r="C464" s="29">
        <f>Cours_Hist_figé!C528/Cours_Hist_figé!C464 - 1</f>
        <v>-2.2354721425624668E-2</v>
      </c>
      <c r="D464" s="29">
        <f>Cours_Hist_figé!D528/Cours_Hist_figé!D464 - 1</f>
        <v>-9.2238681601786165E-4</v>
      </c>
      <c r="E464" s="29">
        <f>Cours_Hist_figé!E528/Cours_Hist_figé!E464 - 1</f>
        <v>-9.223868160180837E-4</v>
      </c>
    </row>
    <row r="465" spans="1:5" x14ac:dyDescent="0.4">
      <c r="A465" s="27">
        <v>42767</v>
      </c>
      <c r="B465" s="29">
        <f>Cours_Hist_figé!B529/Cours_Hist_figé!B465 - 1</f>
        <v>7.4598584856305772E-2</v>
      </c>
      <c r="C465" s="29">
        <f>Cours_Hist_figé!C529/Cours_Hist_figé!C465 - 1</f>
        <v>-2.530615817714077E-2</v>
      </c>
      <c r="D465" s="29">
        <f>Cours_Hist_figé!D529/Cours_Hist_figé!D465 - 1</f>
        <v>-9.0280203263681802E-4</v>
      </c>
      <c r="E465" s="29">
        <f>Cours_Hist_figé!E529/Cours_Hist_figé!E465 - 1</f>
        <v>-9.0280203263681802E-4</v>
      </c>
    </row>
    <row r="466" spans="1:5" x14ac:dyDescent="0.4">
      <c r="A466" s="27">
        <v>42768</v>
      </c>
      <c r="B466" s="29">
        <f>Cours_Hist_figé!B530/Cours_Hist_figé!B466 - 1</f>
        <v>8.2550211396117401E-2</v>
      </c>
      <c r="C466" s="29">
        <f>Cours_Hist_figé!C530/Cours_Hist_figé!C466 - 1</f>
        <v>-2.0056831579108314E-2</v>
      </c>
      <c r="D466" s="29">
        <f>Cours_Hist_figé!D530/Cours_Hist_figé!D466 - 1</f>
        <v>-9.0319891597223645E-4</v>
      </c>
      <c r="E466" s="29">
        <f>Cours_Hist_figé!E530/Cours_Hist_figé!E466 - 1</f>
        <v>-9.0319891597245849E-4</v>
      </c>
    </row>
    <row r="467" spans="1:5" x14ac:dyDescent="0.4">
      <c r="A467" s="27">
        <v>42769</v>
      </c>
      <c r="B467" s="29">
        <f>Cours_Hist_figé!B531/Cours_Hist_figé!B467 - 1</f>
        <v>0.10167938982336899</v>
      </c>
      <c r="C467" s="29">
        <f>Cours_Hist_figé!C531/Cours_Hist_figé!C467 - 1</f>
        <v>-2.3945882201934943E-2</v>
      </c>
      <c r="D467" s="29">
        <f>Cours_Hist_figé!D531/Cours_Hist_figé!D467 - 1</f>
        <v>-9.0320005713251383E-4</v>
      </c>
      <c r="E467" s="29">
        <f>Cours_Hist_figé!E531/Cours_Hist_figé!E467 - 1</f>
        <v>-9.0320005713251383E-4</v>
      </c>
    </row>
    <row r="468" spans="1:5" x14ac:dyDescent="0.4">
      <c r="A468" s="27">
        <v>42772</v>
      </c>
      <c r="B468" s="29">
        <f>Cours_Hist_figé!B532/Cours_Hist_figé!B468 - 1</f>
        <v>9.4726774235440958E-2</v>
      </c>
      <c r="C468" s="29">
        <f>Cours_Hist_figé!C532/Cours_Hist_figé!C468 - 1</f>
        <v>-2.3519267017936829E-2</v>
      </c>
      <c r="D468" s="29">
        <f>Cours_Hist_figé!D532/Cours_Hist_figé!D468 - 1</f>
        <v>-9.2268376788207096E-4</v>
      </c>
      <c r="E468" s="29">
        <f>Cours_Hist_figé!E532/Cours_Hist_figé!E468 - 1</f>
        <v>-9.2268376788195994E-4</v>
      </c>
    </row>
    <row r="469" spans="1:5" x14ac:dyDescent="0.4">
      <c r="A469" s="27">
        <v>42773</v>
      </c>
      <c r="B469" s="29">
        <f>Cours_Hist_figé!B533/Cours_Hist_figé!B469 - 1</f>
        <v>0.10643759318914481</v>
      </c>
      <c r="C469" s="29">
        <f>Cours_Hist_figé!C533/Cours_Hist_figé!C469 - 1</f>
        <v>-2.3427285547699461E-2</v>
      </c>
      <c r="D469" s="29">
        <f>Cours_Hist_figé!D533/Cours_Hist_figé!D469 - 1</f>
        <v>-9.2288302096921182E-4</v>
      </c>
      <c r="E469" s="29">
        <f>Cours_Hist_figé!E533/Cours_Hist_figé!E469 - 1</f>
        <v>-9.2288302096898978E-4</v>
      </c>
    </row>
    <row r="470" spans="1:5" x14ac:dyDescent="0.4">
      <c r="A470" s="27">
        <v>42774</v>
      </c>
      <c r="B470" s="29">
        <f>Cours_Hist_figé!B534/Cours_Hist_figé!B470 - 1</f>
        <v>9.2775571579843064E-2</v>
      </c>
      <c r="C470" s="29">
        <f>Cours_Hist_figé!C534/Cours_Hist_figé!C470 - 1</f>
        <v>-2.0169261528331983E-2</v>
      </c>
      <c r="D470" s="29">
        <f>Cours_Hist_figé!D534/Cours_Hist_figé!D470 - 1</f>
        <v>-9.0399740352198332E-4</v>
      </c>
      <c r="E470" s="29">
        <f>Cours_Hist_figé!E534/Cours_Hist_figé!E470 - 1</f>
        <v>-9.039974035218723E-4</v>
      </c>
    </row>
    <row r="471" spans="1:5" x14ac:dyDescent="0.4">
      <c r="A471" s="27">
        <v>42775</v>
      </c>
      <c r="B471" s="29">
        <f>Cours_Hist_figé!B535/Cours_Hist_figé!B471 - 1</f>
        <v>9.7911264574623624E-2</v>
      </c>
      <c r="C471" s="29">
        <f>Cours_Hist_figé!C535/Cours_Hist_figé!C471 - 1</f>
        <v>-1.7356444706734586E-2</v>
      </c>
      <c r="D471" s="29">
        <f>Cours_Hist_figé!D535/Cours_Hist_figé!D471 - 1</f>
        <v>-9.0410513243199819E-4</v>
      </c>
      <c r="E471" s="29">
        <f>Cours_Hist_figé!E535/Cours_Hist_figé!E471 - 1</f>
        <v>-9.0410513243199819E-4</v>
      </c>
    </row>
    <row r="472" spans="1:5" x14ac:dyDescent="0.4">
      <c r="A472" s="27">
        <v>42776</v>
      </c>
      <c r="B472" s="29">
        <f>Cours_Hist_figé!B536/Cours_Hist_figé!B472 - 1</f>
        <v>8.4265645343946538E-2</v>
      </c>
      <c r="C472" s="29">
        <f>Cours_Hist_figé!C536/Cours_Hist_figé!C472 - 1</f>
        <v>-1.9256989585173079E-2</v>
      </c>
      <c r="D472" s="29">
        <f>Cours_Hist_figé!D536/Cours_Hist_figé!D472 - 1</f>
        <v>-9.0430430806909268E-4</v>
      </c>
      <c r="E472" s="29">
        <f>Cours_Hist_figé!E536/Cours_Hist_figé!E472 - 1</f>
        <v>-9.043043080692037E-4</v>
      </c>
    </row>
    <row r="473" spans="1:5" x14ac:dyDescent="0.4">
      <c r="A473" s="27">
        <v>42779</v>
      </c>
      <c r="B473" s="29">
        <f>Cours_Hist_figé!B537/Cours_Hist_figé!B473 - 1</f>
        <v>9.4921740532390997E-2</v>
      </c>
      <c r="C473" s="29">
        <f>Cours_Hist_figé!C537/Cours_Hist_figé!C473 - 1</f>
        <v>-1.1009431789055002E-2</v>
      </c>
      <c r="D473" s="29">
        <f>Cours_Hist_figé!D537/Cours_Hist_figé!D473 - 1</f>
        <v>-9.2367540562365846E-4</v>
      </c>
      <c r="E473" s="29">
        <f>Cours_Hist_figé!E537/Cours_Hist_figé!E473 - 1</f>
        <v>-9.2367540562376949E-4</v>
      </c>
    </row>
    <row r="474" spans="1:5" x14ac:dyDescent="0.4">
      <c r="A474" s="27">
        <v>42780</v>
      </c>
      <c r="B474" s="29">
        <f>Cours_Hist_figé!B538/Cours_Hist_figé!B474 - 1</f>
        <v>9.9755800557326246E-2</v>
      </c>
      <c r="C474" s="29">
        <f>Cours_Hist_figé!C538/Cours_Hist_figé!C474 - 1</f>
        <v>-8.1405105202542183E-3</v>
      </c>
      <c r="D474" s="29">
        <f>Cours_Hist_figé!D538/Cours_Hist_figé!D474 - 1</f>
        <v>-9.2367683700766978E-4</v>
      </c>
      <c r="E474" s="29">
        <f>Cours_Hist_figé!E538/Cours_Hist_figé!E474 - 1</f>
        <v>-9.2367683700766978E-4</v>
      </c>
    </row>
    <row r="475" spans="1:5" x14ac:dyDescent="0.4">
      <c r="A475" s="27">
        <v>42781</v>
      </c>
      <c r="B475" s="29">
        <f>Cours_Hist_figé!B539/Cours_Hist_figé!B475 - 1</f>
        <v>0.1011410185384809</v>
      </c>
      <c r="C475" s="29">
        <f>Cours_Hist_figé!C539/Cours_Hist_figé!C475 - 1</f>
        <v>-5.8355619669046011E-3</v>
      </c>
      <c r="D475" s="29">
        <f>Cours_Hist_figé!D539/Cours_Hist_figé!D475 - 1</f>
        <v>-9.0429519299262129E-4</v>
      </c>
      <c r="E475" s="29">
        <f>Cours_Hist_figé!E539/Cours_Hist_figé!E475 - 1</f>
        <v>-9.0429519299251027E-4</v>
      </c>
    </row>
    <row r="476" spans="1:5" x14ac:dyDescent="0.4">
      <c r="A476" s="27">
        <v>42782</v>
      </c>
      <c r="B476" s="29">
        <f>Cours_Hist_figé!B540/Cours_Hist_figé!B476 - 1</f>
        <v>9.4544566167212851E-2</v>
      </c>
      <c r="C476" s="29">
        <f>Cours_Hist_figé!C540/Cours_Hist_figé!C476 - 1</f>
        <v>-7.0406267589365745E-3</v>
      </c>
      <c r="D476" s="29">
        <f>Cours_Hist_figé!D540/Cours_Hist_figé!D476 - 1</f>
        <v>-9.0449438210804534E-4</v>
      </c>
      <c r="E476" s="29">
        <f>Cours_Hist_figé!E540/Cours_Hist_figé!E476 - 1</f>
        <v>-9.0449438210804534E-4</v>
      </c>
    </row>
    <row r="477" spans="1:5" x14ac:dyDescent="0.4">
      <c r="A477" s="27">
        <v>42783</v>
      </c>
      <c r="B477" s="29">
        <f>Cours_Hist_figé!B541/Cours_Hist_figé!B477 - 1</f>
        <v>9.7196285122770565E-2</v>
      </c>
      <c r="C477" s="29">
        <f>Cours_Hist_figé!C541/Cours_Hist_figé!C477 - 1</f>
        <v>-4.7043936192664448E-3</v>
      </c>
      <c r="D477" s="29">
        <f>Cours_Hist_figé!D541/Cours_Hist_figé!D477 - 1</f>
        <v>-9.0460221377097749E-4</v>
      </c>
      <c r="E477" s="29">
        <f>Cours_Hist_figé!E541/Cours_Hist_figé!E477 - 1</f>
        <v>-9.0460221377075545E-4</v>
      </c>
    </row>
    <row r="478" spans="1:5" x14ac:dyDescent="0.4">
      <c r="A478" s="27">
        <v>42786</v>
      </c>
      <c r="B478" s="29">
        <f>Cours_Hist_figé!B542/Cours_Hist_figé!B478 - 1</f>
        <v>9.2260954982670285E-2</v>
      </c>
      <c r="C478" s="29">
        <f>Cours_Hist_figé!C542/Cours_Hist_figé!C478 - 1</f>
        <v>-4.3188886787900449E-3</v>
      </c>
      <c r="D478" s="29">
        <f>Cours_Hist_figé!D542/Cours_Hist_figé!D478 - 1</f>
        <v>-9.2427945181161597E-4</v>
      </c>
      <c r="E478" s="29">
        <f>Cours_Hist_figé!E542/Cours_Hist_figé!E478 - 1</f>
        <v>-9.2427945181172699E-4</v>
      </c>
    </row>
    <row r="479" spans="1:5" x14ac:dyDescent="0.4">
      <c r="A479" s="27">
        <v>42787</v>
      </c>
      <c r="B479" s="29">
        <f>Cours_Hist_figé!B543/Cours_Hist_figé!B479 - 1</f>
        <v>0.10345881658008427</v>
      </c>
      <c r="C479" s="29">
        <f>Cours_Hist_figé!C543/Cours_Hist_figé!C479 - 1</f>
        <v>-5.5093914065235117E-3</v>
      </c>
      <c r="D479" s="29">
        <f>Cours_Hist_figé!D543/Cours_Hist_figé!D479 - 1</f>
        <v>-9.2437986393056892E-4</v>
      </c>
      <c r="E479" s="29">
        <f>Cours_Hist_figé!E543/Cours_Hist_figé!E479 - 1</f>
        <v>-9.2437986393067995E-4</v>
      </c>
    </row>
    <row r="480" spans="1:5" x14ac:dyDescent="0.4">
      <c r="A480" s="27">
        <v>42788</v>
      </c>
      <c r="B480" s="29">
        <f>Cours_Hist_figé!B544/Cours_Hist_figé!B480 - 1</f>
        <v>0.10008643379789239</v>
      </c>
      <c r="C480" s="29">
        <f>Cours_Hist_figé!C544/Cours_Hist_figé!C480 - 1</f>
        <v>-4.2687690337177564E-3</v>
      </c>
      <c r="D480" s="29">
        <f>Cours_Hist_figé!D544/Cours_Hist_figé!D480 - 1</f>
        <v>-9.0510360341855556E-4</v>
      </c>
      <c r="E480" s="29">
        <f>Cours_Hist_figé!E544/Cours_Hist_figé!E480 - 1</f>
        <v>-9.0510360341866658E-4</v>
      </c>
    </row>
    <row r="481" spans="1:5" x14ac:dyDescent="0.4">
      <c r="A481" s="27">
        <v>42789</v>
      </c>
      <c r="B481" s="29">
        <f>Cours_Hist_figé!B545/Cours_Hist_figé!B481 - 1</f>
        <v>9.7028558877834348E-2</v>
      </c>
      <c r="C481" s="29">
        <f>Cours_Hist_figé!C545/Cours_Hist_figé!C481 - 1</f>
        <v>-4.3837354468523326E-3</v>
      </c>
      <c r="D481" s="29">
        <f>Cours_Hist_figé!D545/Cours_Hist_figé!D481 - 1</f>
        <v>-9.0540197368593756E-4</v>
      </c>
      <c r="E481" s="29">
        <f>Cours_Hist_figé!E545/Cours_Hist_figé!E481 - 1</f>
        <v>-9.0540197368593756E-4</v>
      </c>
    </row>
    <row r="482" spans="1:5" x14ac:dyDescent="0.4">
      <c r="A482" s="27">
        <v>42790</v>
      </c>
      <c r="B482" s="29">
        <f>Cours_Hist_figé!B546/Cours_Hist_figé!B482 - 1</f>
        <v>8.9413304522169001E-2</v>
      </c>
      <c r="C482" s="29">
        <f>Cours_Hist_figé!C546/Cours_Hist_figé!C482 - 1</f>
        <v>1.8640169258774542E-3</v>
      </c>
      <c r="D482" s="29">
        <f>Cours_Hist_figé!D546/Cours_Hist_figé!D482 - 1</f>
        <v>-9.0560127864514062E-4</v>
      </c>
      <c r="E482" s="29">
        <f>Cours_Hist_figé!E546/Cours_Hist_figé!E482 - 1</f>
        <v>-9.0560127864525164E-4</v>
      </c>
    </row>
    <row r="483" spans="1:5" x14ac:dyDescent="0.4">
      <c r="A483" s="27">
        <v>42793</v>
      </c>
      <c r="B483" s="29">
        <f>Cours_Hist_figé!B547/Cours_Hist_figé!B483 - 1</f>
        <v>8.3970589742441648E-2</v>
      </c>
      <c r="C483" s="29">
        <f>Cours_Hist_figé!C547/Cours_Hist_figé!C483 - 1</f>
        <v>2.1769738228989421E-3</v>
      </c>
      <c r="D483" s="29">
        <f>Cours_Hist_figé!D547/Cours_Hist_figé!D483 - 1</f>
        <v>-9.2577503861657195E-4</v>
      </c>
      <c r="E483" s="29">
        <f>Cours_Hist_figé!E547/Cours_Hist_figé!E483 - 1</f>
        <v>-9.2577503861657195E-4</v>
      </c>
    </row>
    <row r="484" spans="1:5" x14ac:dyDescent="0.4">
      <c r="A484" s="27">
        <v>42794</v>
      </c>
      <c r="B484" s="29">
        <f>Cours_Hist_figé!B548/Cours_Hist_figé!B484 - 1</f>
        <v>8.3864635568481782E-2</v>
      </c>
      <c r="C484" s="29">
        <f>Cours_Hist_figé!C548/Cours_Hist_figé!C484 - 1</f>
        <v>2.3073217215938691E-3</v>
      </c>
      <c r="D484" s="29">
        <f>Cours_Hist_figé!D548/Cours_Hist_figé!D484 - 1</f>
        <v>-9.2587556380285818E-4</v>
      </c>
      <c r="E484" s="29">
        <f>Cours_Hist_figé!E548/Cours_Hist_figé!E484 - 1</f>
        <v>-9.2587556380263614E-4</v>
      </c>
    </row>
    <row r="485" spans="1:5" x14ac:dyDescent="0.4">
      <c r="A485" s="27">
        <v>42795</v>
      </c>
      <c r="B485" s="29">
        <f>Cours_Hist_figé!B549/Cours_Hist_figé!B485 - 1</f>
        <v>0.10908538355714614</v>
      </c>
      <c r="C485" s="29">
        <f>Cours_Hist_figé!C549/Cours_Hist_figé!C485 - 1</f>
        <v>-3.0855924471725471E-3</v>
      </c>
      <c r="D485" s="29">
        <f>Cours_Hist_figé!D549/Cours_Hist_figé!D485 - 1</f>
        <v>-9.0630080641840305E-4</v>
      </c>
      <c r="E485" s="29">
        <f>Cours_Hist_figé!E549/Cours_Hist_figé!E485 - 1</f>
        <v>-9.0630080641840305E-4</v>
      </c>
    </row>
    <row r="486" spans="1:5" x14ac:dyDescent="0.4">
      <c r="A486" s="27">
        <v>42796</v>
      </c>
      <c r="B486" s="29">
        <f>Cours_Hist_figé!B550/Cours_Hist_figé!B486 - 1</f>
        <v>0.10654282379285407</v>
      </c>
      <c r="C486" s="29">
        <f>Cours_Hist_figé!C550/Cours_Hist_figé!C486 - 1</f>
        <v>-4.0981323592256258E-3</v>
      </c>
      <c r="D486" s="29">
        <f>Cours_Hist_figé!D550/Cours_Hist_figé!D486 - 1</f>
        <v>-9.061953695727043E-4</v>
      </c>
      <c r="E486" s="29">
        <f>Cours_Hist_figé!E550/Cours_Hist_figé!E486 - 1</f>
        <v>-9.061953695727043E-4</v>
      </c>
    </row>
    <row r="487" spans="1:5" x14ac:dyDescent="0.4">
      <c r="A487" s="27">
        <v>42797</v>
      </c>
      <c r="B487" s="29">
        <f>Cours_Hist_figé!B551/Cours_Hist_figé!B487 - 1</f>
        <v>0.1014722918988098</v>
      </c>
      <c r="C487" s="29">
        <f>Cours_Hist_figé!C551/Cours_Hist_figé!C487 - 1</f>
        <v>-4.5814086396696041E-3</v>
      </c>
      <c r="D487" s="29">
        <f>Cours_Hist_figé!D551/Cours_Hist_figé!D487 - 1</f>
        <v>-9.061965401143679E-4</v>
      </c>
      <c r="E487" s="29">
        <f>Cours_Hist_figé!E551/Cours_Hist_figé!E487 - 1</f>
        <v>-9.0619654011447892E-4</v>
      </c>
    </row>
    <row r="488" spans="1:5" x14ac:dyDescent="0.4">
      <c r="A488" s="27">
        <v>42800</v>
      </c>
      <c r="B488" s="29">
        <f>Cours_Hist_figé!B552/Cours_Hist_figé!B488 - 1</f>
        <v>9.8683947357894208E-2</v>
      </c>
      <c r="C488" s="29">
        <f>Cours_Hist_figé!C552/Cours_Hist_figé!C488 - 1</f>
        <v>-1.1613875210687574E-3</v>
      </c>
      <c r="D488" s="29">
        <f>Cours_Hist_figé!D552/Cours_Hist_figé!D488 - 1</f>
        <v>-9.2578463984627213E-4</v>
      </c>
      <c r="E488" s="29">
        <f>Cours_Hist_figé!E552/Cours_Hist_figé!E488 - 1</f>
        <v>-9.2578463984616111E-4</v>
      </c>
    </row>
    <row r="489" spans="1:5" x14ac:dyDescent="0.4">
      <c r="A489" s="27">
        <v>42801</v>
      </c>
      <c r="B489" s="29">
        <f>Cours_Hist_figé!B553/Cours_Hist_figé!B489 - 1</f>
        <v>0.10079847363723027</v>
      </c>
      <c r="C489" s="29">
        <f>Cours_Hist_figé!C553/Cours_Hist_figé!C489 - 1</f>
        <v>-4.1927005397131012E-3</v>
      </c>
      <c r="D489" s="29">
        <f>Cours_Hist_figé!D553/Cours_Hist_figé!D489 - 1</f>
        <v>-9.2597644671676971E-4</v>
      </c>
      <c r="E489" s="29">
        <f>Cours_Hist_figé!E553/Cours_Hist_figé!E489 - 1</f>
        <v>-9.2597644671676971E-4</v>
      </c>
    </row>
    <row r="490" spans="1:5" x14ac:dyDescent="0.4">
      <c r="A490" s="27">
        <v>42802</v>
      </c>
      <c r="B490" s="29">
        <f>Cours_Hist_figé!B554/Cours_Hist_figé!B490 - 1</f>
        <v>9.5161514097832134E-2</v>
      </c>
      <c r="C490" s="29">
        <f>Cours_Hist_figé!C554/Cours_Hist_figé!C490 - 1</f>
        <v>-5.1186701011607383E-3</v>
      </c>
      <c r="D490" s="29">
        <f>Cours_Hist_figé!D554/Cours_Hist_figé!D490 - 1</f>
        <v>-9.0689550867595337E-4</v>
      </c>
      <c r="E490" s="29">
        <f>Cours_Hist_figé!E554/Cours_Hist_figé!E490 - 1</f>
        <v>-9.0689550867606439E-4</v>
      </c>
    </row>
    <row r="491" spans="1:5" x14ac:dyDescent="0.4">
      <c r="A491" s="27">
        <v>42803</v>
      </c>
      <c r="B491" s="29">
        <f>Cours_Hist_figé!B555/Cours_Hist_figé!B491 - 1</f>
        <v>8.5279357143926315E-2</v>
      </c>
      <c r="C491" s="29">
        <f>Cours_Hist_figé!C555/Cours_Hist_figé!C491 - 1</f>
        <v>-6.8135969748200909E-3</v>
      </c>
      <c r="D491" s="29">
        <f>Cours_Hist_figé!D555/Cours_Hist_figé!D491 - 1</f>
        <v>-9.0710237824187523E-4</v>
      </c>
      <c r="E491" s="29">
        <f>Cours_Hist_figé!E555/Cours_Hist_figé!E491 - 1</f>
        <v>-9.0710237824187523E-4</v>
      </c>
    </row>
    <row r="492" spans="1:5" x14ac:dyDescent="0.4">
      <c r="A492" s="27">
        <v>42804</v>
      </c>
      <c r="B492" s="29">
        <f>Cours_Hist_figé!B556/Cours_Hist_figé!B492 - 1</f>
        <v>7.621452601072809E-2</v>
      </c>
      <c r="C492" s="29">
        <f>Cours_Hist_figé!C556/Cours_Hist_figé!C492 - 1</f>
        <v>-1.2491106016285891E-2</v>
      </c>
      <c r="D492" s="29">
        <f>Cours_Hist_figé!D556/Cours_Hist_figé!D492 - 1</f>
        <v>-9.0719502029867893E-4</v>
      </c>
      <c r="E492" s="29">
        <f>Cours_Hist_figé!E556/Cours_Hist_figé!E492 - 1</f>
        <v>-9.0719502029878996E-4</v>
      </c>
    </row>
    <row r="493" spans="1:5" x14ac:dyDescent="0.4">
      <c r="A493" s="27">
        <v>42807</v>
      </c>
      <c r="B493" s="29">
        <f>Cours_Hist_figé!B557/Cours_Hist_figé!B493 - 1</f>
        <v>6.6995222324347292E-2</v>
      </c>
      <c r="C493" s="29">
        <f>Cours_Hist_figé!C557/Cours_Hist_figé!C493 - 1</f>
        <v>-8.1748916495640866E-3</v>
      </c>
      <c r="D493" s="29">
        <f>Cours_Hist_figé!D557/Cours_Hist_figé!D493 - 1</f>
        <v>-9.2677701659471534E-4</v>
      </c>
      <c r="E493" s="29">
        <f>Cours_Hist_figé!E557/Cours_Hist_figé!E493 - 1</f>
        <v>-9.2677701659460432E-4</v>
      </c>
    </row>
    <row r="494" spans="1:5" x14ac:dyDescent="0.4">
      <c r="A494" s="27">
        <v>42808</v>
      </c>
      <c r="B494" s="29">
        <f>Cours_Hist_figé!B558/Cours_Hist_figé!B494 - 1</f>
        <v>5.3652456263556303E-2</v>
      </c>
      <c r="C494" s="29">
        <f>Cours_Hist_figé!C558/Cours_Hist_figé!C494 - 1</f>
        <v>-8.0029513155497334E-3</v>
      </c>
      <c r="D494" s="29">
        <f>Cours_Hist_figé!D558/Cours_Hist_figé!D494 - 1</f>
        <v>-9.2698408294578094E-4</v>
      </c>
      <c r="E494" s="29">
        <f>Cours_Hist_figé!E558/Cours_Hist_figé!E494 - 1</f>
        <v>-9.2698408294566992E-4</v>
      </c>
    </row>
    <row r="495" spans="1:5" x14ac:dyDescent="0.4">
      <c r="A495" s="27">
        <v>42809</v>
      </c>
      <c r="B495" s="29">
        <f>Cours_Hist_figé!B559/Cours_Hist_figé!B495 - 1</f>
        <v>6.2763259317551778E-2</v>
      </c>
      <c r="C495" s="29">
        <f>Cours_Hist_figé!C559/Cours_Hist_figé!C495 - 1</f>
        <v>-2.6255845212148632E-3</v>
      </c>
      <c r="D495" s="29">
        <f>Cours_Hist_figé!D559/Cours_Hist_figé!D495 - 1</f>
        <v>-9.07795264415312E-4</v>
      </c>
      <c r="E495" s="29">
        <f>Cours_Hist_figé!E559/Cours_Hist_figé!E495 - 1</f>
        <v>-9.07795264415312E-4</v>
      </c>
    </row>
    <row r="496" spans="1:5" x14ac:dyDescent="0.4">
      <c r="A496" s="27">
        <v>42810</v>
      </c>
      <c r="B496" s="29">
        <f>Cours_Hist_figé!B560/Cours_Hist_figé!B496 - 1</f>
        <v>5.9975095349380947E-2</v>
      </c>
      <c r="C496" s="29">
        <f>Cours_Hist_figé!C560/Cours_Hist_figé!C496 - 1</f>
        <v>-9.0734893084880586E-3</v>
      </c>
      <c r="D496" s="29">
        <f>Cours_Hist_figé!D560/Cours_Hist_figé!D496 - 1</f>
        <v>-9.0789554089754088E-4</v>
      </c>
      <c r="E496" s="29">
        <f>Cours_Hist_figé!E560/Cours_Hist_figé!E496 - 1</f>
        <v>-9.0789554089754088E-4</v>
      </c>
    </row>
    <row r="497" spans="1:5" x14ac:dyDescent="0.4">
      <c r="A497" s="27">
        <v>42811</v>
      </c>
      <c r="B497" s="29">
        <f>Cours_Hist_figé!B561/Cours_Hist_figé!B497 - 1</f>
        <v>6.7146915899458204E-2</v>
      </c>
      <c r="C497" s="29">
        <f>Cours_Hist_figé!C561/Cours_Hist_figé!C497 - 1</f>
        <v>-1.2381940300691507E-2</v>
      </c>
      <c r="D497" s="29">
        <f>Cours_Hist_figé!D561/Cours_Hist_figé!D497 - 1</f>
        <v>-9.0789681113856435E-4</v>
      </c>
      <c r="E497" s="29">
        <f>Cours_Hist_figé!E561/Cours_Hist_figé!E497 - 1</f>
        <v>-9.0789681113845333E-4</v>
      </c>
    </row>
    <row r="498" spans="1:5" x14ac:dyDescent="0.4">
      <c r="A498" s="27">
        <v>42814</v>
      </c>
      <c r="B498" s="29">
        <f>Cours_Hist_figé!B562/Cours_Hist_figé!B498 - 1</f>
        <v>5.6124584942599975E-2</v>
      </c>
      <c r="C498" s="29">
        <f>Cours_Hist_figé!C562/Cours_Hist_figé!C498 - 1</f>
        <v>-9.231123050650103E-3</v>
      </c>
      <c r="D498" s="29">
        <f>Cours_Hist_figé!D562/Cours_Hist_figé!D498 - 1</f>
        <v>-9.2757923414366061E-4</v>
      </c>
      <c r="E498" s="29">
        <f>Cours_Hist_figé!E562/Cours_Hist_figé!E498 - 1</f>
        <v>-9.2757923414366061E-4</v>
      </c>
    </row>
    <row r="499" spans="1:5" x14ac:dyDescent="0.4">
      <c r="A499" s="27">
        <v>42815</v>
      </c>
      <c r="B499" s="29">
        <f>Cours_Hist_figé!B563/Cours_Hist_figé!B499 - 1</f>
        <v>4.7082636312696158E-2</v>
      </c>
      <c r="C499" s="29">
        <f>Cours_Hist_figé!C563/Cours_Hist_figé!C499 - 1</f>
        <v>-1.0431642812732456E-2</v>
      </c>
      <c r="D499" s="29">
        <f>Cours_Hist_figé!D563/Cours_Hist_figé!D499 - 1</f>
        <v>-9.2737498727979428E-4</v>
      </c>
      <c r="E499" s="29">
        <f>Cours_Hist_figé!E563/Cours_Hist_figé!E499 - 1</f>
        <v>-9.2737498727990531E-4</v>
      </c>
    </row>
    <row r="500" spans="1:5" x14ac:dyDescent="0.4">
      <c r="A500" s="27">
        <v>42816</v>
      </c>
      <c r="B500" s="29">
        <f>Cours_Hist_figé!B564/Cours_Hist_figé!B500 - 1</f>
        <v>4.3986513566539154E-2</v>
      </c>
      <c r="C500" s="29">
        <f>Cours_Hist_figé!C564/Cours_Hist_figé!C500 - 1</f>
        <v>-1.1755509089810601E-2</v>
      </c>
      <c r="D500" s="29">
        <f>Cours_Hist_figé!D564/Cours_Hist_figé!D500 - 1</f>
        <v>-9.0749165039072377E-4</v>
      </c>
      <c r="E500" s="29">
        <f>Cours_Hist_figé!E564/Cours_Hist_figé!E500 - 1</f>
        <v>-9.0749165039072377E-4</v>
      </c>
    </row>
    <row r="501" spans="1:5" x14ac:dyDescent="0.4">
      <c r="A501" s="27">
        <v>42817</v>
      </c>
      <c r="B501" s="29">
        <f>Cours_Hist_figé!B565/Cours_Hist_figé!B501 - 1</f>
        <v>4.7280833820584345E-2</v>
      </c>
      <c r="C501" s="29">
        <f>Cours_Hist_figé!C565/Cours_Hist_figé!C501 - 1</f>
        <v>-1.2079830442016215E-2</v>
      </c>
      <c r="D501" s="29">
        <f>Cours_Hist_figé!D565/Cours_Hist_figé!D501 - 1</f>
        <v>-9.0759963667974564E-4</v>
      </c>
      <c r="E501" s="29">
        <f>Cours_Hist_figé!E565/Cours_Hist_figé!E501 - 1</f>
        <v>-9.0759963667952359E-4</v>
      </c>
    </row>
    <row r="502" spans="1:5" x14ac:dyDescent="0.4">
      <c r="A502" s="27">
        <v>42818</v>
      </c>
      <c r="B502" s="29">
        <f>Cours_Hist_figé!B566/Cours_Hist_figé!B502 - 1</f>
        <v>4.7655214021247394E-2</v>
      </c>
      <c r="C502" s="29">
        <f>Cours_Hist_figé!C566/Cours_Hist_figé!C502 - 1</f>
        <v>-1.1834096618725254E-2</v>
      </c>
      <c r="D502" s="29">
        <f>Cours_Hist_figé!D566/Cours_Hist_figé!D502 - 1</f>
        <v>-9.0770000907669512E-4</v>
      </c>
      <c r="E502" s="29">
        <f>Cours_Hist_figé!E566/Cours_Hist_figé!E502 - 1</f>
        <v>-9.0770000907691717E-4</v>
      </c>
    </row>
    <row r="503" spans="1:5" x14ac:dyDescent="0.4">
      <c r="A503" s="27">
        <v>42821</v>
      </c>
      <c r="B503" s="29">
        <f>Cours_Hist_figé!B567/Cours_Hist_figé!B503 - 1</f>
        <v>4.5958166461449901E-2</v>
      </c>
      <c r="C503" s="29">
        <f>Cours_Hist_figé!C567/Cours_Hist_figé!C503 - 1</f>
        <v>-9.9587388328752358E-3</v>
      </c>
      <c r="D503" s="29">
        <f>Cours_Hist_figé!D567/Cours_Hist_figé!D503 - 1</f>
        <v>-9.2757444941571343E-4</v>
      </c>
      <c r="E503" s="29">
        <f>Cours_Hist_figé!E567/Cours_Hist_figé!E503 - 1</f>
        <v>-9.2757444941571343E-4</v>
      </c>
    </row>
    <row r="504" spans="1:5" x14ac:dyDescent="0.4">
      <c r="A504" s="27">
        <v>42822</v>
      </c>
      <c r="B504" s="29">
        <f>Cours_Hist_figé!B568/Cours_Hist_figé!B504 - 1</f>
        <v>5.2237401543797413E-2</v>
      </c>
      <c r="C504" s="29">
        <f>Cours_Hist_figé!C568/Cours_Hist_figé!C504 - 1</f>
        <v>-1.0021181833753112E-2</v>
      </c>
      <c r="D504" s="29">
        <f>Cours_Hist_figé!D568/Cours_Hist_figé!D504 - 1</f>
        <v>-9.2768263560349951E-4</v>
      </c>
      <c r="E504" s="29">
        <f>Cours_Hist_figé!E568/Cours_Hist_figé!E504 - 1</f>
        <v>-9.2768263560349951E-4</v>
      </c>
    </row>
    <row r="505" spans="1:5" x14ac:dyDescent="0.4">
      <c r="A505" s="27">
        <v>42823</v>
      </c>
      <c r="B505" s="29">
        <f>Cours_Hist_figé!B569/Cours_Hist_figé!B505 - 1</f>
        <v>5.1495539351474884E-2</v>
      </c>
      <c r="C505" s="29">
        <f>Cours_Hist_figé!C569/Cours_Hist_figé!C505 - 1</f>
        <v>-9.4320963085835485E-3</v>
      </c>
      <c r="D505" s="29">
        <f>Cours_Hist_figé!D569/Cours_Hist_figé!D505 - 1</f>
        <v>-8.881094737694939E-4</v>
      </c>
      <c r="E505" s="29">
        <f>Cours_Hist_figé!E569/Cours_Hist_figé!E505 - 1</f>
        <v>-8.881094737694939E-4</v>
      </c>
    </row>
    <row r="506" spans="1:5" x14ac:dyDescent="0.4">
      <c r="A506" s="27">
        <v>42824</v>
      </c>
      <c r="B506" s="29">
        <f>Cours_Hist_figé!B570/Cours_Hist_figé!B506 - 1</f>
        <v>6.1167236436663552E-2</v>
      </c>
      <c r="C506" s="29">
        <f>Cours_Hist_figé!C570/Cours_Hist_figé!C506 - 1</f>
        <v>-1.0933181580072948E-2</v>
      </c>
      <c r="D506" s="29">
        <f>Cours_Hist_figé!D570/Cours_Hist_figé!D506 - 1</f>
        <v>-8.882172797649579E-4</v>
      </c>
      <c r="E506" s="29">
        <f>Cours_Hist_figé!E570/Cours_Hist_figé!E506 - 1</f>
        <v>-8.882172797649579E-4</v>
      </c>
    </row>
    <row r="507" spans="1:5" x14ac:dyDescent="0.4">
      <c r="A507" s="27">
        <v>42825</v>
      </c>
      <c r="B507" s="29">
        <f>Cours_Hist_figé!B571/Cours_Hist_figé!B507 - 1</f>
        <v>5.9578367068789273E-2</v>
      </c>
      <c r="C507" s="29">
        <f>Cours_Hist_figé!C571/Cours_Hist_figé!C507 - 1</f>
        <v>-9.2515634178640394E-3</v>
      </c>
      <c r="D507" s="29">
        <f>Cours_Hist_figé!D571/Cours_Hist_figé!D507 - 1</f>
        <v>-8.8821082862788892E-4</v>
      </c>
      <c r="E507" s="29">
        <f>Cours_Hist_figé!E571/Cours_Hist_figé!E507 - 1</f>
        <v>-8.8821082862788892E-4</v>
      </c>
    </row>
    <row r="508" spans="1:5" x14ac:dyDescent="0.4">
      <c r="A508" s="27">
        <v>42828</v>
      </c>
      <c r="B508" s="29">
        <f>Cours_Hist_figé!B572/Cours_Hist_figé!B508 - 1</f>
        <v>4.2312962979744295E-2</v>
      </c>
      <c r="C508" s="29">
        <f>Cours_Hist_figé!C572/Cours_Hist_figé!C508 - 1</f>
        <v>-3.6736794018717989E-3</v>
      </c>
      <c r="D508" s="29">
        <f>Cours_Hist_figé!D572/Cours_Hist_figé!D508 - 1</f>
        <v>-8.8052095674173714E-4</v>
      </c>
      <c r="E508" s="29">
        <f>Cours_Hist_figé!E572/Cours_Hist_figé!E508 - 1</f>
        <v>-8.8052095674184816E-4</v>
      </c>
    </row>
    <row r="509" spans="1:5" x14ac:dyDescent="0.4">
      <c r="A509" s="27">
        <v>42829</v>
      </c>
      <c r="B509" s="29">
        <f>Cours_Hist_figé!B573/Cours_Hist_figé!B509 - 1</f>
        <v>4.5618122050867571E-2</v>
      </c>
      <c r="C509" s="29">
        <f>Cours_Hist_figé!C573/Cours_Hist_figé!C509 - 1</f>
        <v>-1.1370859610144723E-3</v>
      </c>
      <c r="D509" s="29">
        <f>Cours_Hist_figé!D573/Cours_Hist_figé!D509 - 1</f>
        <v>-8.8062099001018357E-4</v>
      </c>
      <c r="E509" s="29">
        <f>Cours_Hist_figé!E573/Cours_Hist_figé!E509 - 1</f>
        <v>-8.8062099001040561E-4</v>
      </c>
    </row>
    <row r="510" spans="1:5" x14ac:dyDescent="0.4">
      <c r="A510" s="27">
        <v>42830</v>
      </c>
      <c r="B510" s="29">
        <f>Cours_Hist_figé!B574/Cours_Hist_figé!B510 - 1</f>
        <v>4.4909493545613799E-2</v>
      </c>
      <c r="C510" s="29">
        <f>Cours_Hist_figé!C574/Cours_Hist_figé!C510 - 1</f>
        <v>-9.8730417145154181E-4</v>
      </c>
      <c r="D510" s="29">
        <f>Cours_Hist_figé!D574/Cours_Hist_figé!D510 - 1</f>
        <v>-8.8072093121560613E-4</v>
      </c>
      <c r="E510" s="29">
        <f>Cours_Hist_figé!E574/Cours_Hist_figé!E510 - 1</f>
        <v>-8.8072093121549511E-4</v>
      </c>
    </row>
    <row r="511" spans="1:5" x14ac:dyDescent="0.4">
      <c r="A511" s="27">
        <v>42831</v>
      </c>
      <c r="B511" s="29">
        <f>Cours_Hist_figé!B575/Cours_Hist_figé!B511 - 1</f>
        <v>4.756712525344553E-2</v>
      </c>
      <c r="C511" s="29">
        <f>Cours_Hist_figé!C575/Cours_Hist_figé!C511 - 1</f>
        <v>1.2321751376160872E-3</v>
      </c>
      <c r="D511" s="29">
        <f>Cours_Hist_figé!D575/Cours_Hist_figé!D511 - 1</f>
        <v>-8.8072193551191891E-4</v>
      </c>
      <c r="E511" s="29">
        <f>Cours_Hist_figé!E575/Cours_Hist_figé!E511 - 1</f>
        <v>-8.8072193551202993E-4</v>
      </c>
    </row>
    <row r="512" spans="1:5" x14ac:dyDescent="0.4">
      <c r="A512" s="27">
        <v>42832</v>
      </c>
      <c r="B512" s="29">
        <f>Cours_Hist_figé!B576/Cours_Hist_figé!B512 - 1</f>
        <v>5.4355019273446992E-2</v>
      </c>
      <c r="C512" s="29">
        <f>Cours_Hist_figé!C576/Cours_Hist_figé!C512 - 1</f>
        <v>2.0937201428012919E-3</v>
      </c>
      <c r="D512" s="29">
        <f>Cours_Hist_figé!D576/Cours_Hist_figé!D512 - 1</f>
        <v>-8.6083333006103935E-4</v>
      </c>
      <c r="E512" s="29">
        <f>Cours_Hist_figé!E576/Cours_Hist_figé!E512 - 1</f>
        <v>-8.6083333006115037E-4</v>
      </c>
    </row>
    <row r="513" spans="1:5" x14ac:dyDescent="0.4">
      <c r="A513" s="27">
        <v>42835</v>
      </c>
      <c r="B513" s="29">
        <f>Cours_Hist_figé!B577/Cours_Hist_figé!B513 - 1</f>
        <v>5.344308258098196E-2</v>
      </c>
      <c r="C513" s="29">
        <f>Cours_Hist_figé!C577/Cours_Hist_figé!C513 - 1</f>
        <v>1.1584415013499161E-3</v>
      </c>
      <c r="D513" s="29">
        <f>Cours_Hist_figé!D577/Cours_Hist_figé!D513 - 1</f>
        <v>-8.8052028183516207E-4</v>
      </c>
      <c r="E513" s="29">
        <f>Cours_Hist_figé!E577/Cours_Hist_figé!E513 - 1</f>
        <v>-8.8052028183516207E-4</v>
      </c>
    </row>
    <row r="514" spans="1:5" x14ac:dyDescent="0.4">
      <c r="A514" s="27">
        <v>42836</v>
      </c>
      <c r="B514" s="29">
        <f>Cours_Hist_figé!B578/Cours_Hist_figé!B514 - 1</f>
        <v>5.0635293215551602E-2</v>
      </c>
      <c r="C514" s="29">
        <f>Cours_Hist_figé!C578/Cours_Hist_figé!C514 - 1</f>
        <v>-3.2109030888483048E-4</v>
      </c>
      <c r="D514" s="29">
        <f>Cours_Hist_figé!D578/Cours_Hist_figé!D514 - 1</f>
        <v>-8.8071943353185134E-4</v>
      </c>
      <c r="E514" s="29">
        <f>Cours_Hist_figé!E578/Cours_Hist_figé!E514 - 1</f>
        <v>-8.8071943353185134E-4</v>
      </c>
    </row>
    <row r="515" spans="1:5" x14ac:dyDescent="0.4">
      <c r="A515" s="27">
        <v>42837</v>
      </c>
      <c r="B515" s="29">
        <f>Cours_Hist_figé!B579/Cours_Hist_figé!B515 - 1</f>
        <v>5.9112412545424986E-2</v>
      </c>
      <c r="C515" s="29">
        <f>Cours_Hist_figé!C579/Cours_Hist_figé!C515 - 1</f>
        <v>-6.9529781991017892E-4</v>
      </c>
      <c r="D515" s="29">
        <f>Cours_Hist_figé!D579/Cours_Hist_figé!D515 - 1</f>
        <v>-8.8092621364987966E-4</v>
      </c>
      <c r="E515" s="29">
        <f>Cours_Hist_figé!E579/Cours_Hist_figé!E515 - 1</f>
        <v>-8.8092621364976864E-4</v>
      </c>
    </row>
    <row r="516" spans="1:5" x14ac:dyDescent="0.4">
      <c r="A516" s="27">
        <v>42838</v>
      </c>
      <c r="B516" s="29">
        <f>Cours_Hist_figé!B580/Cours_Hist_figé!B516 - 1</f>
        <v>4.5415335214175068E-2</v>
      </c>
      <c r="C516" s="29">
        <f>Cours_Hist_figé!C580/Cours_Hist_figé!C516 - 1</f>
        <v>1.929747422932282E-3</v>
      </c>
      <c r="D516" s="29">
        <f>Cours_Hist_figé!D580/Cours_Hist_figé!D516 - 1</f>
        <v>-8.8111784256927894E-4</v>
      </c>
      <c r="E516" s="29">
        <f>Cours_Hist_figé!E580/Cours_Hist_figé!E516 - 1</f>
        <v>-8.8111784256950099E-4</v>
      </c>
    </row>
    <row r="517" spans="1:5" x14ac:dyDescent="0.4">
      <c r="A517" s="27">
        <v>42843</v>
      </c>
      <c r="B517" s="29">
        <f>Cours_Hist_figé!B581/Cours_Hist_figé!B517 - 1</f>
        <v>4.1998846971169845E-2</v>
      </c>
      <c r="C517" s="29">
        <f>Cours_Hist_figé!C581/Cours_Hist_figé!C517 - 1</f>
        <v>2.4342149443132843E-3</v>
      </c>
      <c r="D517" s="29">
        <f>Cours_Hist_figé!D581/Cours_Hist_figé!D517 - 1</f>
        <v>-9.0150202809746727E-4</v>
      </c>
      <c r="E517" s="29">
        <f>Cours_Hist_figé!E581/Cours_Hist_figé!E517 - 1</f>
        <v>-9.0150202809757829E-4</v>
      </c>
    </row>
    <row r="518" spans="1:5" x14ac:dyDescent="0.4">
      <c r="A518" s="27">
        <v>42844</v>
      </c>
      <c r="B518" s="29">
        <f>Cours_Hist_figé!B582/Cours_Hist_figé!B518 - 1</f>
        <v>4.6034823517938195E-2</v>
      </c>
      <c r="C518" s="29">
        <f>Cours_Hist_figé!C582/Cours_Hist_figé!C518 - 1</f>
        <v>3.3168318240250905E-4</v>
      </c>
      <c r="D518" s="29">
        <f>Cours_Hist_figé!D582/Cours_Hist_figé!D518 - 1</f>
        <v>-9.0170148432633379E-4</v>
      </c>
      <c r="E518" s="29">
        <f>Cours_Hist_figé!E582/Cours_Hist_figé!E518 - 1</f>
        <v>-9.0170148432633379E-4</v>
      </c>
    </row>
    <row r="519" spans="1:5" x14ac:dyDescent="0.4">
      <c r="A519" s="27">
        <v>42845</v>
      </c>
      <c r="B519" s="29">
        <f>Cours_Hist_figé!B583/Cours_Hist_figé!B519 - 1</f>
        <v>4.6534917033224765E-2</v>
      </c>
      <c r="C519" s="29">
        <f>Cours_Hist_figé!C583/Cours_Hist_figé!C519 - 1</f>
        <v>1.449854383304805E-3</v>
      </c>
      <c r="D519" s="29">
        <f>Cours_Hist_figé!D583/Cours_Hist_figé!D519 - 1</f>
        <v>-9.0190094446362945E-4</v>
      </c>
      <c r="E519" s="29">
        <f>Cours_Hist_figé!E583/Cours_Hist_figé!E519 - 1</f>
        <v>-9.0190094446362945E-4</v>
      </c>
    </row>
    <row r="520" spans="1:5" x14ac:dyDescent="0.4">
      <c r="A520" s="27">
        <v>42846</v>
      </c>
      <c r="B520" s="29">
        <f>Cours_Hist_figé!B584/Cours_Hist_figé!B520 - 1</f>
        <v>4.7536853085897279E-2</v>
      </c>
      <c r="C520" s="29">
        <f>Cours_Hist_figé!C584/Cours_Hist_figé!C520 - 1</f>
        <v>2.7469623640445917E-3</v>
      </c>
      <c r="D520" s="29">
        <f>Cours_Hist_figé!D584/Cours_Hist_figé!D520 - 1</f>
        <v>-9.020012824622059E-4</v>
      </c>
      <c r="E520" s="29">
        <f>Cours_Hist_figé!E584/Cours_Hist_figé!E520 - 1</f>
        <v>-9.020012824622059E-4</v>
      </c>
    </row>
    <row r="521" spans="1:5" x14ac:dyDescent="0.4">
      <c r="A521" s="27">
        <v>42849</v>
      </c>
      <c r="B521" s="29">
        <f>Cours_Hist_figé!B585/Cours_Hist_figé!B521 - 1</f>
        <v>7.054019424494018E-2</v>
      </c>
      <c r="C521" s="29">
        <f>Cours_Hist_figé!C585/Cours_Hist_figé!C521 - 1</f>
        <v>6.3371299076837584E-3</v>
      </c>
      <c r="D521" s="29">
        <f>Cours_Hist_figé!D585/Cours_Hist_figé!D521 - 1</f>
        <v>-9.2207944493016836E-4</v>
      </c>
      <c r="E521" s="29">
        <f>Cours_Hist_figé!E585/Cours_Hist_figé!E521 - 1</f>
        <v>-9.220794449303904E-4</v>
      </c>
    </row>
    <row r="522" spans="1:5" x14ac:dyDescent="0.4">
      <c r="A522" s="27">
        <v>42850</v>
      </c>
      <c r="B522" s="29">
        <f>Cours_Hist_figé!B586/Cours_Hist_figé!B522 - 1</f>
        <v>7.778916559587179E-2</v>
      </c>
      <c r="C522" s="29">
        <f>Cours_Hist_figé!C586/Cours_Hist_figé!C522 - 1</f>
        <v>1.2698275344815713E-3</v>
      </c>
      <c r="D522" s="29">
        <f>Cours_Hist_figé!D586/Cours_Hist_figé!D522 - 1</f>
        <v>-9.0279891225208964E-4</v>
      </c>
      <c r="E522" s="29">
        <f>Cours_Hist_figé!E586/Cours_Hist_figé!E522 - 1</f>
        <v>-9.0279891225220066E-4</v>
      </c>
    </row>
    <row r="523" spans="1:5" x14ac:dyDescent="0.4">
      <c r="A523" s="27">
        <v>42851</v>
      </c>
      <c r="B523" s="29">
        <f>Cours_Hist_figé!B587/Cours_Hist_figé!B523 - 1</f>
        <v>7.9712311423646653E-2</v>
      </c>
      <c r="C523" s="29">
        <f>Cours_Hist_figé!C587/Cours_Hist_figé!C523 - 1</f>
        <v>2.2206707847391982E-3</v>
      </c>
      <c r="D523" s="29">
        <f>Cours_Hist_figé!D587/Cours_Hist_figé!D523 - 1</f>
        <v>-9.031051511392274E-4</v>
      </c>
      <c r="E523" s="29">
        <f>Cours_Hist_figé!E587/Cours_Hist_figé!E523 - 1</f>
        <v>-9.0310515113944945E-4</v>
      </c>
    </row>
    <row r="524" spans="1:5" x14ac:dyDescent="0.4">
      <c r="A524" s="27">
        <v>42852</v>
      </c>
      <c r="B524" s="29">
        <f>Cours_Hist_figé!B588/Cours_Hist_figé!B524 - 1</f>
        <v>6.3625690604268259E-2</v>
      </c>
      <c r="C524" s="29">
        <f>Cours_Hist_figé!C588/Cours_Hist_figé!C524 - 1</f>
        <v>8.8668799212598959E-3</v>
      </c>
      <c r="D524" s="29">
        <f>Cours_Hist_figé!D588/Cours_Hist_figé!D524 - 1</f>
        <v>-9.0340377050113219E-4</v>
      </c>
      <c r="E524" s="29">
        <f>Cours_Hist_figé!E588/Cours_Hist_figé!E524 - 1</f>
        <v>-9.0340377050102116E-4</v>
      </c>
    </row>
    <row r="525" spans="1:5" x14ac:dyDescent="0.4">
      <c r="A525" s="27">
        <v>42853</v>
      </c>
      <c r="B525" s="29">
        <f>Cours_Hist_figé!B589/Cours_Hist_figé!B525 - 1</f>
        <v>5.9392240984296851E-2</v>
      </c>
      <c r="C525" s="29">
        <f>Cours_Hist_figé!C589/Cours_Hist_figé!C525 - 1</f>
        <v>1.11875105907282E-2</v>
      </c>
      <c r="D525" s="29">
        <f>Cours_Hist_figé!D589/Cours_Hist_figé!D525 - 1</f>
        <v>-9.0370239571546662E-4</v>
      </c>
      <c r="E525" s="29">
        <f>Cours_Hist_figé!E589/Cours_Hist_figé!E525 - 1</f>
        <v>-9.0370239571546662E-4</v>
      </c>
    </row>
    <row r="526" spans="1:5" x14ac:dyDescent="0.4">
      <c r="A526" s="27">
        <v>42856</v>
      </c>
      <c r="B526" s="29">
        <f>Cours_Hist_figé!B590/Cours_Hist_figé!B526 - 1</f>
        <v>6.1647511157159052E-2</v>
      </c>
      <c r="C526" s="29">
        <f>Cours_Hist_figé!C590/Cours_Hist_figé!C526 - 1</f>
        <v>1.0415964625335894E-2</v>
      </c>
      <c r="D526" s="29">
        <f>Cours_Hist_figé!D590/Cours_Hist_figé!D526 - 1</f>
        <v>-9.3287184367918385E-4</v>
      </c>
      <c r="E526" s="29">
        <f>Cours_Hist_figé!E590/Cours_Hist_figé!E526 - 1</f>
        <v>-9.3287184367907283E-4</v>
      </c>
    </row>
    <row r="527" spans="1:5" x14ac:dyDescent="0.4">
      <c r="A527" s="27">
        <v>42857</v>
      </c>
      <c r="B527" s="29">
        <f>Cours_Hist_figé!B591/Cours_Hist_figé!B527 - 1</f>
        <v>8.1088010820602907E-2</v>
      </c>
      <c r="C527" s="29">
        <f>Cours_Hist_figé!C591/Cours_Hist_figé!C527 - 1</f>
        <v>1.0971989900356638E-2</v>
      </c>
      <c r="D527" s="29">
        <f>Cours_Hist_figé!D591/Cours_Hist_figé!D527 - 1</f>
        <v>-9.0369951646385172E-4</v>
      </c>
      <c r="E527" s="29">
        <f>Cours_Hist_figé!E591/Cours_Hist_figé!E527 - 1</f>
        <v>-9.0369951646374069E-4</v>
      </c>
    </row>
    <row r="528" spans="1:5" x14ac:dyDescent="0.4">
      <c r="A528" s="27">
        <v>42858</v>
      </c>
      <c r="B528" s="29">
        <f>Cours_Hist_figé!B592/Cours_Hist_figé!B528 - 1</f>
        <v>8.8650065718406168E-2</v>
      </c>
      <c r="C528" s="29">
        <f>Cours_Hist_figé!C592/Cours_Hist_figé!C528 - 1</f>
        <v>1.070854649827413E-2</v>
      </c>
      <c r="D528" s="29">
        <f>Cours_Hist_figé!D592/Cours_Hist_figé!D528 - 1</f>
        <v>-9.038989318841395E-4</v>
      </c>
      <c r="E528" s="29">
        <f>Cours_Hist_figé!E592/Cours_Hist_figé!E528 - 1</f>
        <v>-9.0389893188391746E-4</v>
      </c>
    </row>
    <row r="529" spans="1:5" x14ac:dyDescent="0.4">
      <c r="A529" s="27">
        <v>42859</v>
      </c>
      <c r="B529" s="29">
        <f>Cours_Hist_figé!B593/Cours_Hist_figé!B529 - 1</f>
        <v>8.7894043147284107E-2</v>
      </c>
      <c r="C529" s="29">
        <f>Cours_Hist_figé!C593/Cours_Hist_figé!C529 - 1</f>
        <v>1.2055101738994711E-2</v>
      </c>
      <c r="D529" s="29">
        <f>Cours_Hist_figé!D593/Cours_Hist_figé!D529 - 1</f>
        <v>-9.0419740014047179E-4</v>
      </c>
      <c r="E529" s="29">
        <f>Cours_Hist_figé!E593/Cours_Hist_figé!E529 - 1</f>
        <v>-9.0419740014047179E-4</v>
      </c>
    </row>
    <row r="530" spans="1:5" x14ac:dyDescent="0.4">
      <c r="A530" s="27">
        <v>42860</v>
      </c>
      <c r="B530" s="29">
        <f>Cours_Hist_figé!B594/Cours_Hist_figé!B530 - 1</f>
        <v>9.9010394545089309E-2</v>
      </c>
      <c r="C530" s="29">
        <f>Cours_Hist_figé!C594/Cours_Hist_figé!C530 - 1</f>
        <v>8.4471000972328181E-3</v>
      </c>
      <c r="D530" s="29">
        <f>Cours_Hist_figé!D594/Cours_Hist_figé!D530 - 1</f>
        <v>-9.045034933498064E-4</v>
      </c>
      <c r="E530" s="29">
        <f>Cours_Hist_figé!E594/Cours_Hist_figé!E530 - 1</f>
        <v>-9.045034933498064E-4</v>
      </c>
    </row>
    <row r="531" spans="1:5" x14ac:dyDescent="0.4">
      <c r="A531" s="27">
        <v>42863</v>
      </c>
      <c r="B531" s="29">
        <f>Cours_Hist_figé!B595/Cours_Hist_figé!B531 - 1</f>
        <v>9.2028368708240604E-2</v>
      </c>
      <c r="C531" s="29">
        <f>Cours_Hist_figé!C595/Cours_Hist_figé!C531 - 1</f>
        <v>8.801745390466964E-3</v>
      </c>
      <c r="D531" s="29">
        <f>Cours_Hist_figé!D595/Cours_Hist_figé!D531 - 1</f>
        <v>-9.2448526742272552E-4</v>
      </c>
      <c r="E531" s="29">
        <f>Cours_Hist_figé!E595/Cours_Hist_figé!E531 - 1</f>
        <v>-9.2448526742250348E-4</v>
      </c>
    </row>
    <row r="532" spans="1:5" x14ac:dyDescent="0.4">
      <c r="A532" s="27">
        <v>42864</v>
      </c>
      <c r="B532" s="29">
        <f>Cours_Hist_figé!B596/Cours_Hist_figé!B532 - 1</f>
        <v>0.10454500094700259</v>
      </c>
      <c r="C532" s="29">
        <f>Cours_Hist_figé!C596/Cours_Hist_figé!C532 - 1</f>
        <v>9.0768022234009038E-3</v>
      </c>
      <c r="D532" s="29">
        <f>Cours_Hist_figé!D596/Cours_Hist_figé!D532 - 1</f>
        <v>-9.0540028612318135E-4</v>
      </c>
      <c r="E532" s="29">
        <f>Cours_Hist_figé!E596/Cours_Hist_figé!E532 - 1</f>
        <v>-9.0540028612307033E-4</v>
      </c>
    </row>
    <row r="533" spans="1:5" x14ac:dyDescent="0.4">
      <c r="A533" s="27">
        <v>42865</v>
      </c>
      <c r="B533" s="29">
        <f>Cours_Hist_figé!B597/Cours_Hist_figé!B533 - 1</f>
        <v>0.10368739524301063</v>
      </c>
      <c r="C533" s="29">
        <f>Cours_Hist_figé!C597/Cours_Hist_figé!C533 - 1</f>
        <v>9.7561597400002142E-3</v>
      </c>
      <c r="D533" s="29">
        <f>Cours_Hist_figé!D597/Cours_Hist_figé!D533 - 1</f>
        <v>-9.0559973152315454E-4</v>
      </c>
      <c r="E533" s="29">
        <f>Cours_Hist_figé!E597/Cours_Hist_figé!E533 - 1</f>
        <v>-9.0559973152315454E-4</v>
      </c>
    </row>
    <row r="534" spans="1:5" x14ac:dyDescent="0.4">
      <c r="A534" s="27">
        <v>42866</v>
      </c>
      <c r="B534" s="29">
        <f>Cours_Hist_figé!B598/Cours_Hist_figé!B534 - 1</f>
        <v>9.6011146049394869E-2</v>
      </c>
      <c r="C534" s="29">
        <f>Cours_Hist_figé!C598/Cours_Hist_figé!C534 - 1</f>
        <v>4.6325015918333712E-3</v>
      </c>
      <c r="D534" s="29">
        <f>Cours_Hist_figé!D598/Cours_Hist_figé!D534 - 1</f>
        <v>-9.057991807929211E-4</v>
      </c>
      <c r="E534" s="29">
        <f>Cours_Hist_figé!E598/Cours_Hist_figé!E534 - 1</f>
        <v>-9.0579918079303212E-4</v>
      </c>
    </row>
    <row r="535" spans="1:5" x14ac:dyDescent="0.4">
      <c r="A535" s="27">
        <v>42867</v>
      </c>
      <c r="B535" s="29">
        <f>Cours_Hist_figé!B599/Cours_Hist_figé!B535 - 1</f>
        <v>9.0713418558904024E-2</v>
      </c>
      <c r="C535" s="29">
        <f>Cours_Hist_figé!C599/Cours_Hist_figé!C535 - 1</f>
        <v>4.9081195278681822E-3</v>
      </c>
      <c r="D535" s="29">
        <f>Cours_Hist_figé!D599/Cours_Hist_figé!D535 - 1</f>
        <v>-9.0609778020422915E-4</v>
      </c>
      <c r="E535" s="29">
        <f>Cours_Hist_figé!E599/Cours_Hist_figé!E535 - 1</f>
        <v>-9.0609778020422915E-4</v>
      </c>
    </row>
    <row r="536" spans="1:5" x14ac:dyDescent="0.4">
      <c r="A536" s="27">
        <v>42870</v>
      </c>
      <c r="B536" s="29">
        <f>Cours_Hist_figé!B600/Cours_Hist_figé!B536 - 1</f>
        <v>9.0357019710358921E-2</v>
      </c>
      <c r="C536" s="29">
        <f>Cours_Hist_figé!C600/Cours_Hist_figé!C536 - 1</f>
        <v>6.217679919728436E-3</v>
      </c>
      <c r="D536" s="29">
        <f>Cours_Hist_figé!D600/Cours_Hist_figé!D536 - 1</f>
        <v>-9.2608101650770713E-4</v>
      </c>
      <c r="E536" s="29">
        <f>Cours_Hist_figé!E600/Cours_Hist_figé!E536 - 1</f>
        <v>-9.2608101650781816E-4</v>
      </c>
    </row>
    <row r="537" spans="1:5" x14ac:dyDescent="0.4">
      <c r="A537" s="27">
        <v>42871</v>
      </c>
      <c r="B537" s="29">
        <f>Cours_Hist_figé!B601/Cours_Hist_figé!B537 - 1</f>
        <v>8.2834920642816723E-2</v>
      </c>
      <c r="C537" s="29">
        <f>Cours_Hist_figé!C601/Cours_Hist_figé!C537 - 1</f>
        <v>6.4927715477753889E-3</v>
      </c>
      <c r="D537" s="29">
        <f>Cours_Hist_figé!D601/Cours_Hist_figé!D537 - 1</f>
        <v>-9.0669759785189097E-4</v>
      </c>
      <c r="E537" s="29">
        <f>Cours_Hist_figé!E601/Cours_Hist_figé!E537 - 1</f>
        <v>-9.0669759785189097E-4</v>
      </c>
    </row>
    <row r="538" spans="1:5" x14ac:dyDescent="0.4">
      <c r="A538" s="27">
        <v>42872</v>
      </c>
      <c r="B538" s="29">
        <f>Cours_Hist_figé!B602/Cours_Hist_figé!B538 - 1</f>
        <v>7.0317439236279533E-2</v>
      </c>
      <c r="C538" s="29">
        <f>Cours_Hist_figé!C602/Cours_Hist_figé!C538 - 1</f>
        <v>9.609413383320442E-3</v>
      </c>
      <c r="D538" s="29">
        <f>Cours_Hist_figé!D602/Cours_Hist_figé!D538 - 1</f>
        <v>-9.0710308860919575E-4</v>
      </c>
      <c r="E538" s="29">
        <f>Cours_Hist_figé!E602/Cours_Hist_figé!E538 - 1</f>
        <v>-9.0710308860908473E-4</v>
      </c>
    </row>
    <row r="539" spans="1:5" x14ac:dyDescent="0.4">
      <c r="A539" s="27">
        <v>42873</v>
      </c>
      <c r="B539" s="29">
        <f>Cours_Hist_figé!B603/Cours_Hist_figé!B539 - 1</f>
        <v>6.1425896892049803E-2</v>
      </c>
      <c r="C539" s="29">
        <f>Cours_Hist_figé!C603/Cours_Hist_figé!C539 - 1</f>
        <v>1.1587627375163612E-2</v>
      </c>
      <c r="D539" s="29">
        <f>Cours_Hist_figé!D603/Cours_Hist_figé!D539 - 1</f>
        <v>-9.0730265604732629E-4</v>
      </c>
      <c r="E539" s="29">
        <f>Cours_Hist_figé!E603/Cours_Hist_figé!E539 - 1</f>
        <v>-9.0730265604743732E-4</v>
      </c>
    </row>
    <row r="540" spans="1:5" x14ac:dyDescent="0.4">
      <c r="A540" s="27">
        <v>42874</v>
      </c>
      <c r="B540" s="29">
        <f>Cours_Hist_figé!B604/Cours_Hist_figé!B540 - 1</f>
        <v>7.0560514208591441E-2</v>
      </c>
      <c r="C540" s="29">
        <f>Cours_Hist_figé!C604/Cours_Hist_figé!C540 - 1</f>
        <v>8.278723439112623E-3</v>
      </c>
      <c r="D540" s="29">
        <f>Cours_Hist_figé!D604/Cours_Hist_figé!D540 - 1</f>
        <v>-9.0760138046086514E-4</v>
      </c>
      <c r="E540" s="29">
        <f>Cours_Hist_figé!E604/Cours_Hist_figé!E540 - 1</f>
        <v>-9.0760138046097616E-4</v>
      </c>
    </row>
    <row r="541" spans="1:5" x14ac:dyDescent="0.4">
      <c r="A541" s="27">
        <v>42877</v>
      </c>
      <c r="B541" s="29">
        <f>Cours_Hist_figé!B605/Cours_Hist_figé!B541 - 1</f>
        <v>6.9631544527334999E-2</v>
      </c>
      <c r="C541" s="29">
        <f>Cours_Hist_figé!C605/Cours_Hist_figé!C541 - 1</f>
        <v>6.5117539451002848E-3</v>
      </c>
      <c r="D541" s="29">
        <f>Cours_Hist_figé!D605/Cours_Hist_figé!D541 - 1</f>
        <v>-9.277766811935928E-4</v>
      </c>
      <c r="E541" s="29">
        <f>Cours_Hist_figé!E605/Cours_Hist_figé!E541 - 1</f>
        <v>-9.2777668119381485E-4</v>
      </c>
    </row>
    <row r="542" spans="1:5" x14ac:dyDescent="0.4">
      <c r="A542" s="27">
        <v>42878</v>
      </c>
      <c r="B542" s="29">
        <f>Cours_Hist_figé!B606/Cours_Hist_figé!B542 - 1</f>
        <v>7.0081599246013093E-2</v>
      </c>
      <c r="C542" s="29">
        <f>Cours_Hist_figé!C606/Cours_Hist_figé!C542 - 1</f>
        <v>6.5846073751858469E-3</v>
      </c>
      <c r="D542" s="29">
        <f>Cours_Hist_figé!D606/Cours_Hist_figé!D542 - 1</f>
        <v>-9.0819394761709749E-4</v>
      </c>
      <c r="E542" s="29">
        <f>Cours_Hist_figé!E606/Cours_Hist_figé!E542 - 1</f>
        <v>-9.0819394761709749E-4</v>
      </c>
    </row>
    <row r="543" spans="1:5" x14ac:dyDescent="0.4">
      <c r="A543" s="27">
        <v>42879</v>
      </c>
      <c r="B543" s="29">
        <f>Cours_Hist_figé!B607/Cours_Hist_figé!B543 - 1</f>
        <v>6.4415668916021351E-2</v>
      </c>
      <c r="C543" s="29">
        <f>Cours_Hist_figé!C607/Cours_Hist_figé!C543 - 1</f>
        <v>8.013666731168323E-3</v>
      </c>
      <c r="D543" s="29">
        <f>Cours_Hist_figé!D607/Cours_Hist_figé!D543 - 1</f>
        <v>-9.083935375229224E-4</v>
      </c>
      <c r="E543" s="29">
        <f>Cours_Hist_figé!E607/Cours_Hist_figé!E543 - 1</f>
        <v>-9.0839353752281138E-4</v>
      </c>
    </row>
    <row r="544" spans="1:5" x14ac:dyDescent="0.4">
      <c r="A544" s="27">
        <v>42880</v>
      </c>
      <c r="B544" s="29">
        <f>Cours_Hist_figé!B608/Cours_Hist_figé!B544 - 1</f>
        <v>6.3776762600282755E-2</v>
      </c>
      <c r="C544" s="29">
        <f>Cours_Hist_figé!C608/Cours_Hist_figé!C544 - 1</f>
        <v>8.1059378880359301E-3</v>
      </c>
      <c r="D544" s="29">
        <f>Cours_Hist_figé!D608/Cours_Hist_figé!D544 - 1</f>
        <v>-9.0849406251247711E-4</v>
      </c>
      <c r="E544" s="29">
        <f>Cours_Hist_figé!E608/Cours_Hist_figé!E544 - 1</f>
        <v>-9.0849406251236609E-4</v>
      </c>
    </row>
    <row r="545" spans="1:5" x14ac:dyDescent="0.4">
      <c r="A545" s="27">
        <v>42881</v>
      </c>
      <c r="B545" s="29">
        <f>Cours_Hist_figé!B609/Cours_Hist_figé!B545 - 1</f>
        <v>6.1983259149820391E-2</v>
      </c>
      <c r="C545" s="29">
        <f>Cours_Hist_figé!C609/Cours_Hist_figé!C545 - 1</f>
        <v>7.9708043507562554E-3</v>
      </c>
      <c r="D545" s="29">
        <f>Cours_Hist_figé!D609/Cours_Hist_figé!D545 - 1</f>
        <v>-9.0859467958837037E-4</v>
      </c>
      <c r="E545" s="29">
        <f>Cours_Hist_figé!E609/Cours_Hist_figé!E545 - 1</f>
        <v>-9.0859467958837037E-4</v>
      </c>
    </row>
    <row r="546" spans="1:5" x14ac:dyDescent="0.4">
      <c r="A546" s="27">
        <v>42885</v>
      </c>
      <c r="B546" s="29">
        <f>Cours_Hist_figé!B610/Cours_Hist_figé!B546 - 1</f>
        <v>6.8167465543618189E-2</v>
      </c>
      <c r="C546" s="29">
        <f>Cours_Hist_figé!C610/Cours_Hist_figé!C546 - 1</f>
        <v>5.5323739161559082E-3</v>
      </c>
      <c r="D546" s="29">
        <f>Cours_Hist_figé!D610/Cours_Hist_figé!D546 - 1</f>
        <v>-9.3856552198190446E-4</v>
      </c>
      <c r="E546" s="29">
        <f>Cours_Hist_figé!E610/Cours_Hist_figé!E546 - 1</f>
        <v>-9.3856552198190446E-4</v>
      </c>
    </row>
    <row r="547" spans="1:5" x14ac:dyDescent="0.4">
      <c r="A547" s="27">
        <v>42886</v>
      </c>
      <c r="B547" s="29">
        <f>Cours_Hist_figé!B611/Cours_Hist_figé!B547 - 1</f>
        <v>6.8846055280070262E-2</v>
      </c>
      <c r="C547" s="29">
        <f>Cours_Hist_figé!C611/Cours_Hist_figé!C547 - 1</f>
        <v>4.836794793447563E-3</v>
      </c>
      <c r="D547" s="29">
        <f>Cours_Hist_figé!D611/Cours_Hist_figé!D547 - 1</f>
        <v>-9.1869215528805892E-4</v>
      </c>
      <c r="E547" s="29">
        <f>Cours_Hist_figé!E611/Cours_Hist_figé!E547 - 1</f>
        <v>-9.1869215528805892E-4</v>
      </c>
    </row>
    <row r="548" spans="1:5" x14ac:dyDescent="0.4">
      <c r="A548" s="27">
        <v>42887</v>
      </c>
      <c r="B548" s="29">
        <f>Cours_Hist_figé!B612/Cours_Hist_figé!B548 - 1</f>
        <v>7.1796260099197706E-2</v>
      </c>
      <c r="C548" s="29">
        <f>Cours_Hist_figé!C612/Cours_Hist_figé!C548 - 1</f>
        <v>3.052674597575189E-3</v>
      </c>
      <c r="D548" s="29">
        <f>Cours_Hist_figé!D612/Cours_Hist_figé!D548 - 1</f>
        <v>-9.1848766565172379E-4</v>
      </c>
      <c r="E548" s="29">
        <f>Cours_Hist_figé!E612/Cours_Hist_figé!E548 - 1</f>
        <v>-9.1848766565172379E-4</v>
      </c>
    </row>
    <row r="549" spans="1:5" x14ac:dyDescent="0.4">
      <c r="A549" s="27">
        <v>42888</v>
      </c>
      <c r="B549" s="29">
        <f>Cours_Hist_figé!B613/Cours_Hist_figé!B549 - 1</f>
        <v>5.8257714580698172E-2</v>
      </c>
      <c r="C549" s="29">
        <f>Cours_Hist_figé!C613/Cours_Hist_figé!C549 - 1</f>
        <v>7.1054457948123151E-3</v>
      </c>
      <c r="D549" s="29">
        <f>Cours_Hist_figé!D613/Cours_Hist_figé!D549 - 1</f>
        <v>-9.1878635589726088E-4</v>
      </c>
      <c r="E549" s="29">
        <f>Cours_Hist_figé!E613/Cours_Hist_figé!E549 - 1</f>
        <v>-9.1878635589714985E-4</v>
      </c>
    </row>
    <row r="550" spans="1:5" x14ac:dyDescent="0.4">
      <c r="A550" s="27">
        <v>42891</v>
      </c>
      <c r="B550" s="29">
        <f>Cours_Hist_figé!B614/Cours_Hist_figé!B550 - 1</f>
        <v>5.6733194217379879E-2</v>
      </c>
      <c r="C550" s="29">
        <f>Cours_Hist_figé!C614/Cours_Hist_figé!C550 - 1</f>
        <v>7.2011412081816051E-3</v>
      </c>
      <c r="D550" s="29">
        <f>Cours_Hist_figé!D614/Cours_Hist_figé!D550 - 1</f>
        <v>-9.3667579313594374E-4</v>
      </c>
      <c r="E550" s="29">
        <f>Cours_Hist_figé!E614/Cours_Hist_figé!E550 - 1</f>
        <v>-9.3667579313594374E-4</v>
      </c>
    </row>
    <row r="551" spans="1:5" x14ac:dyDescent="0.4">
      <c r="A551" s="27">
        <v>42892</v>
      </c>
      <c r="B551" s="29">
        <f>Cours_Hist_figé!B615/Cours_Hist_figé!B551 - 1</f>
        <v>5.0753953299432775E-2</v>
      </c>
      <c r="C551" s="29">
        <f>Cours_Hist_figé!C615/Cours_Hist_figé!C551 - 1</f>
        <v>1.0753602765667836E-2</v>
      </c>
      <c r="D551" s="29">
        <f>Cours_Hist_figé!D615/Cours_Hist_figé!D551 - 1</f>
        <v>-9.3737142762118086E-4</v>
      </c>
      <c r="E551" s="29">
        <f>Cours_Hist_figé!E615/Cours_Hist_figé!E551 - 1</f>
        <v>-9.3737142762129189E-4</v>
      </c>
    </row>
    <row r="552" spans="1:5" x14ac:dyDescent="0.4">
      <c r="A552" s="27">
        <v>42893</v>
      </c>
      <c r="B552" s="29">
        <f>Cours_Hist_figé!B616/Cours_Hist_figé!B552 - 1</f>
        <v>5.5552712838083718E-2</v>
      </c>
      <c r="C552" s="29">
        <f>Cours_Hist_figé!C616/Cours_Hist_figé!C552 - 1</f>
        <v>1.0321088253975041E-2</v>
      </c>
      <c r="D552" s="29">
        <f>Cours_Hist_figé!D616/Cours_Hist_figé!D552 - 1</f>
        <v>-9.1818249573205613E-4</v>
      </c>
      <c r="E552" s="29">
        <f>Cours_Hist_figé!E616/Cours_Hist_figé!E552 - 1</f>
        <v>-9.181824957319451E-4</v>
      </c>
    </row>
    <row r="553" spans="1:5" x14ac:dyDescent="0.4">
      <c r="A553" s="27">
        <v>42894</v>
      </c>
      <c r="B553" s="29">
        <f>Cours_Hist_figé!B617/Cours_Hist_figé!B553 - 1</f>
        <v>5.8510583201926147E-2</v>
      </c>
      <c r="C553" s="29">
        <f>Cours_Hist_figé!C617/Cours_Hist_figé!C553 - 1</f>
        <v>1.1743765839425269E-2</v>
      </c>
      <c r="D553" s="29">
        <f>Cours_Hist_figé!D617/Cours_Hist_figé!D553 - 1</f>
        <v>-9.1848900415314461E-4</v>
      </c>
      <c r="E553" s="29">
        <f>Cours_Hist_figé!E617/Cours_Hist_figé!E553 - 1</f>
        <v>-9.1848900415292256E-4</v>
      </c>
    </row>
    <row r="554" spans="1:5" x14ac:dyDescent="0.4">
      <c r="A554" s="27">
        <v>42895</v>
      </c>
      <c r="B554" s="29">
        <f>Cours_Hist_figé!B618/Cours_Hist_figé!B554 - 1</f>
        <v>6.1740012579782011E-2</v>
      </c>
      <c r="C554" s="29">
        <f>Cours_Hist_figé!C618/Cours_Hist_figé!C554 - 1</f>
        <v>1.5920913748413756E-2</v>
      </c>
      <c r="D554" s="29">
        <f>Cours_Hist_figé!D618/Cours_Hist_figé!D554 - 1</f>
        <v>-9.1858955183177216E-4</v>
      </c>
      <c r="E554" s="29">
        <f>Cours_Hist_figé!E618/Cours_Hist_figé!E554 - 1</f>
        <v>-9.1858955183166113E-4</v>
      </c>
    </row>
    <row r="555" spans="1:5" x14ac:dyDescent="0.4">
      <c r="A555" s="27">
        <v>42898</v>
      </c>
      <c r="B555" s="29">
        <f>Cours_Hist_figé!B619/Cours_Hist_figé!B555 - 1</f>
        <v>5.1192997665231665E-2</v>
      </c>
      <c r="C555" s="29">
        <f>Cours_Hist_figé!C619/Cours_Hist_figé!C555 - 1</f>
        <v>1.9905061274333447E-2</v>
      </c>
      <c r="D555" s="29">
        <f>Cours_Hist_figé!D619/Cours_Hist_figé!D555 - 1</f>
        <v>-9.3876892520672328E-4</v>
      </c>
      <c r="E555" s="29">
        <f>Cours_Hist_figé!E619/Cours_Hist_figé!E555 - 1</f>
        <v>-9.3876892520672328E-4</v>
      </c>
    </row>
    <row r="556" spans="1:5" x14ac:dyDescent="0.4">
      <c r="A556" s="27">
        <v>42899</v>
      </c>
      <c r="B556" s="29">
        <f>Cours_Hist_figé!B620/Cours_Hist_figé!B556 - 1</f>
        <v>5.5555774273048586E-2</v>
      </c>
      <c r="C556" s="29">
        <f>Cours_Hist_figé!C620/Cours_Hist_figé!C556 - 1</f>
        <v>2.368385650039162E-2</v>
      </c>
      <c r="D556" s="29">
        <f>Cours_Hist_figé!D620/Cours_Hist_figé!D556 - 1</f>
        <v>-9.3886966649869841E-4</v>
      </c>
      <c r="E556" s="29">
        <f>Cours_Hist_figé!E620/Cours_Hist_figé!E556 - 1</f>
        <v>-9.3886966649847636E-4</v>
      </c>
    </row>
    <row r="557" spans="1:5" x14ac:dyDescent="0.4">
      <c r="A557" s="27">
        <v>42900</v>
      </c>
      <c r="B557" s="29">
        <f>Cours_Hist_figé!B621/Cours_Hist_figé!B557 - 1</f>
        <v>4.8177962383075146E-2</v>
      </c>
      <c r="C557" s="29">
        <f>Cours_Hist_figé!C621/Cours_Hist_figé!C557 - 1</f>
        <v>2.487770789657584E-2</v>
      </c>
      <c r="D557" s="29">
        <f>Cours_Hist_figé!D621/Cours_Hist_figé!D557 - 1</f>
        <v>-9.1948892421511719E-4</v>
      </c>
      <c r="E557" s="29">
        <f>Cours_Hist_figé!E621/Cours_Hist_figé!E557 - 1</f>
        <v>-9.1948892421511719E-4</v>
      </c>
    </row>
    <row r="558" spans="1:5" x14ac:dyDescent="0.4">
      <c r="A558" s="27">
        <v>42901</v>
      </c>
      <c r="B558" s="29">
        <f>Cours_Hist_figé!B622/Cours_Hist_figé!B558 - 1</f>
        <v>4.8360161831798143E-2</v>
      </c>
      <c r="C558" s="29">
        <f>Cours_Hist_figé!C622/Cours_Hist_figé!C558 - 1</f>
        <v>2.0914422727255966E-2</v>
      </c>
      <c r="D558" s="29">
        <f>Cours_Hist_figé!D622/Cours_Hist_figé!D558 - 1</f>
        <v>-9.1958185849361218E-4</v>
      </c>
      <c r="E558" s="29">
        <f>Cours_Hist_figé!E622/Cours_Hist_figé!E558 - 1</f>
        <v>-9.195818584937232E-4</v>
      </c>
    </row>
    <row r="559" spans="1:5" x14ac:dyDescent="0.4">
      <c r="A559" s="27">
        <v>42902</v>
      </c>
      <c r="B559" s="29">
        <f>Cours_Hist_figé!B623/Cours_Hist_figé!B559 - 1</f>
        <v>5.0561305270436785E-2</v>
      </c>
      <c r="C559" s="29">
        <f>Cours_Hist_figé!C623/Cours_Hist_figé!C559 - 1</f>
        <v>1.7962240040470867E-2</v>
      </c>
      <c r="D559" s="29">
        <f>Cours_Hist_figé!D623/Cours_Hist_figé!D559 - 1</f>
        <v>-9.1978922528135332E-4</v>
      </c>
      <c r="E559" s="29">
        <f>Cours_Hist_figé!E623/Cours_Hist_figé!E559 - 1</f>
        <v>-9.1978922528146434E-4</v>
      </c>
    </row>
    <row r="560" spans="1:5" x14ac:dyDescent="0.4">
      <c r="A560" s="27">
        <v>42905</v>
      </c>
      <c r="B560" s="29">
        <f>Cours_Hist_figé!B624/Cours_Hist_figé!B560 - 1</f>
        <v>5.1396175227108598E-2</v>
      </c>
      <c r="C560" s="29">
        <f>Cours_Hist_figé!C624/Cours_Hist_figé!C560 - 1</f>
        <v>2.0962645996397633E-2</v>
      </c>
      <c r="D560" s="29">
        <f>Cours_Hist_figé!D624/Cours_Hist_figé!D560 - 1</f>
        <v>-9.3956564225128325E-4</v>
      </c>
      <c r="E560" s="29">
        <f>Cours_Hist_figé!E624/Cours_Hist_figé!E560 - 1</f>
        <v>-9.3956564225139427E-4</v>
      </c>
    </row>
    <row r="561" spans="1:5" x14ac:dyDescent="0.4">
      <c r="A561" s="27">
        <v>42906</v>
      </c>
      <c r="B561" s="29">
        <f>Cours_Hist_figé!B625/Cours_Hist_figé!B561 - 1</f>
        <v>4.1888772501551763E-2</v>
      </c>
      <c r="C561" s="29">
        <f>Cours_Hist_figé!C625/Cours_Hist_figé!C561 - 1</f>
        <v>2.2467068411603952E-2</v>
      </c>
      <c r="D561" s="29">
        <f>Cours_Hist_figé!D625/Cours_Hist_figé!D561 - 1</f>
        <v>-9.3977320886540205E-4</v>
      </c>
      <c r="E561" s="29">
        <f>Cours_Hist_figé!E625/Cours_Hist_figé!E561 - 1</f>
        <v>-9.3977320886551308E-4</v>
      </c>
    </row>
    <row r="562" spans="1:5" x14ac:dyDescent="0.4">
      <c r="A562" s="27">
        <v>42907</v>
      </c>
      <c r="B562" s="29">
        <f>Cours_Hist_figé!B626/Cours_Hist_figé!B562 - 1</f>
        <v>4.1626953707562864E-2</v>
      </c>
      <c r="C562" s="29">
        <f>Cours_Hist_figé!C626/Cours_Hist_figé!C562 - 1</f>
        <v>2.3151246358630972E-2</v>
      </c>
      <c r="D562" s="29">
        <f>Cours_Hist_figé!D626/Cours_Hist_figé!D562 - 1</f>
        <v>-9.2048281130507892E-4</v>
      </c>
      <c r="E562" s="29">
        <f>Cours_Hist_figé!E626/Cours_Hist_figé!E562 - 1</f>
        <v>-9.2048281130507892E-4</v>
      </c>
    </row>
    <row r="563" spans="1:5" x14ac:dyDescent="0.4">
      <c r="A563" s="27">
        <v>42908</v>
      </c>
      <c r="B563" s="29">
        <f>Cours_Hist_figé!B627/Cours_Hist_figé!B563 - 1</f>
        <v>4.7041188260942723E-2</v>
      </c>
      <c r="C563" s="29">
        <f>Cours_Hist_figé!C627/Cours_Hist_figé!C563 - 1</f>
        <v>2.3247087170713554E-2</v>
      </c>
      <c r="D563" s="29">
        <f>Cours_Hist_figé!D627/Cours_Hist_figé!D563 - 1</f>
        <v>-9.208884781233273E-4</v>
      </c>
      <c r="E563" s="29">
        <f>Cours_Hist_figé!E627/Cours_Hist_figé!E563 - 1</f>
        <v>-9.208884781233273E-4</v>
      </c>
    </row>
    <row r="564" spans="1:5" x14ac:dyDescent="0.4">
      <c r="A564" s="27">
        <v>42909</v>
      </c>
      <c r="B564" s="29">
        <f>Cours_Hist_figé!B628/Cours_Hist_figé!B564 - 1</f>
        <v>4.8869338233635817E-2</v>
      </c>
      <c r="C564" s="29">
        <f>Cours_Hist_figé!C628/Cours_Hist_figé!C564 - 1</f>
        <v>1.9633288749210109E-2</v>
      </c>
      <c r="D564" s="29">
        <f>Cours_Hist_figé!D628/Cours_Hist_figé!D564 - 1</f>
        <v>-9.2138561784527173E-4</v>
      </c>
      <c r="E564" s="29">
        <f>Cours_Hist_figé!E628/Cours_Hist_figé!E564 - 1</f>
        <v>-9.2138561784527173E-4</v>
      </c>
    </row>
    <row r="565" spans="1:5" x14ac:dyDescent="0.4">
      <c r="A565" s="27">
        <v>42912</v>
      </c>
      <c r="B565" s="29">
        <f>Cours_Hist_figé!B629/Cours_Hist_figé!B565 - 1</f>
        <v>4.4531075605952042E-2</v>
      </c>
      <c r="C565" s="29">
        <f>Cours_Hist_figé!C629/Cours_Hist_figé!C565 - 1</f>
        <v>2.0296865931753061E-2</v>
      </c>
      <c r="D565" s="29">
        <f>Cours_Hist_figé!D629/Cours_Hist_figé!D565 - 1</f>
        <v>-9.4166705985432309E-4</v>
      </c>
      <c r="E565" s="29">
        <f>Cours_Hist_figé!E629/Cours_Hist_figé!E565 - 1</f>
        <v>-9.4166705985432309E-4</v>
      </c>
    </row>
    <row r="566" spans="1:5" x14ac:dyDescent="0.4">
      <c r="A566" s="27">
        <v>42913</v>
      </c>
      <c r="B566" s="29">
        <f>Cours_Hist_figé!B630/Cours_Hist_figé!B566 - 1</f>
        <v>3.8666760208207807E-2</v>
      </c>
      <c r="C566" s="29">
        <f>Cours_Hist_figé!C630/Cours_Hist_figé!C566 - 1</f>
        <v>1.3563850610309736E-2</v>
      </c>
      <c r="D566" s="29">
        <f>Cours_Hist_figé!D630/Cours_Hist_figé!D566 - 1</f>
        <v>-9.4185950215797121E-4</v>
      </c>
      <c r="E566" s="29">
        <f>Cours_Hist_figé!E630/Cours_Hist_figé!E566 - 1</f>
        <v>-9.4185950215786018E-4</v>
      </c>
    </row>
    <row r="567" spans="1:5" x14ac:dyDescent="0.4">
      <c r="A567" s="27">
        <v>42914</v>
      </c>
      <c r="B567" s="29">
        <f>Cours_Hist_figé!B631/Cours_Hist_figé!B567 - 1</f>
        <v>4.2232442763771694E-2</v>
      </c>
      <c r="C567" s="29">
        <f>Cours_Hist_figé!C631/Cours_Hist_figé!C567 - 1</f>
        <v>1.2883897831829083E-2</v>
      </c>
      <c r="D567" s="29">
        <f>Cours_Hist_figé!D631/Cours_Hist_figé!D567 - 1</f>
        <v>-9.2228579892283946E-4</v>
      </c>
      <c r="E567" s="29">
        <f>Cours_Hist_figé!E631/Cours_Hist_figé!E567 - 1</f>
        <v>-9.2228579892295048E-4</v>
      </c>
    </row>
    <row r="568" spans="1:5" x14ac:dyDescent="0.4">
      <c r="A568" s="27">
        <v>42915</v>
      </c>
      <c r="B568" s="29">
        <f>Cours_Hist_figé!B632/Cours_Hist_figé!B568 - 1</f>
        <v>2.1990829054449712E-2</v>
      </c>
      <c r="C568" s="29">
        <f>Cours_Hist_figé!C632/Cours_Hist_figé!C568 - 1</f>
        <v>5.7419336630371021E-3</v>
      </c>
      <c r="D568" s="29">
        <f>Cours_Hist_figé!D632/Cours_Hist_figé!D568 - 1</f>
        <v>-9.2247805689638085E-4</v>
      </c>
      <c r="E568" s="29">
        <f>Cours_Hist_figé!E632/Cours_Hist_figé!E568 - 1</f>
        <v>-9.2247805689638085E-4</v>
      </c>
    </row>
    <row r="569" spans="1:5" x14ac:dyDescent="0.4">
      <c r="A569" s="27">
        <v>42916</v>
      </c>
      <c r="B569" s="29">
        <f>Cours_Hist_figé!B633/Cours_Hist_figé!B569 - 1</f>
        <v>1.434016684996231E-2</v>
      </c>
      <c r="C569" s="29">
        <f>Cours_Hist_figé!C633/Cours_Hist_figé!C569 - 1</f>
        <v>3.0735194676649868E-3</v>
      </c>
      <c r="D569" s="29">
        <f>Cours_Hist_figé!D633/Cours_Hist_figé!D569 - 1</f>
        <v>-9.2258637910691554E-4</v>
      </c>
      <c r="E569" s="29">
        <f>Cours_Hist_figé!E633/Cours_Hist_figé!E569 - 1</f>
        <v>-9.2258637910702657E-4</v>
      </c>
    </row>
    <row r="570" spans="1:5" x14ac:dyDescent="0.4">
      <c r="A570" s="27">
        <v>42919</v>
      </c>
      <c r="B570" s="29">
        <f>Cours_Hist_figé!B634/Cours_Hist_figé!B570 - 1</f>
        <v>1.9806128198090134E-2</v>
      </c>
      <c r="C570" s="29">
        <f>Cours_Hist_figé!C634/Cours_Hist_figé!C570 - 1</f>
        <v>2.8425250900514509E-3</v>
      </c>
      <c r="D570" s="29">
        <f>Cours_Hist_figé!D634/Cours_Hist_figé!D570 - 1</f>
        <v>-9.4186203829027537E-4</v>
      </c>
      <c r="E570" s="29">
        <f>Cours_Hist_figé!E634/Cours_Hist_figé!E570 - 1</f>
        <v>-9.4186203829027537E-4</v>
      </c>
    </row>
    <row r="571" spans="1:5" x14ac:dyDescent="0.4">
      <c r="A571" s="27">
        <v>42920</v>
      </c>
      <c r="B571" s="29">
        <f>Cours_Hist_figé!B635/Cours_Hist_figé!B571 - 1</f>
        <v>1.4895276897467946E-2</v>
      </c>
      <c r="C571" s="29">
        <f>Cours_Hist_figé!C635/Cours_Hist_figé!C571 - 1</f>
        <v>4.0866829545560535E-3</v>
      </c>
      <c r="D571" s="29">
        <f>Cours_Hist_figé!D635/Cours_Hist_figé!D571 - 1</f>
        <v>-9.4186372914484284E-4</v>
      </c>
      <c r="E571" s="29">
        <f>Cours_Hist_figé!E635/Cours_Hist_figé!E571 - 1</f>
        <v>-9.4186372914484284E-4</v>
      </c>
    </row>
    <row r="572" spans="1:5" x14ac:dyDescent="0.4">
      <c r="A572" s="27">
        <v>42921</v>
      </c>
      <c r="B572" s="29">
        <f>Cours_Hist_figé!B636/Cours_Hist_figé!B572 - 1</f>
        <v>2.1500073658509589E-2</v>
      </c>
      <c r="C572" s="29">
        <f>Cours_Hist_figé!C636/Cours_Hist_figé!C572 - 1</f>
        <v>2.6041868504065313E-3</v>
      </c>
      <c r="D572" s="29">
        <f>Cours_Hist_figé!D636/Cours_Hist_figé!D572 - 1</f>
        <v>-9.2218938017452068E-4</v>
      </c>
      <c r="E572" s="29">
        <f>Cours_Hist_figé!E636/Cours_Hist_figé!E572 - 1</f>
        <v>-9.2218938017440966E-4</v>
      </c>
    </row>
    <row r="573" spans="1:5" x14ac:dyDescent="0.4">
      <c r="A573" s="27">
        <v>42922</v>
      </c>
      <c r="B573" s="29">
        <f>Cours_Hist_figé!B637/Cours_Hist_figé!B573 - 1</f>
        <v>1.2686020745533932E-2</v>
      </c>
      <c r="C573" s="29">
        <f>Cours_Hist_figé!C637/Cours_Hist_figé!C573 - 1</f>
        <v>-4.7534303073830664E-3</v>
      </c>
      <c r="D573" s="29">
        <f>Cours_Hist_figé!D637/Cours_Hist_figé!D573 - 1</f>
        <v>-9.2228236013458531E-4</v>
      </c>
      <c r="E573" s="29">
        <f>Cours_Hist_figé!E637/Cours_Hist_figé!E573 - 1</f>
        <v>-9.2228236013458531E-4</v>
      </c>
    </row>
    <row r="574" spans="1:5" x14ac:dyDescent="0.4">
      <c r="A574" s="27">
        <v>42923</v>
      </c>
      <c r="B574" s="29">
        <f>Cours_Hist_figé!B638/Cours_Hist_figé!B574 - 1</f>
        <v>1.1863775287159317E-2</v>
      </c>
      <c r="C574" s="29">
        <f>Cours_Hist_figé!C638/Cours_Hist_figé!C574 - 1</f>
        <v>-5.4780921107818736E-3</v>
      </c>
      <c r="D574" s="29">
        <f>Cours_Hist_figé!D638/Cours_Hist_figé!D574 - 1</f>
        <v>-9.2258127378785915E-4</v>
      </c>
      <c r="E574" s="29">
        <f>Cours_Hist_figé!E638/Cours_Hist_figé!E574 - 1</f>
        <v>-9.2258127378808119E-4</v>
      </c>
    </row>
    <row r="575" spans="1:5" x14ac:dyDescent="0.4">
      <c r="A575" s="27">
        <v>42926</v>
      </c>
      <c r="B575" s="29">
        <f>Cours_Hist_figé!B639/Cours_Hist_figé!B575 - 1</f>
        <v>1.3452765972183478E-2</v>
      </c>
      <c r="C575" s="29">
        <f>Cours_Hist_figé!C639/Cours_Hist_figé!C575 - 1</f>
        <v>-3.5364646263976729E-3</v>
      </c>
      <c r="D575" s="29">
        <f>Cours_Hist_figé!D639/Cours_Hist_figé!D575 - 1</f>
        <v>-9.4266702856138362E-4</v>
      </c>
      <c r="E575" s="29">
        <f>Cours_Hist_figé!E639/Cours_Hist_figé!E575 - 1</f>
        <v>-9.4266702856116158E-4</v>
      </c>
    </row>
    <row r="576" spans="1:5" x14ac:dyDescent="0.4">
      <c r="A576" s="27">
        <v>42927</v>
      </c>
      <c r="B576" s="29">
        <f>Cours_Hist_figé!B640/Cours_Hist_figé!B576 - 1</f>
        <v>5.3732613376822336E-3</v>
      </c>
      <c r="C576" s="29">
        <f>Cours_Hist_figé!C640/Cours_Hist_figé!C576 - 1</f>
        <v>-6.5480523080136965E-3</v>
      </c>
      <c r="D576" s="29">
        <f>Cours_Hist_figé!D640/Cours_Hist_figé!D576 - 1</f>
        <v>-9.4286703752510803E-4</v>
      </c>
      <c r="E576" s="29">
        <f>Cours_Hist_figé!E640/Cours_Hist_figé!E576 - 1</f>
        <v>-9.4286703752499701E-4</v>
      </c>
    </row>
    <row r="577" spans="1:5" x14ac:dyDescent="0.4">
      <c r="A577" s="27">
        <v>42928</v>
      </c>
      <c r="B577" s="29">
        <f>Cours_Hist_figé!B641/Cours_Hist_figé!B577 - 1</f>
        <v>2.0740439897226848E-2</v>
      </c>
      <c r="C577" s="29">
        <f>Cours_Hist_figé!C641/Cours_Hist_figé!C577 - 1</f>
        <v>-3.0261079567976967E-3</v>
      </c>
      <c r="D577" s="29">
        <f>Cours_Hist_figé!D641/Cours_Hist_figé!D577 - 1</f>
        <v>-9.2348116632601229E-4</v>
      </c>
      <c r="E577" s="29">
        <f>Cours_Hist_figé!E641/Cours_Hist_figé!E577 - 1</f>
        <v>-9.2348116632612332E-4</v>
      </c>
    </row>
    <row r="578" spans="1:5" x14ac:dyDescent="0.4">
      <c r="A578" s="27">
        <v>42929</v>
      </c>
      <c r="B578" s="29">
        <f>Cours_Hist_figé!B642/Cours_Hist_figé!B578 - 1</f>
        <v>2.400071446131169E-2</v>
      </c>
      <c r="C578" s="29">
        <f>Cours_Hist_figé!C642/Cours_Hist_figé!C578 - 1</f>
        <v>-4.3434297848776726E-3</v>
      </c>
      <c r="D578" s="29">
        <f>Cours_Hist_figé!D642/Cours_Hist_figé!D578 - 1</f>
        <v>-9.2358188110419626E-4</v>
      </c>
      <c r="E578" s="29">
        <f>Cours_Hist_figé!E642/Cours_Hist_figé!E578 - 1</f>
        <v>-9.2358188110408523E-4</v>
      </c>
    </row>
    <row r="579" spans="1:5" x14ac:dyDescent="0.4">
      <c r="A579" s="27">
        <v>42930</v>
      </c>
      <c r="B579" s="29">
        <f>Cours_Hist_figé!B643/Cours_Hist_figé!B579 - 1</f>
        <v>2.413189700221019E-2</v>
      </c>
      <c r="C579" s="29">
        <f>Cours_Hist_figé!C643/Cours_Hist_figé!C579 - 1</f>
        <v>-3.8021963275256532E-3</v>
      </c>
      <c r="D579" s="29">
        <f>Cours_Hist_figé!D643/Cours_Hist_figé!D579 - 1</f>
        <v>-9.2368260492492471E-4</v>
      </c>
      <c r="E579" s="29">
        <f>Cours_Hist_figé!E643/Cours_Hist_figé!E579 - 1</f>
        <v>-9.2368260492481369E-4</v>
      </c>
    </row>
    <row r="580" spans="1:5" x14ac:dyDescent="0.4">
      <c r="A580" s="27">
        <v>42933</v>
      </c>
      <c r="B580" s="29">
        <f>Cours_Hist_figé!B644/Cours_Hist_figé!B580 - 1</f>
        <v>2.7537422873660899E-2</v>
      </c>
      <c r="C580" s="29">
        <f>Cours_Hist_figé!C644/Cours_Hist_figé!C580 - 1</f>
        <v>-2.9426823024599758E-3</v>
      </c>
      <c r="D580" s="29">
        <f>Cours_Hist_figé!D644/Cours_Hist_figé!D580 - 1</f>
        <v>-9.4376230837733832E-4</v>
      </c>
      <c r="E580" s="29">
        <f>Cours_Hist_figé!E644/Cours_Hist_figé!E580 - 1</f>
        <v>-9.437623083772273E-4</v>
      </c>
    </row>
    <row r="581" spans="1:5" x14ac:dyDescent="0.4">
      <c r="A581" s="27">
        <v>42934</v>
      </c>
      <c r="B581" s="29">
        <f>Cours_Hist_figé!B645/Cours_Hist_figé!B581 - 1</f>
        <v>2.7385041656386999E-2</v>
      </c>
      <c r="C581" s="29">
        <f>Cours_Hist_figé!C645/Cours_Hist_figé!C581 - 1</f>
        <v>-2.319901130149904E-3</v>
      </c>
      <c r="D581" s="29">
        <f>Cours_Hist_figé!D645/Cours_Hist_figé!D581 - 1</f>
        <v>-9.0420050623141179E-4</v>
      </c>
      <c r="E581" s="29">
        <f>Cours_Hist_figé!E645/Cours_Hist_figé!E581 - 1</f>
        <v>-9.0420050623152282E-4</v>
      </c>
    </row>
    <row r="582" spans="1:5" x14ac:dyDescent="0.4">
      <c r="A582" s="27">
        <v>42935</v>
      </c>
      <c r="B582" s="29">
        <f>Cours_Hist_figé!B646/Cours_Hist_figé!B582 - 1</f>
        <v>3.3155009063508656E-2</v>
      </c>
      <c r="C582" s="29">
        <f>Cours_Hist_figé!C646/Cours_Hist_figé!C582 - 1</f>
        <v>-2.2551854026520157E-4</v>
      </c>
      <c r="D582" s="29">
        <f>Cours_Hist_figé!D646/Cours_Hist_figé!D582 - 1</f>
        <v>-9.043011278873081E-4</v>
      </c>
      <c r="E582" s="29">
        <f>Cours_Hist_figé!E646/Cours_Hist_figé!E582 - 1</f>
        <v>-9.043011278873081E-4</v>
      </c>
    </row>
    <row r="583" spans="1:5" x14ac:dyDescent="0.4">
      <c r="A583" s="27">
        <v>42936</v>
      </c>
      <c r="B583" s="29">
        <f>Cours_Hist_figé!B647/Cours_Hist_figé!B583 - 1</f>
        <v>2.7146975459676703E-2</v>
      </c>
      <c r="C583" s="29">
        <f>Cours_Hist_figé!C647/Cours_Hist_figé!C583 - 1</f>
        <v>1.1716244831696532E-3</v>
      </c>
      <c r="D583" s="29">
        <f>Cours_Hist_figé!D647/Cours_Hist_figé!D583 - 1</f>
        <v>-9.0440175155526159E-4</v>
      </c>
      <c r="E583" s="29">
        <f>Cours_Hist_figé!E647/Cours_Hist_figé!E583 - 1</f>
        <v>-9.0440175155515057E-4</v>
      </c>
    </row>
    <row r="584" spans="1:5" x14ac:dyDescent="0.4">
      <c r="A584" s="27">
        <v>42937</v>
      </c>
      <c r="B584" s="29">
        <f>Cours_Hist_figé!B648/Cours_Hist_figé!B584 - 1</f>
        <v>1.6214074607217022E-2</v>
      </c>
      <c r="C584" s="29">
        <f>Cours_Hist_figé!C648/Cours_Hist_figé!C584 - 1</f>
        <v>3.8529568096035138E-3</v>
      </c>
      <c r="D584" s="29">
        <f>Cours_Hist_figé!D648/Cours_Hist_figé!D584 - 1</f>
        <v>-9.0460150303450781E-4</v>
      </c>
      <c r="E584" s="29">
        <f>Cours_Hist_figé!E648/Cours_Hist_figé!E584 - 1</f>
        <v>-9.0460150303439679E-4</v>
      </c>
    </row>
    <row r="585" spans="1:5" x14ac:dyDescent="0.4">
      <c r="A585" s="27">
        <v>42940</v>
      </c>
      <c r="B585" s="29">
        <f>Cours_Hist_figé!B649/Cours_Hist_figé!B585 - 1</f>
        <v>-7.5311545683881542E-3</v>
      </c>
      <c r="C585" s="29">
        <f>Cours_Hist_figé!C649/Cours_Hist_figé!C585 - 1</f>
        <v>3.8740880700134372E-3</v>
      </c>
      <c r="D585" s="29">
        <f>Cours_Hist_figé!D649/Cours_Hist_figé!D585 - 1</f>
        <v>-9.049032224305309E-4</v>
      </c>
      <c r="E585" s="29">
        <f>Cours_Hist_figé!E649/Cours_Hist_figé!E585 - 1</f>
        <v>-9.049032224305309E-4</v>
      </c>
    </row>
    <row r="586" spans="1:5" x14ac:dyDescent="0.4">
      <c r="A586" s="27">
        <v>42941</v>
      </c>
      <c r="B586" s="29">
        <f>Cours_Hist_figé!B650/Cours_Hist_figé!B586 - 1</f>
        <v>-5.3592794115768783E-3</v>
      </c>
      <c r="C586" s="29">
        <f>Cours_Hist_figé!C650/Cours_Hist_figé!C586 - 1</f>
        <v>2.5702696642952993E-3</v>
      </c>
      <c r="D586" s="29">
        <f>Cours_Hist_figé!D650/Cours_Hist_figé!D586 - 1</f>
        <v>-9.0500376732538523E-4</v>
      </c>
      <c r="E586" s="29">
        <f>Cours_Hist_figé!E650/Cours_Hist_figé!E586 - 1</f>
        <v>-9.0500376732527421E-4</v>
      </c>
    </row>
    <row r="587" spans="1:5" x14ac:dyDescent="0.4">
      <c r="A587" s="27">
        <v>42942</v>
      </c>
      <c r="B587" s="29">
        <f>Cours_Hist_figé!B651/Cours_Hist_figé!B587 - 1</f>
        <v>-5.0002802002936386E-3</v>
      </c>
      <c r="C587" s="29">
        <f>Cours_Hist_figé!C651/Cours_Hist_figé!C587 - 1</f>
        <v>3.0065074418803572E-3</v>
      </c>
      <c r="D587" s="29">
        <f>Cours_Hist_figé!D651/Cours_Hist_figé!D587 - 1</f>
        <v>-9.0499764790208381E-4</v>
      </c>
      <c r="E587" s="29">
        <f>Cours_Hist_figé!E651/Cours_Hist_figé!E587 - 1</f>
        <v>-9.0499764790197279E-4</v>
      </c>
    </row>
    <row r="588" spans="1:5" x14ac:dyDescent="0.4">
      <c r="A588" s="27">
        <v>42943</v>
      </c>
      <c r="B588" s="29">
        <f>Cours_Hist_figé!B652/Cours_Hist_figé!B588 - 1</f>
        <v>-4.1839760230707457E-3</v>
      </c>
      <c r="C588" s="29">
        <f>Cours_Hist_figé!C652/Cours_Hist_figé!C588 - 1</f>
        <v>1.6337258909577823E-3</v>
      </c>
      <c r="D588" s="29">
        <f>Cours_Hist_figé!D652/Cours_Hist_figé!D588 - 1</f>
        <v>-9.0489993238596078E-4</v>
      </c>
      <c r="E588" s="29">
        <f>Cours_Hist_figé!E652/Cours_Hist_figé!E588 - 1</f>
        <v>-9.0489993238584976E-4</v>
      </c>
    </row>
    <row r="589" spans="1:5" x14ac:dyDescent="0.4">
      <c r="A589" s="27">
        <v>42944</v>
      </c>
      <c r="B589" s="29">
        <f>Cours_Hist_figé!B653/Cours_Hist_figé!B589 - 1</f>
        <v>-1.2463388854328739E-2</v>
      </c>
      <c r="C589" s="29">
        <f>Cours_Hist_figé!C653/Cours_Hist_figé!C589 - 1</f>
        <v>1.229168302100403E-3</v>
      </c>
      <c r="D589" s="29">
        <f>Cours_Hist_figé!D653/Cours_Hist_figé!D589 - 1</f>
        <v>-9.0480221489608326E-4</v>
      </c>
      <c r="E589" s="29">
        <f>Cours_Hist_figé!E653/Cours_Hist_figé!E589 - 1</f>
        <v>-9.0480221489608326E-4</v>
      </c>
    </row>
    <row r="590" spans="1:5" x14ac:dyDescent="0.4">
      <c r="A590" s="27">
        <v>42947</v>
      </c>
      <c r="B590" s="29">
        <f>Cours_Hist_figé!B654/Cours_Hist_figé!B590 - 1</f>
        <v>-1.2366930081173066E-2</v>
      </c>
      <c r="C590" s="29">
        <f>Cours_Hist_figé!C654/Cours_Hist_figé!C590 - 1</f>
        <v>1.8477048682934427E-3</v>
      </c>
      <c r="D590" s="29">
        <f>Cours_Hist_figé!D654/Cours_Hist_figé!D590 - 1</f>
        <v>-8.9570868070087961E-4</v>
      </c>
      <c r="E590" s="29">
        <f>Cours_Hist_figé!E654/Cours_Hist_figé!E590 - 1</f>
        <v>-8.9570868070099063E-4</v>
      </c>
    </row>
    <row r="591" spans="1:5" x14ac:dyDescent="0.4">
      <c r="A591" s="27">
        <v>42948</v>
      </c>
      <c r="B591" s="29">
        <f>Cours_Hist_figé!B655/Cours_Hist_figé!B591 - 1</f>
        <v>-1.3795241125542312E-2</v>
      </c>
      <c r="C591" s="29">
        <f>Cours_Hist_figé!C655/Cours_Hist_figé!C591 - 1</f>
        <v>5.6422774150239885E-3</v>
      </c>
      <c r="D591" s="29">
        <f>Cours_Hist_figé!D655/Cours_Hist_figé!D591 - 1</f>
        <v>-9.0539469958295093E-4</v>
      </c>
      <c r="E591" s="29">
        <f>Cours_Hist_figé!E655/Cours_Hist_figé!E591 - 1</f>
        <v>-9.0539469958295093E-4</v>
      </c>
    </row>
    <row r="592" spans="1:5" x14ac:dyDescent="0.4">
      <c r="A592" s="27">
        <v>42949</v>
      </c>
      <c r="B592" s="29">
        <f>Cours_Hist_figé!B656/Cours_Hist_figé!B592 - 1</f>
        <v>-1.795650485400424E-2</v>
      </c>
      <c r="C592" s="29">
        <f>Cours_Hist_figé!C656/Cours_Hist_figé!C592 - 1</f>
        <v>5.2430686973310436E-3</v>
      </c>
      <c r="D592" s="29">
        <f>Cours_Hist_figé!D656/Cours_Hist_figé!D592 - 1</f>
        <v>-9.0539602996919655E-4</v>
      </c>
      <c r="E592" s="29">
        <f>Cours_Hist_figé!E656/Cours_Hist_figé!E592 - 1</f>
        <v>-9.0539602996919655E-4</v>
      </c>
    </row>
    <row r="593" spans="1:5" x14ac:dyDescent="0.4">
      <c r="A593" s="27">
        <v>42950</v>
      </c>
      <c r="B593" s="29">
        <f>Cours_Hist_figé!B657/Cours_Hist_figé!B593 - 1</f>
        <v>-2.3781299310325466E-2</v>
      </c>
      <c r="C593" s="29">
        <f>Cours_Hist_figé!C657/Cours_Hist_figé!C593 - 1</f>
        <v>7.7823910123335782E-3</v>
      </c>
      <c r="D593" s="29">
        <f>Cours_Hist_figé!D657/Cours_Hist_figé!D593 - 1</f>
        <v>-9.0529813206130516E-4</v>
      </c>
      <c r="E593" s="29">
        <f>Cours_Hist_figé!E657/Cours_Hist_figé!E593 - 1</f>
        <v>-9.0529813206119414E-4</v>
      </c>
    </row>
    <row r="594" spans="1:5" x14ac:dyDescent="0.4">
      <c r="A594" s="27">
        <v>42951</v>
      </c>
      <c r="B594" s="29">
        <f>Cours_Hist_figé!B658/Cours_Hist_figé!B594 - 1</f>
        <v>-2.1230380874051047E-2</v>
      </c>
      <c r="C594" s="29">
        <f>Cours_Hist_figé!C658/Cours_Hist_figé!C594 - 1</f>
        <v>7.174372262785722E-3</v>
      </c>
      <c r="D594" s="29">
        <f>Cours_Hist_figé!D658/Cours_Hist_figé!D594 - 1</f>
        <v>-9.0510100291218976E-4</v>
      </c>
      <c r="E594" s="29">
        <f>Cours_Hist_figé!E658/Cours_Hist_figé!E594 - 1</f>
        <v>-9.0510100291218976E-4</v>
      </c>
    </row>
    <row r="595" spans="1:5" x14ac:dyDescent="0.4">
      <c r="A595" s="27">
        <v>42954</v>
      </c>
      <c r="B595" s="29">
        <f>Cours_Hist_figé!B659/Cours_Hist_figé!B595 - 1</f>
        <v>-2.191725499858288E-2</v>
      </c>
      <c r="C595" s="29">
        <f>Cours_Hist_figé!C659/Cours_Hist_figé!C595 - 1</f>
        <v>8.4780872079548431E-3</v>
      </c>
      <c r="D595" s="29">
        <f>Cours_Hist_figé!D659/Cours_Hist_figé!D595 - 1</f>
        <v>-9.0509735229504784E-4</v>
      </c>
      <c r="E595" s="29">
        <f>Cours_Hist_figé!E659/Cours_Hist_figé!E595 - 1</f>
        <v>-9.0509735229515886E-4</v>
      </c>
    </row>
    <row r="596" spans="1:5" x14ac:dyDescent="0.4">
      <c r="A596" s="27">
        <v>42955</v>
      </c>
      <c r="B596" s="29">
        <f>Cours_Hist_figé!B660/Cours_Hist_figé!B596 - 1</f>
        <v>-2.4615244202619291E-2</v>
      </c>
      <c r="C596" s="29">
        <f>Cours_Hist_figé!C660/Cours_Hist_figé!C596 - 1</f>
        <v>8.7309034425695486E-3</v>
      </c>
      <c r="D596" s="29">
        <f>Cours_Hist_figé!D660/Cours_Hist_figé!D596 - 1</f>
        <v>-9.0499944658395393E-4</v>
      </c>
      <c r="E596" s="29">
        <f>Cours_Hist_figé!E660/Cours_Hist_figé!E596 - 1</f>
        <v>-9.0499944658406495E-4</v>
      </c>
    </row>
    <row r="597" spans="1:5" x14ac:dyDescent="0.4">
      <c r="A597" s="27">
        <v>42956</v>
      </c>
      <c r="B597" s="29">
        <f>Cours_Hist_figé!B661/Cours_Hist_figé!B597 - 1</f>
        <v>-3.3694554538574506E-2</v>
      </c>
      <c r="C597" s="29">
        <f>Cours_Hist_figé!C661/Cours_Hist_figé!C597 - 1</f>
        <v>9.2990716809551177E-3</v>
      </c>
      <c r="D597" s="29">
        <f>Cours_Hist_figé!D661/Cours_Hist_figé!D597 - 1</f>
        <v>-9.0500077314914495E-4</v>
      </c>
      <c r="E597" s="29">
        <f>Cours_Hist_figé!E661/Cours_Hist_figé!E597 - 1</f>
        <v>-9.0500077314903393E-4</v>
      </c>
    </row>
    <row r="598" spans="1:5" x14ac:dyDescent="0.4">
      <c r="A598" s="27">
        <v>42957</v>
      </c>
      <c r="B598" s="29">
        <f>Cours_Hist_figé!B662/Cours_Hist_figé!B598 - 1</f>
        <v>-3.8366684789361782E-2</v>
      </c>
      <c r="C598" s="29">
        <f>Cours_Hist_figé!C662/Cours_Hist_figé!C598 - 1</f>
        <v>1.1115515880007587E-2</v>
      </c>
      <c r="D598" s="29">
        <f>Cours_Hist_figé!D662/Cours_Hist_figé!D598 - 1</f>
        <v>-9.0489523106629388E-4</v>
      </c>
      <c r="E598" s="29">
        <f>Cours_Hist_figé!E662/Cours_Hist_figé!E598 - 1</f>
        <v>-9.0489523106607184E-4</v>
      </c>
    </row>
    <row r="599" spans="1:5" x14ac:dyDescent="0.4">
      <c r="A599" s="27">
        <v>42958</v>
      </c>
      <c r="B599" s="29">
        <f>Cours_Hist_figé!B663/Cours_Hist_figé!B599 - 1</f>
        <v>-5.1592447285527476E-2</v>
      </c>
      <c r="C599" s="29">
        <f>Cours_Hist_figé!C663/Cours_Hist_figé!C599 - 1</f>
        <v>1.0231590912236799E-2</v>
      </c>
      <c r="D599" s="29">
        <f>Cours_Hist_figé!D663/Cours_Hist_figé!D599 - 1</f>
        <v>-9.046981740449267E-4</v>
      </c>
      <c r="E599" s="29">
        <f>Cours_Hist_figé!E663/Cours_Hist_figé!E599 - 1</f>
        <v>-9.046981740449267E-4</v>
      </c>
    </row>
    <row r="600" spans="1:5" x14ac:dyDescent="0.4">
      <c r="A600" s="27">
        <v>42961</v>
      </c>
      <c r="B600" s="29">
        <f>Cours_Hist_figé!B664/Cours_Hist_figé!B600 - 1</f>
        <v>-4.2969592086726127E-2</v>
      </c>
      <c r="C600" s="29">
        <f>Cours_Hist_figé!C664/Cours_Hist_figé!C600 - 1</f>
        <v>1.1148106126545709E-2</v>
      </c>
      <c r="D600" s="29">
        <f>Cours_Hist_figé!D664/Cours_Hist_figé!D600 - 1</f>
        <v>-9.0459536184306355E-4</v>
      </c>
      <c r="E600" s="29">
        <f>Cours_Hist_figé!E664/Cours_Hist_figé!E600 - 1</f>
        <v>-9.0459536184295253E-4</v>
      </c>
    </row>
    <row r="601" spans="1:5" x14ac:dyDescent="0.4">
      <c r="A601" s="27">
        <v>42962</v>
      </c>
      <c r="B601" s="29">
        <f>Cours_Hist_figé!B665/Cours_Hist_figé!B601 - 1</f>
        <v>-4.2556935147246011E-2</v>
      </c>
      <c r="C601" s="29">
        <f>Cours_Hist_figé!C665/Cours_Hist_figé!C601 - 1</f>
        <v>8.9676013316541958E-3</v>
      </c>
      <c r="D601" s="29">
        <f>Cours_Hist_figé!D665/Cours_Hist_figé!D601 - 1</f>
        <v>-9.0460431143690734E-4</v>
      </c>
      <c r="E601" s="29">
        <f>Cours_Hist_figé!E665/Cours_Hist_figé!E601 - 1</f>
        <v>-9.0460431143679632E-4</v>
      </c>
    </row>
    <row r="602" spans="1:5" x14ac:dyDescent="0.4">
      <c r="A602" s="27">
        <v>42963</v>
      </c>
      <c r="B602" s="29">
        <f>Cours_Hist_figé!B666/Cours_Hist_figé!B602 - 1</f>
        <v>-2.5006355342414799E-2</v>
      </c>
      <c r="C602" s="29">
        <f>Cours_Hist_figé!C666/Cours_Hist_figé!C602 - 1</f>
        <v>6.4233569520439904E-3</v>
      </c>
      <c r="D602" s="29">
        <f>Cours_Hist_figé!D666/Cours_Hist_figé!D602 - 1</f>
        <v>-9.0429291911631182E-4</v>
      </c>
      <c r="E602" s="29">
        <f>Cours_Hist_figé!E666/Cours_Hist_figé!E602 - 1</f>
        <v>-9.0429291911642284E-4</v>
      </c>
    </row>
    <row r="603" spans="1:5" x14ac:dyDescent="0.4">
      <c r="A603" s="27">
        <v>42964</v>
      </c>
      <c r="B603" s="29">
        <f>Cours_Hist_figé!B667/Cours_Hist_figé!B603 - 1</f>
        <v>-2.5725682999885202E-2</v>
      </c>
      <c r="C603" s="29">
        <f>Cours_Hist_figé!C667/Cours_Hist_figé!C603 - 1</f>
        <v>5.8448135402140444E-3</v>
      </c>
      <c r="D603" s="29">
        <f>Cours_Hist_figé!D667/Cours_Hist_figé!D603 - 1</f>
        <v>-9.0419508640138258E-4</v>
      </c>
      <c r="E603" s="29">
        <f>Cours_Hist_figé!E667/Cours_Hist_figé!E603 - 1</f>
        <v>-9.0419508640127155E-4</v>
      </c>
    </row>
    <row r="604" spans="1:5" x14ac:dyDescent="0.4">
      <c r="A604" s="27">
        <v>42965</v>
      </c>
      <c r="B604" s="29">
        <f>Cours_Hist_figé!B668/Cours_Hist_figé!B604 - 1</f>
        <v>-3.8076651078647217E-2</v>
      </c>
      <c r="C604" s="29">
        <f>Cours_Hist_figé!C668/Cours_Hist_figé!C604 - 1</f>
        <v>7.3556741421731964E-3</v>
      </c>
      <c r="D604" s="29">
        <f>Cours_Hist_figé!D668/Cours_Hist_figé!D604 - 1</f>
        <v>-9.0399809831820388E-4</v>
      </c>
      <c r="E604" s="29">
        <f>Cours_Hist_figé!E668/Cours_Hist_figé!E604 - 1</f>
        <v>-9.0399809831809286E-4</v>
      </c>
    </row>
    <row r="605" spans="1:5" x14ac:dyDescent="0.4">
      <c r="A605" s="27">
        <v>42968</v>
      </c>
      <c r="B605" s="29">
        <f>Cours_Hist_figé!B669/Cours_Hist_figé!B605 - 1</f>
        <v>-4.1460018555935507E-2</v>
      </c>
      <c r="C605" s="29">
        <f>Cours_Hist_figé!C669/Cours_Hist_figé!C605 - 1</f>
        <v>8.7625438462712868E-3</v>
      </c>
      <c r="D605" s="29">
        <f>Cours_Hist_figé!D669/Cours_Hist_figé!D605 - 1</f>
        <v>-9.0380381877197546E-4</v>
      </c>
      <c r="E605" s="29">
        <f>Cours_Hist_figé!E669/Cours_Hist_figé!E605 - 1</f>
        <v>-9.0380381877197546E-4</v>
      </c>
    </row>
    <row r="606" spans="1:5" x14ac:dyDescent="0.4">
      <c r="A606" s="27">
        <v>42969</v>
      </c>
      <c r="B606" s="29">
        <f>Cours_Hist_figé!B670/Cours_Hist_figé!B606 - 1</f>
        <v>-3.5725891200339643E-2</v>
      </c>
      <c r="C606" s="29">
        <f>Cours_Hist_figé!C670/Cours_Hist_figé!C606 - 1</f>
        <v>7.5706626352687323E-3</v>
      </c>
      <c r="D606" s="29">
        <f>Cours_Hist_figé!D670/Cours_Hist_figé!D606 - 1</f>
        <v>-9.0369834187165043E-4</v>
      </c>
      <c r="E606" s="29">
        <f>Cours_Hist_figé!E670/Cours_Hist_figé!E606 - 1</f>
        <v>-9.0369834187153941E-4</v>
      </c>
    </row>
    <row r="607" spans="1:5" x14ac:dyDescent="0.4">
      <c r="A607" s="27">
        <v>42970</v>
      </c>
      <c r="B607" s="29">
        <f>Cours_Hist_figé!B671/Cours_Hist_figé!B607 - 1</f>
        <v>-4.1290406832971249E-2</v>
      </c>
      <c r="C607" s="29">
        <f>Cours_Hist_figé!C671/Cours_Hist_figé!C607 - 1</f>
        <v>8.5856459875017777E-3</v>
      </c>
      <c r="D607" s="29">
        <f>Cours_Hist_figé!D671/Cours_Hist_figé!D607 - 1</f>
        <v>-9.0360049733073655E-4</v>
      </c>
      <c r="E607" s="29">
        <f>Cours_Hist_figé!E671/Cours_Hist_figé!E607 - 1</f>
        <v>-9.0360049733084757E-4</v>
      </c>
    </row>
    <row r="608" spans="1:5" x14ac:dyDescent="0.4">
      <c r="A608" s="27">
        <v>42971</v>
      </c>
      <c r="B608" s="29">
        <f>Cours_Hist_figé!B672/Cours_Hist_figé!B608 - 1</f>
        <v>-3.8930529452976481E-2</v>
      </c>
      <c r="C608" s="29">
        <f>Cours_Hist_figé!C672/Cours_Hist_figé!C608 - 1</f>
        <v>6.3080545631697404E-3</v>
      </c>
      <c r="D608" s="29">
        <f>Cours_Hist_figé!D672/Cours_Hist_figé!D608 - 1</f>
        <v>-9.035026508326105E-4</v>
      </c>
      <c r="E608" s="29">
        <f>Cours_Hist_figé!E672/Cours_Hist_figé!E608 - 1</f>
        <v>-9.0350265083272152E-4</v>
      </c>
    </row>
    <row r="609" spans="1:5" x14ac:dyDescent="0.4">
      <c r="A609" s="27">
        <v>42972</v>
      </c>
      <c r="B609" s="29">
        <f>Cours_Hist_figé!B673/Cours_Hist_figé!B609 - 1</f>
        <v>-3.7946699096885306E-2</v>
      </c>
      <c r="C609" s="29">
        <f>Cours_Hist_figé!C673/Cours_Hist_figé!C609 - 1</f>
        <v>4.2353084193571533E-3</v>
      </c>
      <c r="D609" s="29">
        <f>Cours_Hist_figé!D673/Cours_Hist_figé!D609 - 1</f>
        <v>-9.0329800732391607E-4</v>
      </c>
      <c r="E609" s="29">
        <f>Cours_Hist_figé!E673/Cours_Hist_figé!E609 - 1</f>
        <v>-9.0329800732391607E-4</v>
      </c>
    </row>
    <row r="610" spans="1:5" x14ac:dyDescent="0.4">
      <c r="A610" s="27">
        <v>42976</v>
      </c>
      <c r="B610" s="29">
        <f>Cours_Hist_figé!B674/Cours_Hist_figé!B610 - 1</f>
        <v>-5.0593726335140032E-2</v>
      </c>
      <c r="C610" s="29">
        <f>Cours_Hist_figé!C674/Cours_Hist_figé!C610 - 1</f>
        <v>6.0061239705133662E-3</v>
      </c>
      <c r="D610" s="29">
        <f>Cours_Hist_figé!D674/Cours_Hist_figé!D610 - 1</f>
        <v>-9.0309736628746418E-4</v>
      </c>
      <c r="E610" s="29">
        <f>Cours_Hist_figé!E674/Cours_Hist_figé!E610 - 1</f>
        <v>-9.0309736628735315E-4</v>
      </c>
    </row>
    <row r="611" spans="1:5" x14ac:dyDescent="0.4">
      <c r="A611" s="27">
        <v>42977</v>
      </c>
      <c r="B611" s="29">
        <f>Cours_Hist_figé!B675/Cours_Hist_figé!B611 - 1</f>
        <v>-4.3226128140629871E-2</v>
      </c>
      <c r="C611" s="29">
        <f>Cours_Hist_figé!C675/Cours_Hist_figé!C611 - 1</f>
        <v>4.9329598487921622E-3</v>
      </c>
      <c r="D611" s="29">
        <f>Cours_Hist_figé!D675/Cours_Hist_figé!D611 - 1</f>
        <v>-9.0309876393257493E-4</v>
      </c>
      <c r="E611" s="29">
        <f>Cours_Hist_figé!E675/Cours_Hist_figé!E611 - 1</f>
        <v>-9.0309876393257493E-4</v>
      </c>
    </row>
    <row r="612" spans="1:5" x14ac:dyDescent="0.4">
      <c r="A612" s="27">
        <v>42978</v>
      </c>
      <c r="B612" s="29">
        <f>Cours_Hist_figé!B676/Cours_Hist_figé!B612 - 1</f>
        <v>-4.0368134098842767E-2</v>
      </c>
      <c r="C612" s="29">
        <f>Cours_Hist_figé!C676/Cours_Hist_figé!C612 - 1</f>
        <v>6.4666338557937131E-3</v>
      </c>
      <c r="D612" s="29">
        <f>Cours_Hist_figé!D676/Cours_Hist_figé!D612 - 1</f>
        <v>-9.0340528890076044E-4</v>
      </c>
      <c r="E612" s="29">
        <f>Cours_Hist_figé!E676/Cours_Hist_figé!E612 - 1</f>
        <v>-9.0340528890076044E-4</v>
      </c>
    </row>
    <row r="613" spans="1:5" x14ac:dyDescent="0.4">
      <c r="A613" s="27">
        <v>42979</v>
      </c>
      <c r="B613" s="29">
        <f>Cours_Hist_figé!B677/Cours_Hist_figé!B613 - 1</f>
        <v>-3.6808128147604258E-2</v>
      </c>
      <c r="C613" s="29">
        <f>Cours_Hist_figé!C677/Cours_Hist_figé!C613 - 1</f>
        <v>4.518399320680544E-3</v>
      </c>
      <c r="D613" s="29">
        <f>Cours_Hist_figé!D677/Cours_Hist_figé!D613 - 1</f>
        <v>-9.0310119385461629E-4</v>
      </c>
      <c r="E613" s="29">
        <f>Cours_Hist_figé!E677/Cours_Hist_figé!E613 - 1</f>
        <v>-9.0310119385472731E-4</v>
      </c>
    </row>
    <row r="614" spans="1:5" x14ac:dyDescent="0.4">
      <c r="A614" s="27">
        <v>42982</v>
      </c>
      <c r="B614" s="29">
        <f>Cours_Hist_figé!B678/Cours_Hist_figé!B614 - 1</f>
        <v>-4.0953320628315248E-2</v>
      </c>
      <c r="C614" s="29">
        <f>Cours_Hist_figé!C678/Cours_Hist_figé!C614 - 1</f>
        <v>6.0523589242196252E-3</v>
      </c>
      <c r="D614" s="29">
        <f>Cours_Hist_figé!D678/Cours_Hist_figé!D614 - 1</f>
        <v>-9.0519530474586496E-4</v>
      </c>
      <c r="E614" s="29">
        <f>Cours_Hist_figé!E678/Cours_Hist_figé!E614 - 1</f>
        <v>-9.0519530474597598E-4</v>
      </c>
    </row>
    <row r="615" spans="1:5" x14ac:dyDescent="0.4">
      <c r="A615" s="27">
        <v>42983</v>
      </c>
      <c r="B615" s="29">
        <f>Cours_Hist_figé!B679/Cours_Hist_figé!B615 - 1</f>
        <v>-3.6089172828948413E-2</v>
      </c>
      <c r="C615" s="29">
        <f>Cours_Hist_figé!C679/Cours_Hist_figé!C615 - 1</f>
        <v>6.0419709431931423E-3</v>
      </c>
      <c r="D615" s="29">
        <f>Cours_Hist_figé!D679/Cours_Hist_figé!D615 - 1</f>
        <v>-9.0470077903803681E-4</v>
      </c>
      <c r="E615" s="29">
        <f>Cours_Hist_figé!E679/Cours_Hist_figé!E615 - 1</f>
        <v>-9.0470077903792578E-4</v>
      </c>
    </row>
    <row r="616" spans="1:5" x14ac:dyDescent="0.4">
      <c r="A616" s="27">
        <v>42984</v>
      </c>
      <c r="B616" s="29">
        <f>Cours_Hist_figé!B680/Cours_Hist_figé!B616 - 1</f>
        <v>-3.466962245629468E-2</v>
      </c>
      <c r="C616" s="29">
        <f>Cours_Hist_figé!C680/Cours_Hist_figé!C616 - 1</f>
        <v>5.8789787748747546E-3</v>
      </c>
      <c r="D616" s="29">
        <f>Cours_Hist_figé!D680/Cours_Hist_figé!D616 - 1</f>
        <v>-9.0470209610582497E-4</v>
      </c>
      <c r="E616" s="29">
        <f>Cours_Hist_figé!E680/Cours_Hist_figé!E616 - 1</f>
        <v>-9.0470209610582497E-4</v>
      </c>
    </row>
    <row r="617" spans="1:5" x14ac:dyDescent="0.4">
      <c r="A617" s="27">
        <v>42985</v>
      </c>
      <c r="B617" s="29">
        <f>Cours_Hist_figé!B681/Cours_Hist_figé!B617 - 1</f>
        <v>-3.2184455433180048E-2</v>
      </c>
      <c r="C617" s="29">
        <f>Cours_Hist_figé!C681/Cours_Hist_figé!C617 - 1</f>
        <v>6.7569014843844588E-3</v>
      </c>
      <c r="D617" s="29">
        <f>Cours_Hist_figé!D681/Cours_Hist_figé!D617 - 1</f>
        <v>-9.0449743862019982E-4</v>
      </c>
      <c r="E617" s="29">
        <f>Cours_Hist_figé!E681/Cours_Hist_figé!E617 - 1</f>
        <v>-9.0449743862053289E-4</v>
      </c>
    </row>
    <row r="618" spans="1:5" x14ac:dyDescent="0.4">
      <c r="A618" s="27">
        <v>42986</v>
      </c>
      <c r="B618" s="29">
        <f>Cours_Hist_figé!B682/Cours_Hist_figé!B618 - 1</f>
        <v>-3.4405945305749808E-2</v>
      </c>
      <c r="C618" s="29">
        <f>Cours_Hist_figé!C682/Cours_Hist_figé!C618 - 1</f>
        <v>4.8611871330832557E-3</v>
      </c>
      <c r="D618" s="29">
        <f>Cours_Hist_figé!D682/Cours_Hist_figé!D618 - 1</f>
        <v>-9.0449876060838541E-4</v>
      </c>
      <c r="E618" s="29">
        <f>Cours_Hist_figé!E682/Cours_Hist_figé!E618 - 1</f>
        <v>-9.0449876060849643E-4</v>
      </c>
    </row>
    <row r="619" spans="1:5" x14ac:dyDescent="0.4">
      <c r="A619" s="27">
        <v>42989</v>
      </c>
      <c r="B619" s="29">
        <f>Cours_Hist_figé!B683/Cours_Hist_figé!B619 - 1</f>
        <v>-1.5251315418926326E-2</v>
      </c>
      <c r="C619" s="29">
        <f>Cours_Hist_figé!C683/Cours_Hist_figé!C619 - 1</f>
        <v>2.3382326025416234E-3</v>
      </c>
      <c r="D619" s="29">
        <f>Cours_Hist_figé!D683/Cours_Hist_figé!D619 - 1</f>
        <v>-9.0349505028319843E-4</v>
      </c>
      <c r="E619" s="29">
        <f>Cours_Hist_figé!E683/Cours_Hist_figé!E619 - 1</f>
        <v>-9.0349505028308741E-4</v>
      </c>
    </row>
    <row r="620" spans="1:5" x14ac:dyDescent="0.4">
      <c r="A620" s="27">
        <v>42990</v>
      </c>
      <c r="B620" s="29">
        <f>Cours_Hist_figé!B684/Cours_Hist_figé!B620 - 1</f>
        <v>-1.504750715637726E-2</v>
      </c>
      <c r="C620" s="29">
        <f>Cours_Hist_figé!C684/Cours_Hist_figé!C620 - 1</f>
        <v>-8.2156019036971895E-4</v>
      </c>
      <c r="D620" s="29">
        <f>Cours_Hist_figé!D684/Cours_Hist_figé!D620 - 1</f>
        <v>-9.0350399147376415E-4</v>
      </c>
      <c r="E620" s="29">
        <f>Cours_Hist_figé!E684/Cours_Hist_figé!E620 - 1</f>
        <v>-9.0350399147398619E-4</v>
      </c>
    </row>
    <row r="621" spans="1:5" x14ac:dyDescent="0.4">
      <c r="A621" s="27">
        <v>42991</v>
      </c>
      <c r="B621" s="29">
        <f>Cours_Hist_figé!B685/Cours_Hist_figé!B621 - 1</f>
        <v>-1.1906822193762712E-2</v>
      </c>
      <c r="C621" s="29">
        <f>Cours_Hist_figé!C685/Cours_Hist_figé!C621 - 1</f>
        <v>-3.2587965583309453E-3</v>
      </c>
      <c r="D621" s="29">
        <f>Cours_Hist_figé!D685/Cours_Hist_figé!D621 - 1</f>
        <v>-9.0349766763675454E-4</v>
      </c>
      <c r="E621" s="29">
        <f>Cours_Hist_figé!E685/Cours_Hist_figé!E621 - 1</f>
        <v>-9.0349766763675454E-4</v>
      </c>
    </row>
    <row r="622" spans="1:5" x14ac:dyDescent="0.4">
      <c r="A622" s="27">
        <v>42992</v>
      </c>
      <c r="B622" s="29">
        <f>Cours_Hist_figé!B686/Cours_Hist_figé!B622 - 1</f>
        <v>-7.8450140525221368E-3</v>
      </c>
      <c r="C622" s="29">
        <f>Cours_Hist_figé!C686/Cours_Hist_figé!C622 - 1</f>
        <v>-1.1416280341891571E-3</v>
      </c>
      <c r="D622" s="29">
        <f>Cours_Hist_figé!D686/Cours_Hist_figé!D622 - 1</f>
        <v>-9.0349897290276093E-4</v>
      </c>
      <c r="E622" s="29">
        <f>Cours_Hist_figé!E686/Cours_Hist_figé!E622 - 1</f>
        <v>-9.0349897290298298E-4</v>
      </c>
    </row>
    <row r="623" spans="1:5" x14ac:dyDescent="0.4">
      <c r="A623" s="27">
        <v>42993</v>
      </c>
      <c r="B623" s="29">
        <f>Cours_Hist_figé!B687/Cours_Hist_figé!B623 - 1</f>
        <v>-1.7283398129760763E-2</v>
      </c>
      <c r="C623" s="29">
        <f>Cours_Hist_figé!C687/Cours_Hist_figé!C623 - 1</f>
        <v>-2.1253895102004705E-3</v>
      </c>
      <c r="D623" s="29">
        <f>Cours_Hist_figé!D687/Cours_Hist_figé!D623 - 1</f>
        <v>-9.0350037478481582E-4</v>
      </c>
      <c r="E623" s="29">
        <f>Cours_Hist_figé!E687/Cours_Hist_figé!E623 - 1</f>
        <v>-9.0350037478459377E-4</v>
      </c>
    </row>
    <row r="624" spans="1:5" x14ac:dyDescent="0.4">
      <c r="A624" s="27">
        <v>42996</v>
      </c>
      <c r="B624" s="29">
        <f>Cours_Hist_figé!B688/Cours_Hist_figé!B624 - 1</f>
        <v>-2.2528098895914339E-2</v>
      </c>
      <c r="C624" s="29">
        <f>Cours_Hist_figé!C688/Cours_Hist_figé!C624 - 1</f>
        <v>-3.0220432576303358E-3</v>
      </c>
      <c r="D624" s="29">
        <f>Cours_Hist_figé!D688/Cours_Hist_figé!D624 - 1</f>
        <v>-9.0390130238093835E-4</v>
      </c>
      <c r="E624" s="29">
        <f>Cours_Hist_figé!E688/Cours_Hist_figé!E624 - 1</f>
        <v>-9.0390130238093835E-4</v>
      </c>
    </row>
    <row r="625" spans="1:5" x14ac:dyDescent="0.4">
      <c r="A625" s="27">
        <v>42997</v>
      </c>
      <c r="B625" s="29">
        <f>Cours_Hist_figé!B689/Cours_Hist_figé!B625 - 1</f>
        <v>-1.5079187026230012E-2</v>
      </c>
      <c r="C625" s="29">
        <f>Cours_Hist_figé!C689/Cours_Hist_figé!C625 - 1</f>
        <v>-3.7197256556413816E-3</v>
      </c>
      <c r="D625" s="29">
        <f>Cours_Hist_figé!D689/Cours_Hist_figé!D625 - 1</f>
        <v>-9.0399434641952325E-4</v>
      </c>
      <c r="E625" s="29">
        <f>Cours_Hist_figé!E689/Cours_Hist_figé!E625 - 1</f>
        <v>-9.0399434641941223E-4</v>
      </c>
    </row>
    <row r="626" spans="1:5" x14ac:dyDescent="0.4">
      <c r="A626" s="27">
        <v>42998</v>
      </c>
      <c r="B626" s="29">
        <f>Cours_Hist_figé!B690/Cours_Hist_figé!B626 - 1</f>
        <v>-1.3401193538698619E-2</v>
      </c>
      <c r="C626" s="29">
        <f>Cours_Hist_figé!C690/Cours_Hist_figé!C626 - 1</f>
        <v>-3.8862109704506098E-3</v>
      </c>
      <c r="D626" s="29">
        <f>Cours_Hist_figé!D690/Cours_Hist_figé!D626 - 1</f>
        <v>-9.0390419716690484E-4</v>
      </c>
      <c r="E626" s="29">
        <f>Cours_Hist_figé!E690/Cours_Hist_figé!E626 - 1</f>
        <v>-9.0390419716690484E-4</v>
      </c>
    </row>
    <row r="627" spans="1:5" x14ac:dyDescent="0.4">
      <c r="A627" s="27">
        <v>42999</v>
      </c>
      <c r="B627" s="29">
        <f>Cours_Hist_figé!B691/Cours_Hist_figé!B627 - 1</f>
        <v>-1.0785883265862384E-2</v>
      </c>
      <c r="C627" s="29">
        <f>Cours_Hist_figé!C691/Cours_Hist_figé!C627 - 1</f>
        <v>-5.3163255950858801E-3</v>
      </c>
      <c r="D627" s="29">
        <f>Cours_Hist_figé!D691/Cours_Hist_figé!D627 - 1</f>
        <v>-9.0379877967550204E-4</v>
      </c>
      <c r="E627" s="29">
        <f>Cours_Hist_figé!E691/Cours_Hist_figé!E627 - 1</f>
        <v>-9.0379877967550204E-4</v>
      </c>
    </row>
    <row r="628" spans="1:5" x14ac:dyDescent="0.4">
      <c r="A628" s="27">
        <v>43000</v>
      </c>
      <c r="B628" s="29">
        <f>Cours_Hist_figé!B692/Cours_Hist_figé!B628 - 1</f>
        <v>-7.5904184406313524E-3</v>
      </c>
      <c r="C628" s="29">
        <f>Cours_Hist_figé!C692/Cours_Hist_figé!C628 - 1</f>
        <v>-4.7239791839104317E-3</v>
      </c>
      <c r="D628" s="29">
        <f>Cours_Hist_figé!D692/Cours_Hist_figé!D628 - 1</f>
        <v>-9.0389954506953085E-4</v>
      </c>
      <c r="E628" s="29">
        <f>Cours_Hist_figé!E692/Cours_Hist_figé!E628 - 1</f>
        <v>-9.0389954506964187E-4</v>
      </c>
    </row>
    <row r="629" spans="1:5" x14ac:dyDescent="0.4">
      <c r="A629" s="27">
        <v>43003</v>
      </c>
      <c r="B629" s="29">
        <f>Cours_Hist_figé!B693/Cours_Hist_figé!B629 - 1</f>
        <v>-9.4338700237872608E-3</v>
      </c>
      <c r="C629" s="29">
        <f>Cours_Hist_figé!C693/Cours_Hist_figé!C629 - 1</f>
        <v>-2.7226242106782594E-3</v>
      </c>
      <c r="D629" s="29">
        <f>Cours_Hist_figé!D693/Cours_Hist_figé!D629 - 1</f>
        <v>-9.0359845700260788E-4</v>
      </c>
      <c r="E629" s="29">
        <f>Cours_Hist_figé!E693/Cours_Hist_figé!E629 - 1</f>
        <v>-9.0359845700282992E-4</v>
      </c>
    </row>
    <row r="630" spans="1:5" x14ac:dyDescent="0.4">
      <c r="A630" s="27">
        <v>43004</v>
      </c>
      <c r="B630" s="29">
        <f>Cours_Hist_figé!B694/Cours_Hist_figé!B630 - 1</f>
        <v>-1.3288428794567819E-3</v>
      </c>
      <c r="C630" s="29">
        <f>Cours_Hist_figé!C694/Cours_Hist_figé!C630 - 1</f>
        <v>1.9198507798305897E-3</v>
      </c>
      <c r="D630" s="29">
        <f>Cours_Hist_figé!D694/Cours_Hist_figé!D630 - 1</f>
        <v>-9.0350066125355344E-4</v>
      </c>
      <c r="E630" s="29">
        <f>Cours_Hist_figé!E694/Cours_Hist_figé!E630 - 1</f>
        <v>-9.0350066125355344E-4</v>
      </c>
    </row>
    <row r="631" spans="1:5" x14ac:dyDescent="0.4">
      <c r="A631" s="27">
        <v>43005</v>
      </c>
      <c r="B631" s="29">
        <f>Cours_Hist_figé!B695/Cours_Hist_figé!B631 - 1</f>
        <v>3.0360819807830897E-3</v>
      </c>
      <c r="C631" s="29">
        <f>Cours_Hist_figé!C695/Cours_Hist_figé!C631 - 1</f>
        <v>-9.5462806517621068E-5</v>
      </c>
      <c r="D631" s="29">
        <f>Cours_Hist_figé!D695/Cours_Hist_figé!D631 - 1</f>
        <v>-9.0339523330673632E-4</v>
      </c>
      <c r="E631" s="29">
        <f>Cours_Hist_figé!E695/Cours_Hist_figé!E631 - 1</f>
        <v>-9.0339523330640326E-4</v>
      </c>
    </row>
    <row r="632" spans="1:5" x14ac:dyDescent="0.4">
      <c r="A632" s="27">
        <v>43006</v>
      </c>
      <c r="B632" s="29">
        <f>Cours_Hist_figé!B696/Cours_Hist_figé!B632 - 1</f>
        <v>1.8246812752130026E-2</v>
      </c>
      <c r="C632" s="29">
        <f>Cours_Hist_figé!C696/Cours_Hist_figé!C632 - 1</f>
        <v>4.8872261483883239E-3</v>
      </c>
      <c r="D632" s="29">
        <f>Cours_Hist_figé!D696/Cours_Hist_figé!D632 - 1</f>
        <v>-9.0330507072999833E-4</v>
      </c>
      <c r="E632" s="29">
        <f>Cours_Hist_figé!E696/Cours_Hist_figé!E632 - 1</f>
        <v>-9.0330507072999833E-4</v>
      </c>
    </row>
    <row r="633" spans="1:5" x14ac:dyDescent="0.4">
      <c r="A633" s="27">
        <v>43007</v>
      </c>
      <c r="B633" s="29">
        <f>Cours_Hist_figé!B697/Cours_Hist_figé!B633 - 1</f>
        <v>2.6952884610334849E-2</v>
      </c>
      <c r="C633" s="29">
        <f>Cours_Hist_figé!C697/Cours_Hist_figé!C633 - 1</f>
        <v>6.7831977955725709E-3</v>
      </c>
      <c r="D633" s="29">
        <f>Cours_Hist_figé!D697/Cours_Hist_figé!D633 - 1</f>
        <v>-9.0329883359330232E-4</v>
      </c>
      <c r="E633" s="29">
        <f>Cours_Hist_figé!E697/Cours_Hist_figé!E633 - 1</f>
        <v>-9.0329883359330232E-4</v>
      </c>
    </row>
    <row r="634" spans="1:5" x14ac:dyDescent="0.4">
      <c r="A634" s="27">
        <v>43010</v>
      </c>
      <c r="B634" s="29">
        <f>Cours_Hist_figé!B698/Cours_Hist_figé!B634 - 1</f>
        <v>2.0970270474463648E-2</v>
      </c>
      <c r="C634" s="29">
        <f>Cours_Hist_figé!C698/Cours_Hist_figé!C634 - 1</f>
        <v>7.2146393901881822E-3</v>
      </c>
      <c r="D634" s="29">
        <f>Cours_Hist_figé!D698/Cours_Hist_figé!D634 - 1</f>
        <v>-9.0320300827029243E-4</v>
      </c>
      <c r="E634" s="29">
        <f>Cours_Hist_figé!E698/Cours_Hist_figé!E634 - 1</f>
        <v>-9.0320300827029243E-4</v>
      </c>
    </row>
    <row r="635" spans="1:5" x14ac:dyDescent="0.4">
      <c r="A635" s="27">
        <v>43011</v>
      </c>
      <c r="B635" s="29">
        <f>Cours_Hist_figé!B699/Cours_Hist_figé!B635 - 1</f>
        <v>2.5541127386414342E-2</v>
      </c>
      <c r="C635" s="29">
        <f>Cours_Hist_figé!C699/Cours_Hist_figé!C635 - 1</f>
        <v>5.9217375096551894E-3</v>
      </c>
      <c r="D635" s="29">
        <f>Cours_Hist_figé!D699/Cours_Hist_figé!D635 - 1</f>
        <v>-9.0320431086710062E-4</v>
      </c>
      <c r="E635" s="29">
        <f>Cours_Hist_figé!E699/Cours_Hist_figé!E635 - 1</f>
        <v>-9.0320431086710062E-4</v>
      </c>
    </row>
    <row r="636" spans="1:5" x14ac:dyDescent="0.4">
      <c r="A636" s="27">
        <v>43012</v>
      </c>
      <c r="B636" s="29">
        <f>Cours_Hist_figé!B700/Cours_Hist_figé!B636 - 1</f>
        <v>2.2989032937124509E-2</v>
      </c>
      <c r="C636" s="29">
        <f>Cours_Hist_figé!C700/Cours_Hist_figé!C636 - 1</f>
        <v>5.5296947987668599E-3</v>
      </c>
      <c r="D636" s="29">
        <f>Cours_Hist_figé!D700/Cours_Hist_figé!D636 - 1</f>
        <v>-9.0319798273763574E-4</v>
      </c>
      <c r="E636" s="29">
        <f>Cours_Hist_figé!E700/Cours_Hist_figé!E636 - 1</f>
        <v>-9.0319798273763574E-4</v>
      </c>
    </row>
    <row r="637" spans="1:5" x14ac:dyDescent="0.4">
      <c r="A637" s="27">
        <v>43013</v>
      </c>
      <c r="B637" s="29">
        <f>Cours_Hist_figé!B701/Cours_Hist_figé!B637 - 1</f>
        <v>3.1948440776149001E-2</v>
      </c>
      <c r="C637" s="29">
        <f>Cours_Hist_figé!C701/Cours_Hist_figé!C637 - 1</f>
        <v>1.1560083552674127E-2</v>
      </c>
      <c r="D637" s="29">
        <f>Cours_Hist_figé!D701/Cours_Hist_figé!D637 - 1</f>
        <v>-9.032985757482237E-4</v>
      </c>
      <c r="E637" s="29">
        <f>Cours_Hist_figé!E701/Cours_Hist_figé!E637 - 1</f>
        <v>-9.032985757482237E-4</v>
      </c>
    </row>
    <row r="638" spans="1:5" x14ac:dyDescent="0.4">
      <c r="A638" s="27">
        <v>43014</v>
      </c>
      <c r="B638" s="29">
        <f>Cours_Hist_figé!B702/Cours_Hist_figé!B638 - 1</f>
        <v>2.8555260170730401E-2</v>
      </c>
      <c r="C638" s="29">
        <f>Cours_Hist_figé!C702/Cours_Hist_figé!C638 - 1</f>
        <v>1.2058162516188409E-2</v>
      </c>
      <c r="D638" s="29">
        <f>Cours_Hist_figé!D702/Cours_Hist_figé!D638 - 1</f>
        <v>-9.0329996901961085E-4</v>
      </c>
      <c r="E638" s="29">
        <f>Cours_Hist_figé!E702/Cours_Hist_figé!E638 - 1</f>
        <v>-9.0329996901961085E-4</v>
      </c>
    </row>
    <row r="639" spans="1:5" x14ac:dyDescent="0.4">
      <c r="A639" s="27">
        <v>43017</v>
      </c>
      <c r="B639" s="29">
        <f>Cours_Hist_figé!B703/Cours_Hist_figé!B639 - 1</f>
        <v>2.6768124285424744E-2</v>
      </c>
      <c r="C639" s="29">
        <f>Cours_Hist_figé!C703/Cours_Hist_figé!C639 - 1</f>
        <v>1.1341161839931946E-2</v>
      </c>
      <c r="D639" s="29">
        <f>Cours_Hist_figé!D703/Cours_Hist_figé!D639 - 1</f>
        <v>-9.0329642817665867E-4</v>
      </c>
      <c r="E639" s="29">
        <f>Cours_Hist_figé!E703/Cours_Hist_figé!E639 - 1</f>
        <v>-9.0329642817676969E-4</v>
      </c>
    </row>
    <row r="640" spans="1:5" x14ac:dyDescent="0.4">
      <c r="A640" s="27">
        <v>43018</v>
      </c>
      <c r="B640" s="29">
        <f>Cours_Hist_figé!B704/Cours_Hist_figé!B640 - 1</f>
        <v>3.3197407067560691E-2</v>
      </c>
      <c r="C640" s="29">
        <f>Cours_Hist_figé!C704/Cours_Hist_figé!C640 - 1</f>
        <v>1.2482475729882925E-2</v>
      </c>
      <c r="D640" s="29">
        <f>Cours_Hist_figé!D704/Cours_Hist_figé!D640 - 1</f>
        <v>-9.0329782148212967E-4</v>
      </c>
      <c r="E640" s="29">
        <f>Cours_Hist_figé!E704/Cours_Hist_figé!E640 - 1</f>
        <v>-9.0329782148212967E-4</v>
      </c>
    </row>
    <row r="641" spans="1:5" x14ac:dyDescent="0.4">
      <c r="A641" s="27">
        <v>43019</v>
      </c>
      <c r="B641" s="29">
        <f>Cours_Hist_figé!B705/Cours_Hist_figé!B641 - 1</f>
        <v>1.7361204194268121E-2</v>
      </c>
      <c r="C641" s="29">
        <f>Cours_Hist_figé!C705/Cours_Hist_figé!C641 - 1</f>
        <v>9.1768373249292434E-3</v>
      </c>
      <c r="D641" s="29">
        <f>Cours_Hist_figé!D705/Cours_Hist_figé!D641 - 1</f>
        <v>-9.0329921481524522E-4</v>
      </c>
      <c r="E641" s="29">
        <f>Cours_Hist_figé!E705/Cours_Hist_figé!E641 - 1</f>
        <v>-9.0329921481524522E-4</v>
      </c>
    </row>
    <row r="642" spans="1:5" x14ac:dyDescent="0.4">
      <c r="A642" s="27">
        <v>43020</v>
      </c>
      <c r="B642" s="29">
        <f>Cours_Hist_figé!B706/Cours_Hist_figé!B642 - 1</f>
        <v>1.4800199186560947E-2</v>
      </c>
      <c r="C642" s="29">
        <f>Cours_Hist_figé!C706/Cours_Hist_figé!C642 - 1</f>
        <v>1.1538269929200817E-2</v>
      </c>
      <c r="D642" s="29">
        <f>Cours_Hist_figé!D706/Cours_Hist_figé!D642 - 1</f>
        <v>-9.0339990555432514E-4</v>
      </c>
      <c r="E642" s="29">
        <f>Cours_Hist_figé!E706/Cours_Hist_figé!E642 - 1</f>
        <v>-9.0339990555432514E-4</v>
      </c>
    </row>
    <row r="643" spans="1:5" x14ac:dyDescent="0.4">
      <c r="A643" s="27">
        <v>43021</v>
      </c>
      <c r="B643" s="29">
        <f>Cours_Hist_figé!B707/Cours_Hist_figé!B643 - 1</f>
        <v>1.5997988957993758E-2</v>
      </c>
      <c r="C643" s="29">
        <f>Cours_Hist_figé!C707/Cours_Hist_figé!C643 - 1</f>
        <v>1.355115103347071E-2</v>
      </c>
      <c r="D643" s="29">
        <f>Cours_Hist_figé!D707/Cours_Hist_figé!D643 - 1</f>
        <v>-9.0339366850078484E-4</v>
      </c>
      <c r="E643" s="29">
        <f>Cours_Hist_figé!E707/Cours_Hist_figé!E643 - 1</f>
        <v>-9.0339366850078484E-4</v>
      </c>
    </row>
    <row r="644" spans="1:5" x14ac:dyDescent="0.4">
      <c r="A644" s="27">
        <v>43024</v>
      </c>
      <c r="B644" s="29">
        <f>Cours_Hist_figé!B708/Cours_Hist_figé!B644 - 1</f>
        <v>1.630188954890377E-2</v>
      </c>
      <c r="C644" s="29">
        <f>Cours_Hist_figé!C708/Cours_Hist_figé!C644 - 1</f>
        <v>1.3667903127340786E-2</v>
      </c>
      <c r="D644" s="29">
        <f>Cours_Hist_figé!D708/Cours_Hist_figé!D644 - 1</f>
        <v>-9.0319933857352375E-4</v>
      </c>
      <c r="E644" s="29">
        <f>Cours_Hist_figé!E708/Cours_Hist_figé!E644 - 1</f>
        <v>-9.0319933857341272E-4</v>
      </c>
    </row>
    <row r="645" spans="1:5" x14ac:dyDescent="0.4">
      <c r="A645" s="27">
        <v>43025</v>
      </c>
      <c r="B645" s="29">
        <f>Cours_Hist_figé!B709/Cours_Hist_figé!B645 - 1</f>
        <v>2.5727701932076075E-2</v>
      </c>
      <c r="C645" s="29">
        <f>Cours_Hist_figé!C709/Cours_Hist_figé!C645 - 1</f>
        <v>1.3112241700517835E-2</v>
      </c>
      <c r="D645" s="29">
        <f>Cours_Hist_figé!D709/Cours_Hist_figé!D645 - 1</f>
        <v>-9.030938865881577E-4</v>
      </c>
      <c r="E645" s="29">
        <f>Cours_Hist_figé!E709/Cours_Hist_figé!E645 - 1</f>
        <v>-9.0309388658804668E-4</v>
      </c>
    </row>
    <row r="646" spans="1:5" x14ac:dyDescent="0.4">
      <c r="A646" s="27">
        <v>43026</v>
      </c>
      <c r="B646" s="29">
        <f>Cours_Hist_figé!B710/Cours_Hist_figé!B646 - 1</f>
        <v>2.0791630143328188E-2</v>
      </c>
      <c r="C646" s="29">
        <f>Cours_Hist_figé!C710/Cours_Hist_figé!C646 - 1</f>
        <v>1.0123798995301581E-2</v>
      </c>
      <c r="D646" s="29">
        <f>Cours_Hist_figé!D710/Cours_Hist_figé!D646 - 1</f>
        <v>-9.0299606429433688E-4</v>
      </c>
      <c r="E646" s="29">
        <f>Cours_Hist_figé!E710/Cours_Hist_figé!E646 - 1</f>
        <v>-9.0299606429433688E-4</v>
      </c>
    </row>
    <row r="647" spans="1:5" x14ac:dyDescent="0.4">
      <c r="A647" s="27">
        <v>43027</v>
      </c>
      <c r="B647" s="29">
        <f>Cours_Hist_figé!B711/Cours_Hist_figé!B647 - 1</f>
        <v>1.8628477627147477E-2</v>
      </c>
      <c r="C647" s="29">
        <f>Cours_Hist_figé!C711/Cours_Hist_figé!C647 - 1</f>
        <v>9.7271981347435421E-3</v>
      </c>
      <c r="D647" s="29">
        <f>Cours_Hist_figé!D711/Cours_Hist_figé!D647 - 1</f>
        <v>-9.0289824002487418E-4</v>
      </c>
      <c r="E647" s="29">
        <f>Cours_Hist_figé!E711/Cours_Hist_figé!E647 - 1</f>
        <v>-9.028982400249852E-4</v>
      </c>
    </row>
    <row r="648" spans="1:5" x14ac:dyDescent="0.4">
      <c r="A648" s="27">
        <v>43028</v>
      </c>
      <c r="B648" s="29">
        <f>Cours_Hist_figé!B712/Cours_Hist_figé!B648 - 1</f>
        <v>3.196412757816347E-2</v>
      </c>
      <c r="C648" s="29">
        <f>Cours_Hist_figé!C712/Cours_Hist_figé!C648 - 1</f>
        <v>5.1643171550765921E-3</v>
      </c>
      <c r="D648" s="29">
        <f>Cours_Hist_figé!D712/Cours_Hist_figé!D648 - 1</f>
        <v>-9.0280041377954756E-4</v>
      </c>
      <c r="E648" s="29">
        <f>Cours_Hist_figé!E712/Cours_Hist_figé!E648 - 1</f>
        <v>-9.0280041377976961E-4</v>
      </c>
    </row>
    <row r="649" spans="1:5" x14ac:dyDescent="0.4">
      <c r="A649" s="27">
        <v>43031</v>
      </c>
      <c r="B649" s="29">
        <f>Cours_Hist_figé!B713/Cours_Hist_figé!B649 - 1</f>
        <v>3.6114437079004746E-2</v>
      </c>
      <c r="C649" s="29">
        <f>Cours_Hist_figé!C713/Cours_Hist_figé!C649 - 1</f>
        <v>6.1501457306569751E-3</v>
      </c>
      <c r="D649" s="29">
        <f>Cours_Hist_figé!D713/Cours_Hist_figé!D649 - 1</f>
        <v>-9.0279703680951062E-4</v>
      </c>
      <c r="E649" s="29">
        <f>Cours_Hist_figé!E713/Cours_Hist_figé!E649 - 1</f>
        <v>-9.0279703680962164E-4</v>
      </c>
    </row>
    <row r="650" spans="1:5" x14ac:dyDescent="0.4">
      <c r="A650" s="27">
        <v>43032</v>
      </c>
      <c r="B650" s="29">
        <f>Cours_Hist_figé!B714/Cours_Hist_figé!B650 - 1</f>
        <v>2.7912056236976124E-2</v>
      </c>
      <c r="C650" s="29">
        <f>Cours_Hist_figé!C714/Cours_Hist_figé!C650 - 1</f>
        <v>7.6442807158787485E-3</v>
      </c>
      <c r="D650" s="29">
        <f>Cours_Hist_figé!D714/Cours_Hist_figé!D650 - 1</f>
        <v>-9.0289773467200352E-4</v>
      </c>
      <c r="E650" s="29">
        <f>Cours_Hist_figé!E714/Cours_Hist_figé!E650 - 1</f>
        <v>-9.0289773467211454E-4</v>
      </c>
    </row>
    <row r="651" spans="1:5" x14ac:dyDescent="0.4">
      <c r="A651" s="27">
        <v>43033</v>
      </c>
      <c r="B651" s="29">
        <f>Cours_Hist_figé!B715/Cours_Hist_figé!B651 - 1</f>
        <v>1.6729433001571703E-2</v>
      </c>
      <c r="C651" s="29">
        <f>Cours_Hist_figé!C715/Cours_Hist_figé!C651 - 1</f>
        <v>6.9946978954540384E-3</v>
      </c>
      <c r="D651" s="29">
        <f>Cours_Hist_figé!D715/Cours_Hist_figé!D651 - 1</f>
        <v>-9.0279990351005424E-4</v>
      </c>
      <c r="E651" s="29">
        <f>Cours_Hist_figé!E715/Cours_Hist_figé!E651 - 1</f>
        <v>-9.0279990351005424E-4</v>
      </c>
    </row>
    <row r="652" spans="1:5" x14ac:dyDescent="0.4">
      <c r="A652" s="27">
        <v>43034</v>
      </c>
      <c r="B652" s="29">
        <f>Cours_Hist_figé!B716/Cours_Hist_figé!B652 - 1</f>
        <v>2.8791505522538285E-2</v>
      </c>
      <c r="C652" s="29">
        <f>Cours_Hist_figé!C716/Cours_Hist_figé!C652 - 1</f>
        <v>7.9937825684648356E-3</v>
      </c>
      <c r="D652" s="29">
        <f>Cours_Hist_figé!D716/Cours_Hist_figé!D652 - 1</f>
        <v>-9.0290060342490541E-4</v>
      </c>
      <c r="E652" s="29">
        <f>Cours_Hist_figé!E716/Cours_Hist_figé!E652 - 1</f>
        <v>-9.0290060342501643E-4</v>
      </c>
    </row>
    <row r="653" spans="1:5" x14ac:dyDescent="0.4">
      <c r="A653" s="27">
        <v>43035</v>
      </c>
      <c r="B653" s="29">
        <f>Cours_Hist_figé!B717/Cours_Hist_figé!B653 - 1</f>
        <v>4.5132137608838052E-2</v>
      </c>
      <c r="C653" s="29">
        <f>Cours_Hist_figé!C717/Cours_Hist_figé!C653 - 1</f>
        <v>1.1172024642559064E-2</v>
      </c>
      <c r="D653" s="29">
        <f>Cours_Hist_figé!D717/Cours_Hist_figé!D653 - 1</f>
        <v>-9.030013053539232E-4</v>
      </c>
      <c r="E653" s="29">
        <f>Cours_Hist_figé!E717/Cours_Hist_figé!E653 - 1</f>
        <v>-9.030013053539232E-4</v>
      </c>
    </row>
    <row r="654" spans="1:5" x14ac:dyDescent="0.4">
      <c r="A654" s="27">
        <v>43038</v>
      </c>
      <c r="B654" s="29">
        <f>Cours_Hist_figé!B718/Cours_Hist_figé!B654 - 1</f>
        <v>4.7524323557586623E-2</v>
      </c>
      <c r="C654" s="29">
        <f>Cours_Hist_figé!C718/Cours_Hist_figé!C654 - 1</f>
        <v>1.3010353315046075E-2</v>
      </c>
      <c r="D654" s="29">
        <f>Cours_Hist_figé!D718/Cours_Hist_figé!D654 - 1</f>
        <v>-9.0309706324698258E-4</v>
      </c>
      <c r="E654" s="29">
        <f>Cours_Hist_figé!E718/Cours_Hist_figé!E654 - 1</f>
        <v>-9.0309706324687156E-4</v>
      </c>
    </row>
    <row r="655" spans="1:5" x14ac:dyDescent="0.4">
      <c r="A655" s="27">
        <v>43039</v>
      </c>
      <c r="B655" s="29">
        <f>Cours_Hist_figé!B719/Cours_Hist_figé!B655 - 1</f>
        <v>4.4402358004696385E-2</v>
      </c>
      <c r="C655" s="29">
        <f>Cours_Hist_figé!C719/Cours_Hist_figé!C655 - 1</f>
        <v>1.0381408128664393E-2</v>
      </c>
      <c r="D655" s="29">
        <f>Cours_Hist_figé!D719/Cours_Hist_figé!D655 - 1</f>
        <v>-9.0310581858921157E-4</v>
      </c>
      <c r="E655" s="29">
        <f>Cours_Hist_figé!E719/Cours_Hist_figé!E655 - 1</f>
        <v>-9.031058185893226E-4</v>
      </c>
    </row>
    <row r="656" spans="1:5" x14ac:dyDescent="0.4">
      <c r="A656" s="27">
        <v>43040</v>
      </c>
      <c r="B656" s="29">
        <f>Cours_Hist_figé!B720/Cours_Hist_figé!B656 - 1</f>
        <v>5.2656293559661504E-2</v>
      </c>
      <c r="C656" s="29">
        <f>Cours_Hist_figé!C720/Cours_Hist_figé!C656 - 1</f>
        <v>1.022236277841837E-2</v>
      </c>
      <c r="D656" s="29">
        <f>Cours_Hist_figé!D720/Cours_Hist_figé!D656 - 1</f>
        <v>-9.0290084629318645E-4</v>
      </c>
      <c r="E656" s="29">
        <f>Cours_Hist_figé!E720/Cours_Hist_figé!E656 - 1</f>
        <v>-9.0290084629318645E-4</v>
      </c>
    </row>
    <row r="657" spans="1:5" x14ac:dyDescent="0.4">
      <c r="A657" s="27">
        <v>43041</v>
      </c>
      <c r="B657" s="29">
        <f>Cours_Hist_figé!B721/Cours_Hist_figé!B657 - 1</f>
        <v>4.6930115046373233E-2</v>
      </c>
      <c r="C657" s="29">
        <f>Cours_Hist_figé!C721/Cours_Hist_figé!C657 - 1</f>
        <v>8.9808665334583093E-3</v>
      </c>
      <c r="D657" s="29">
        <f>Cours_Hist_figé!D721/Cours_Hist_figé!D657 - 1</f>
        <v>-9.028027383808368E-4</v>
      </c>
      <c r="E657" s="29">
        <f>Cours_Hist_figé!E721/Cours_Hist_figé!E657 - 1</f>
        <v>-9.028027383808368E-4</v>
      </c>
    </row>
    <row r="658" spans="1:5" x14ac:dyDescent="0.4">
      <c r="A658" s="27">
        <v>43042</v>
      </c>
      <c r="B658" s="29">
        <f>Cours_Hist_figé!B722/Cours_Hist_figé!B658 - 1</f>
        <v>3.9288073606205565E-2</v>
      </c>
      <c r="C658" s="29">
        <f>Cours_Hist_figé!C722/Cours_Hist_figé!C658 - 1</f>
        <v>1.0153283656427314E-2</v>
      </c>
      <c r="D658" s="29">
        <f>Cours_Hist_figé!D722/Cours_Hist_figé!D658 - 1</f>
        <v>-9.0289553734468342E-4</v>
      </c>
      <c r="E658" s="29">
        <f>Cours_Hist_figé!E722/Cours_Hist_figé!E658 - 1</f>
        <v>-9.0289553734479444E-4</v>
      </c>
    </row>
    <row r="659" spans="1:5" x14ac:dyDescent="0.4">
      <c r="A659" s="27">
        <v>43045</v>
      </c>
      <c r="B659" s="29">
        <f>Cours_Hist_figé!B723/Cours_Hist_figé!B659 - 1</f>
        <v>4.2389085027236373E-2</v>
      </c>
      <c r="C659" s="29">
        <f>Cours_Hist_figé!C723/Cours_Hist_figé!C659 - 1</f>
        <v>1.0635758202722334E-2</v>
      </c>
      <c r="D659" s="29">
        <f>Cours_Hist_figé!D723/Cours_Hist_figé!D659 - 1</f>
        <v>-9.02601463990238E-4</v>
      </c>
      <c r="E659" s="29">
        <f>Cours_Hist_figé!E723/Cours_Hist_figé!E659 - 1</f>
        <v>-9.0260146399012697E-4</v>
      </c>
    </row>
    <row r="660" spans="1:5" x14ac:dyDescent="0.4">
      <c r="A660" s="27">
        <v>43046</v>
      </c>
      <c r="B660" s="29">
        <f>Cours_Hist_figé!B724/Cours_Hist_figé!B660 - 1</f>
        <v>3.5202291842211908E-2</v>
      </c>
      <c r="C660" s="29">
        <f>Cours_Hist_figé!C724/Cours_Hist_figé!C660 - 1</f>
        <v>1.3069919013396936E-2</v>
      </c>
      <c r="D660" s="29">
        <f>Cours_Hist_figé!D724/Cours_Hist_figé!D660 - 1</f>
        <v>-9.02602671436048E-4</v>
      </c>
      <c r="E660" s="29">
        <f>Cours_Hist_figé!E724/Cours_Hist_figé!E660 - 1</f>
        <v>-9.0260267143593698E-4</v>
      </c>
    </row>
    <row r="661" spans="1:5" x14ac:dyDescent="0.4">
      <c r="A661" s="27">
        <v>43047</v>
      </c>
      <c r="B661" s="29">
        <f>Cours_Hist_figé!B725/Cours_Hist_figé!B661 - 1</f>
        <v>4.2811267350820303E-2</v>
      </c>
      <c r="C661" s="29">
        <f>Cours_Hist_figé!C725/Cours_Hist_figé!C661 - 1</f>
        <v>1.0589595189151702E-2</v>
      </c>
      <c r="D661" s="29">
        <f>Cours_Hist_figé!D725/Cours_Hist_figé!D661 - 1</f>
        <v>-9.0259632823996849E-4</v>
      </c>
      <c r="E661" s="29">
        <f>Cours_Hist_figé!E725/Cours_Hist_figé!E661 - 1</f>
        <v>-9.0259632823996849E-4</v>
      </c>
    </row>
    <row r="662" spans="1:5" x14ac:dyDescent="0.4">
      <c r="A662" s="27">
        <v>43048</v>
      </c>
      <c r="B662" s="29">
        <f>Cours_Hist_figé!B726/Cours_Hist_figé!B662 - 1</f>
        <v>4.1090606557550258E-2</v>
      </c>
      <c r="C662" s="29">
        <f>Cours_Hist_figé!C726/Cours_Hist_figé!C662 - 1</f>
        <v>6.5329053357976452E-3</v>
      </c>
      <c r="D662" s="29">
        <f>Cours_Hist_figé!D726/Cours_Hist_figé!D662 - 1</f>
        <v>-9.0270449422980015E-4</v>
      </c>
      <c r="E662" s="29">
        <f>Cours_Hist_figé!E726/Cours_Hist_figé!E662 - 1</f>
        <v>-9.0270449422991117E-4</v>
      </c>
    </row>
    <row r="663" spans="1:5" x14ac:dyDescent="0.4">
      <c r="A663" s="27">
        <v>43049</v>
      </c>
      <c r="B663" s="29">
        <f>Cours_Hist_figé!B727/Cours_Hist_figé!B663 - 1</f>
        <v>4.8046163456260116E-2</v>
      </c>
      <c r="C663" s="29">
        <f>Cours_Hist_figé!C727/Cours_Hist_figé!C663 - 1</f>
        <v>4.0835061492372482E-3</v>
      </c>
      <c r="D663" s="29">
        <f>Cours_Hist_figé!D727/Cours_Hist_figé!D663 - 1</f>
        <v>-9.0279738830545408E-4</v>
      </c>
      <c r="E663" s="29">
        <f>Cours_Hist_figé!E727/Cours_Hist_figé!E663 - 1</f>
        <v>-9.0279738830556511E-4</v>
      </c>
    </row>
    <row r="664" spans="1:5" x14ac:dyDescent="0.4">
      <c r="A664" s="27">
        <v>43052</v>
      </c>
      <c r="B664" s="29">
        <f>Cours_Hist_figé!B728/Cours_Hist_figé!B664 - 1</f>
        <v>3.0704562362728893E-2</v>
      </c>
      <c r="C664" s="29">
        <f>Cours_Hist_figé!C728/Cours_Hist_figé!C664 - 1</f>
        <v>4.6765861848185875E-3</v>
      </c>
      <c r="D664" s="29">
        <f>Cours_Hist_figé!D728/Cours_Hist_figé!D664 - 1</f>
        <v>-9.0280127874320382E-4</v>
      </c>
      <c r="E664" s="29">
        <f>Cours_Hist_figé!E728/Cours_Hist_figé!E664 - 1</f>
        <v>-9.0280127874320382E-4</v>
      </c>
    </row>
    <row r="665" spans="1:5" x14ac:dyDescent="0.4">
      <c r="A665" s="27">
        <v>43053</v>
      </c>
      <c r="B665" s="29">
        <f>Cours_Hist_figé!B729/Cours_Hist_figé!B665 - 1</f>
        <v>2.3229736058223649E-2</v>
      </c>
      <c r="C665" s="29">
        <f>Cours_Hist_figé!C729/Cours_Hist_figé!C665 - 1</f>
        <v>7.2157134486701136E-3</v>
      </c>
      <c r="D665" s="29">
        <f>Cours_Hist_figé!D729/Cours_Hist_figé!D665 - 1</f>
        <v>-9.0280257790664731E-4</v>
      </c>
      <c r="E665" s="29">
        <f>Cours_Hist_figé!E729/Cours_Hist_figé!E665 - 1</f>
        <v>-9.0280257790698037E-4</v>
      </c>
    </row>
    <row r="666" spans="1:5" x14ac:dyDescent="0.4">
      <c r="A666" s="27">
        <v>43054</v>
      </c>
      <c r="B666" s="29">
        <f>Cours_Hist_figé!B730/Cours_Hist_figé!B666 - 1</f>
        <v>1.1490395752757898E-2</v>
      </c>
      <c r="C666" s="29">
        <f>Cours_Hist_figé!C730/Cours_Hist_figé!C666 - 1</f>
        <v>8.0736863748311904E-3</v>
      </c>
      <c r="D666" s="29">
        <f>Cours_Hist_figé!D730/Cours_Hist_figé!D666 - 1</f>
        <v>-9.0280387019703312E-4</v>
      </c>
      <c r="E666" s="29">
        <f>Cours_Hist_figé!E730/Cours_Hist_figé!E666 - 1</f>
        <v>-9.0280387019714414E-4</v>
      </c>
    </row>
    <row r="667" spans="1:5" x14ac:dyDescent="0.4">
      <c r="A667" s="27">
        <v>43055</v>
      </c>
      <c r="B667" s="29">
        <f>Cours_Hist_figé!B731/Cours_Hist_figé!B667 - 1</f>
        <v>2.4734526720842975E-2</v>
      </c>
      <c r="C667" s="29">
        <f>Cours_Hist_figé!C731/Cours_Hist_figé!C667 - 1</f>
        <v>7.5191400329304159E-3</v>
      </c>
      <c r="D667" s="29">
        <f>Cours_Hist_figé!D731/Cours_Hist_figé!D667 - 1</f>
        <v>-9.0280516941199096E-4</v>
      </c>
      <c r="E667" s="29">
        <f>Cours_Hist_figé!E731/Cours_Hist_figé!E667 - 1</f>
        <v>-9.0280516941210198E-4</v>
      </c>
    </row>
    <row r="668" spans="1:5" x14ac:dyDescent="0.4">
      <c r="A668" s="27">
        <v>43056</v>
      </c>
      <c r="B668" s="29">
        <f>Cours_Hist_figé!B732/Cours_Hist_figé!B668 - 1</f>
        <v>2.8986143882725024E-2</v>
      </c>
      <c r="C668" s="29">
        <f>Cours_Hist_figé!C732/Cours_Hist_figé!C668 - 1</f>
        <v>6.8479092343542991E-3</v>
      </c>
      <c r="D668" s="29">
        <f>Cours_Hist_figé!D732/Cours_Hist_figé!D668 - 1</f>
        <v>-9.0279882765731401E-4</v>
      </c>
      <c r="E668" s="29">
        <f>Cours_Hist_figé!E732/Cours_Hist_figé!E668 - 1</f>
        <v>-9.0279882765742503E-4</v>
      </c>
    </row>
    <row r="669" spans="1:5" x14ac:dyDescent="0.4">
      <c r="A669" s="27">
        <v>43059</v>
      </c>
      <c r="B669" s="29">
        <f>Cours_Hist_figé!B733/Cours_Hist_figé!B669 - 1</f>
        <v>4.02016894374293E-2</v>
      </c>
      <c r="C669" s="29">
        <f>Cours_Hist_figé!C733/Cours_Hist_figé!C669 - 1</f>
        <v>7.5664574683087515E-3</v>
      </c>
      <c r="D669" s="29">
        <f>Cours_Hist_figé!D733/Cours_Hist_figé!D669 - 1</f>
        <v>-9.029021439819207E-4</v>
      </c>
      <c r="E669" s="29">
        <f>Cours_Hist_figé!E733/Cours_Hist_figé!E669 - 1</f>
        <v>-9.029021439819207E-4</v>
      </c>
    </row>
    <row r="670" spans="1:5" x14ac:dyDescent="0.4">
      <c r="A670" s="27">
        <v>43060</v>
      </c>
      <c r="B670" s="29">
        <f>Cours_Hist_figé!B734/Cours_Hist_figé!B670 - 1</f>
        <v>3.6124590296332748E-2</v>
      </c>
      <c r="C670" s="29">
        <f>Cours_Hist_figé!C734/Cours_Hist_figé!C670 - 1</f>
        <v>1.0054152957589269E-2</v>
      </c>
      <c r="D670" s="29">
        <f>Cours_Hist_figé!D734/Cours_Hist_figé!D670 - 1</f>
        <v>-9.0290343733490097E-4</v>
      </c>
      <c r="E670" s="29">
        <f>Cours_Hist_figé!E734/Cours_Hist_figé!E670 - 1</f>
        <v>-9.0290343733512302E-4</v>
      </c>
    </row>
    <row r="671" spans="1:5" x14ac:dyDescent="0.4">
      <c r="A671" s="27">
        <v>43061</v>
      </c>
      <c r="B671" s="29">
        <f>Cours_Hist_figé!B735/Cours_Hist_figé!B671 - 1</f>
        <v>3.8261098061151078E-2</v>
      </c>
      <c r="C671" s="29">
        <f>Cours_Hist_figé!C735/Cours_Hist_figé!C671 - 1</f>
        <v>9.361396688932544E-3</v>
      </c>
      <c r="D671" s="29">
        <f>Cours_Hist_figé!D735/Cours_Hist_figé!D671 - 1</f>
        <v>-9.0300407547339034E-4</v>
      </c>
      <c r="E671" s="29">
        <f>Cours_Hist_figé!E735/Cours_Hist_figé!E671 - 1</f>
        <v>-9.0300407547339034E-4</v>
      </c>
    </row>
    <row r="672" spans="1:5" x14ac:dyDescent="0.4">
      <c r="A672" s="27">
        <v>43062</v>
      </c>
      <c r="B672" s="29">
        <f>Cours_Hist_figé!B736/Cours_Hist_figé!B672 - 1</f>
        <v>3.6584907243215836E-2</v>
      </c>
      <c r="C672" s="29">
        <f>Cours_Hist_figé!C736/Cours_Hist_figé!C672 - 1</f>
        <v>9.6754880911174013E-3</v>
      </c>
      <c r="D672" s="29">
        <f>Cours_Hist_figé!D736/Cours_Hist_figé!D672 - 1</f>
        <v>-9.0299773531110628E-4</v>
      </c>
      <c r="E672" s="29">
        <f>Cours_Hist_figé!E736/Cours_Hist_figé!E672 - 1</f>
        <v>-9.0299773531099525E-4</v>
      </c>
    </row>
    <row r="673" spans="1:5" x14ac:dyDescent="0.4">
      <c r="A673" s="27">
        <v>43063</v>
      </c>
      <c r="B673" s="29">
        <f>Cours_Hist_figé!B737/Cours_Hist_figé!B673 - 1</f>
        <v>3.641568528646455E-2</v>
      </c>
      <c r="C673" s="29">
        <f>Cours_Hist_figé!C737/Cours_Hist_figé!C673 - 1</f>
        <v>8.7758551606620383E-3</v>
      </c>
      <c r="D673" s="29">
        <f>Cours_Hist_figé!D737/Cours_Hist_figé!D673 - 1</f>
        <v>-9.0309836947566335E-4</v>
      </c>
      <c r="E673" s="29">
        <f>Cours_Hist_figé!E737/Cours_Hist_figé!E673 - 1</f>
        <v>-9.030983694758854E-4</v>
      </c>
    </row>
    <row r="674" spans="1:5" x14ac:dyDescent="0.4">
      <c r="A674" s="27">
        <v>43066</v>
      </c>
      <c r="B674" s="29">
        <f>Cours_Hist_figé!B738/Cours_Hist_figé!B674 - 1</f>
        <v>4.715525625353667E-2</v>
      </c>
      <c r="C674" s="29">
        <f>Cours_Hist_figé!C738/Cours_Hist_figé!C674 - 1</f>
        <v>7.6312001236642502E-3</v>
      </c>
      <c r="D674" s="29">
        <f>Cours_Hist_figé!D738/Cours_Hist_figé!D674 - 1</f>
        <v>-8.9331447217966264E-4</v>
      </c>
      <c r="E674" s="29">
        <f>Cours_Hist_figé!E738/Cours_Hist_figé!E674 - 1</f>
        <v>-8.9331447217955162E-4</v>
      </c>
    </row>
    <row r="675" spans="1:5" x14ac:dyDescent="0.4">
      <c r="A675" s="27">
        <v>43067</v>
      </c>
      <c r="B675" s="29">
        <f>Cours_Hist_figé!B739/Cours_Hist_figé!B675 - 1</f>
        <v>4.6307460987110138E-2</v>
      </c>
      <c r="C675" s="29">
        <f>Cours_Hist_figé!C739/Cours_Hist_figé!C675 - 1</f>
        <v>8.7731279742875312E-3</v>
      </c>
      <c r="D675" s="29">
        <f>Cours_Hist_figé!D739/Cours_Hist_figé!D675 - 1</f>
        <v>-8.9340746918586955E-4</v>
      </c>
      <c r="E675" s="29">
        <f>Cours_Hist_figé!E739/Cours_Hist_figé!E675 - 1</f>
        <v>-8.9340746918575853E-4</v>
      </c>
    </row>
    <row r="676" spans="1:5" x14ac:dyDescent="0.4">
      <c r="A676" s="27">
        <v>43068</v>
      </c>
      <c r="B676" s="29">
        <f>Cours_Hist_figé!B740/Cours_Hist_figé!B676 - 1</f>
        <v>4.0759397080059268E-2</v>
      </c>
      <c r="C676" s="29">
        <f>Cours_Hist_figé!C740/Cours_Hist_figé!C676 - 1</f>
        <v>6.4206543669915739E-3</v>
      </c>
      <c r="D676" s="29">
        <f>Cours_Hist_figé!D740/Cours_Hist_figé!D676 - 1</f>
        <v>-8.9350811003363617E-4</v>
      </c>
      <c r="E676" s="29">
        <f>Cours_Hist_figé!E740/Cours_Hist_figé!E676 - 1</f>
        <v>-8.9350811003374719E-4</v>
      </c>
    </row>
    <row r="677" spans="1:5" x14ac:dyDescent="0.4">
      <c r="A677" s="27">
        <v>43069</v>
      </c>
      <c r="B677" s="29">
        <f>Cours_Hist_figé!B741/Cours_Hist_figé!B677 - 1</f>
        <v>3.0875371852901567E-2</v>
      </c>
      <c r="C677" s="29">
        <f>Cours_Hist_figé!C741/Cours_Hist_figé!C677 - 1</f>
        <v>9.0304314772504668E-3</v>
      </c>
      <c r="D677" s="29">
        <f>Cours_Hist_figé!D741/Cours_Hist_figé!D677 - 1</f>
        <v>-8.9230924164607206E-4</v>
      </c>
      <c r="E677" s="29">
        <f>Cours_Hist_figé!E741/Cours_Hist_figé!E677 - 1</f>
        <v>-8.9230924164607206E-4</v>
      </c>
    </row>
    <row r="678" spans="1:5" x14ac:dyDescent="0.4">
      <c r="A678" s="27">
        <v>43070</v>
      </c>
      <c r="B678" s="29">
        <f>Cours_Hist_figé!B742/Cours_Hist_figé!B678 - 1</f>
        <v>2.9007403732894232E-2</v>
      </c>
      <c r="C678" s="29">
        <f>Cours_Hist_figé!C742/Cours_Hist_figé!C678 - 1</f>
        <v>1.1749854849282926E-2</v>
      </c>
      <c r="D678" s="29">
        <f>Cours_Hist_figé!D742/Cours_Hist_figé!D678 - 1</f>
        <v>-8.6933247336262731E-4</v>
      </c>
      <c r="E678" s="29">
        <f>Cours_Hist_figé!E742/Cours_Hist_figé!E678 - 1</f>
        <v>-8.6933247336284936E-4</v>
      </c>
    </row>
    <row r="679" spans="1:5" x14ac:dyDescent="0.4">
      <c r="A679" s="27">
        <v>43073</v>
      </c>
      <c r="B679" s="29">
        <f>Cours_Hist_figé!B743/Cours_Hist_figé!B679 - 1</f>
        <v>3.9843900628717455E-2</v>
      </c>
      <c r="C679" s="29">
        <f>Cours_Hist_figé!C743/Cours_Hist_figé!C679 - 1</f>
        <v>8.5480671941782216E-3</v>
      </c>
      <c r="D679" s="29">
        <f>Cours_Hist_figé!D743/Cours_Hist_figé!D679 - 1</f>
        <v>-8.836170073236449E-4</v>
      </c>
      <c r="E679" s="29">
        <f>Cours_Hist_figé!E743/Cours_Hist_figé!E679 - 1</f>
        <v>-8.8361700732386694E-4</v>
      </c>
    </row>
    <row r="680" spans="1:5" x14ac:dyDescent="0.4">
      <c r="A680" s="27">
        <v>43074</v>
      </c>
      <c r="B680" s="29">
        <f>Cours_Hist_figé!B744/Cours_Hist_figé!B680 - 1</f>
        <v>3.7343542824915588E-2</v>
      </c>
      <c r="C680" s="29">
        <f>Cours_Hist_figé!C744/Cours_Hist_figé!C680 - 1</f>
        <v>1.0106847495824578E-2</v>
      </c>
      <c r="D680" s="29">
        <f>Cours_Hist_figé!D744/Cours_Hist_figé!D680 - 1</f>
        <v>-8.8261695127411777E-4</v>
      </c>
      <c r="E680" s="29">
        <f>Cours_Hist_figé!E744/Cours_Hist_figé!E680 - 1</f>
        <v>-8.8261695127433981E-4</v>
      </c>
    </row>
    <row r="681" spans="1:5" x14ac:dyDescent="0.4">
      <c r="A681" s="27">
        <v>43075</v>
      </c>
      <c r="B681" s="29">
        <f>Cours_Hist_figé!B745/Cours_Hist_figé!B681 - 1</f>
        <v>3.4173388407230387E-2</v>
      </c>
      <c r="C681" s="29">
        <f>Cours_Hist_figé!C745/Cours_Hist_figé!C681 - 1</f>
        <v>8.5039488928086993E-3</v>
      </c>
      <c r="D681" s="29">
        <f>Cours_Hist_figé!D745/Cours_Hist_figé!D681 - 1</f>
        <v>-8.8172387055118762E-4</v>
      </c>
      <c r="E681" s="29">
        <f>Cours_Hist_figé!E745/Cours_Hist_figé!E681 - 1</f>
        <v>-8.8172387055096557E-4</v>
      </c>
    </row>
    <row r="682" spans="1:5" x14ac:dyDescent="0.4">
      <c r="A682" s="27">
        <v>43076</v>
      </c>
      <c r="B682" s="29">
        <f>Cours_Hist_figé!B746/Cours_Hist_figé!B682 - 1</f>
        <v>3.3005672677197895E-2</v>
      </c>
      <c r="C682" s="29">
        <f>Cours_Hist_figé!C746/Cours_Hist_figé!C682 - 1</f>
        <v>1.0391302967042826E-2</v>
      </c>
      <c r="D682" s="29">
        <f>Cours_Hist_figé!D746/Cours_Hist_figé!D682 - 1</f>
        <v>-8.8091484731056546E-4</v>
      </c>
      <c r="E682" s="29">
        <f>Cours_Hist_figé!E746/Cours_Hist_figé!E682 - 1</f>
        <v>-8.8091484731056546E-4</v>
      </c>
    </row>
    <row r="683" spans="1:5" x14ac:dyDescent="0.4">
      <c r="A683" s="27">
        <v>43077</v>
      </c>
      <c r="B683" s="29">
        <f>Cours_Hist_figé!B747/Cours_Hist_figé!B683 - 1</f>
        <v>2.9645554285072651E-2</v>
      </c>
      <c r="C683" s="29">
        <f>Cours_Hist_figé!C747/Cours_Hist_figé!C683 - 1</f>
        <v>1.0656371339650139E-2</v>
      </c>
      <c r="D683" s="29">
        <f>Cours_Hist_figé!D747/Cours_Hist_figé!D683 - 1</f>
        <v>-8.6103852419805449E-4</v>
      </c>
      <c r="E683" s="29">
        <f>Cours_Hist_figé!E747/Cours_Hist_figé!E683 - 1</f>
        <v>-8.6103852419805449E-4</v>
      </c>
    </row>
    <row r="684" spans="1:5" x14ac:dyDescent="0.4">
      <c r="A684" s="27">
        <v>43080</v>
      </c>
      <c r="B684" s="29">
        <f>Cours_Hist_figé!B748/Cours_Hist_figé!B684 - 1</f>
        <v>2.3956956714366262E-2</v>
      </c>
      <c r="C684" s="29">
        <f>Cours_Hist_figé!C748/Cours_Hist_figé!C684 - 1</f>
        <v>1.4003021050525088E-2</v>
      </c>
      <c r="D684" s="29">
        <f>Cours_Hist_figé!D748/Cours_Hist_figé!D684 - 1</f>
        <v>-8.7851868051369575E-4</v>
      </c>
      <c r="E684" s="29">
        <f>Cours_Hist_figé!E748/Cours_Hist_figé!E684 - 1</f>
        <v>-8.7851868051358473E-4</v>
      </c>
    </row>
    <row r="685" spans="1:5" x14ac:dyDescent="0.4">
      <c r="A685" s="27">
        <v>43081</v>
      </c>
      <c r="B685" s="29">
        <f>Cours_Hist_figé!B749/Cours_Hist_figé!B685 - 1</f>
        <v>3.120553208128074E-2</v>
      </c>
      <c r="C685" s="29">
        <f>Cours_Hist_figé!C749/Cours_Hist_figé!C685 - 1</f>
        <v>1.2622559010342371E-2</v>
      </c>
      <c r="D685" s="29">
        <f>Cours_Hist_figé!D749/Cours_Hist_figé!D685 - 1</f>
        <v>-8.7782422368998247E-4</v>
      </c>
      <c r="E685" s="29">
        <f>Cours_Hist_figé!E749/Cours_Hist_figé!E685 - 1</f>
        <v>-8.778242236900935E-4</v>
      </c>
    </row>
    <row r="686" spans="1:5" x14ac:dyDescent="0.4">
      <c r="A686" s="27">
        <v>43082</v>
      </c>
      <c r="B686" s="29">
        <f>Cours_Hist_figé!B750/Cours_Hist_figé!B686 - 1</f>
        <v>2.7649120152087647E-2</v>
      </c>
      <c r="C686" s="29">
        <f>Cours_Hist_figé!C750/Cours_Hist_figé!C686 - 1</f>
        <v>1.2372752804224119E-2</v>
      </c>
      <c r="D686" s="29">
        <f>Cours_Hist_figé!D750/Cours_Hist_figé!D686 - 1</f>
        <v>-8.7752719083500352E-4</v>
      </c>
      <c r="E686" s="29">
        <f>Cours_Hist_figé!E750/Cours_Hist_figé!E686 - 1</f>
        <v>-8.775271908348925E-4</v>
      </c>
    </row>
    <row r="687" spans="1:5" x14ac:dyDescent="0.4">
      <c r="A687" s="27">
        <v>43083</v>
      </c>
      <c r="B687" s="29">
        <f>Cours_Hist_figé!B751/Cours_Hist_figé!B687 - 1</f>
        <v>2.5944165942477282E-2</v>
      </c>
      <c r="C687" s="29">
        <f>Cours_Hist_figé!C751/Cours_Hist_figé!C687 - 1</f>
        <v>1.3316727342402856E-2</v>
      </c>
      <c r="D687" s="29">
        <f>Cours_Hist_figé!D751/Cours_Hist_figé!D687 - 1</f>
        <v>-8.7752068412683126E-4</v>
      </c>
      <c r="E687" s="29">
        <f>Cours_Hist_figé!E751/Cours_Hist_figé!E687 - 1</f>
        <v>-8.7752068412672024E-4</v>
      </c>
    </row>
    <row r="688" spans="1:5" x14ac:dyDescent="0.4">
      <c r="A688" s="27">
        <v>43084</v>
      </c>
      <c r="B688" s="29">
        <f>Cours_Hist_figé!B752/Cours_Hist_figé!B688 - 1</f>
        <v>2.0780494123531446E-2</v>
      </c>
      <c r="C688" s="29">
        <f>Cours_Hist_figé!C752/Cours_Hist_figé!C688 - 1</f>
        <v>1.4264369001332433E-2</v>
      </c>
      <c r="D688" s="29">
        <f>Cours_Hist_figé!D752/Cours_Hist_figé!D688 - 1</f>
        <v>-8.5763611236633341E-4</v>
      </c>
      <c r="E688" s="29">
        <f>Cours_Hist_figé!E752/Cours_Hist_figé!E688 - 1</f>
        <v>-8.5763611236622239E-4</v>
      </c>
    </row>
    <row r="689" spans="1:5" x14ac:dyDescent="0.4">
      <c r="A689" s="27">
        <v>43087</v>
      </c>
      <c r="B689" s="29">
        <f>Cours_Hist_figé!B753/Cours_Hist_figé!B689 - 1</f>
        <v>3.2110605507119194E-2</v>
      </c>
      <c r="C689" s="29">
        <f>Cours_Hist_figé!C753/Cours_Hist_figé!C689 - 1</f>
        <v>1.3593893050816153E-2</v>
      </c>
      <c r="D689" s="29">
        <f>Cours_Hist_figé!D753/Cours_Hist_figé!D689 - 1</f>
        <v>-8.7772402554020523E-4</v>
      </c>
      <c r="E689" s="29">
        <f>Cours_Hist_figé!E753/Cours_Hist_figé!E689 - 1</f>
        <v>-8.7772402554009421E-4</v>
      </c>
    </row>
    <row r="690" spans="1:5" x14ac:dyDescent="0.4">
      <c r="A690" s="27">
        <v>43088</v>
      </c>
      <c r="B690" s="29">
        <f>Cours_Hist_figé!B754/Cours_Hist_figé!B690 - 1</f>
        <v>2.800314066283871E-2</v>
      </c>
      <c r="C690" s="29">
        <f>Cours_Hist_figé!C754/Cours_Hist_figé!C690 - 1</f>
        <v>9.2524839398007153E-3</v>
      </c>
      <c r="D690" s="29">
        <f>Cours_Hist_figé!D754/Cours_Hist_figé!D690 - 1</f>
        <v>-8.776181550739226E-4</v>
      </c>
      <c r="E690" s="29">
        <f>Cours_Hist_figé!E754/Cours_Hist_figé!E690 - 1</f>
        <v>-8.7761815507403362E-4</v>
      </c>
    </row>
    <row r="691" spans="1:5" x14ac:dyDescent="0.4">
      <c r="A691" s="27">
        <v>43089</v>
      </c>
      <c r="B691" s="29">
        <f>Cours_Hist_figé!B755/Cours_Hist_figé!B691 - 1</f>
        <v>1.8083694127230876E-2</v>
      </c>
      <c r="C691" s="29">
        <f>Cours_Hist_figé!C755/Cours_Hist_figé!C691 - 1</f>
        <v>7.949800436359844E-3</v>
      </c>
      <c r="D691" s="29">
        <f>Cours_Hist_figé!D755/Cours_Hist_figé!D691 - 1</f>
        <v>-8.7732118656103086E-4</v>
      </c>
      <c r="E691" s="29">
        <f>Cours_Hist_figé!E755/Cours_Hist_figé!E691 - 1</f>
        <v>-8.7732118656091984E-4</v>
      </c>
    </row>
    <row r="692" spans="1:5" x14ac:dyDescent="0.4">
      <c r="A692" s="27">
        <v>43090</v>
      </c>
      <c r="B692" s="29">
        <f>Cours_Hist_figé!B756/Cours_Hist_figé!B692 - 1</f>
        <v>2.3541735946318365E-2</v>
      </c>
      <c r="C692" s="29">
        <f>Cours_Hist_figé!C756/Cours_Hist_figé!C692 - 1</f>
        <v>8.0458371353731017E-3</v>
      </c>
      <c r="D692" s="29">
        <f>Cours_Hist_figé!D756/Cours_Hist_figé!D692 - 1</f>
        <v>-8.7702438640535618E-4</v>
      </c>
      <c r="E692" s="29">
        <f>Cours_Hist_figé!E756/Cours_Hist_figé!E692 - 1</f>
        <v>-8.7702438640524516E-4</v>
      </c>
    </row>
    <row r="693" spans="1:5" x14ac:dyDescent="0.4">
      <c r="A693" s="27">
        <v>43091</v>
      </c>
      <c r="B693" s="29">
        <f>Cours_Hist_figé!B757/Cours_Hist_figé!B693 - 1</f>
        <v>2.0238012983124554E-2</v>
      </c>
      <c r="C693" s="29">
        <f>Cours_Hist_figé!C757/Cours_Hist_figé!C693 - 1</f>
        <v>5.8776096994477278E-3</v>
      </c>
      <c r="D693" s="29">
        <f>Cours_Hist_figé!D757/Cours_Hist_figé!D693 - 1</f>
        <v>-8.5693957592203329E-4</v>
      </c>
      <c r="E693" s="29">
        <f>Cours_Hist_figé!E757/Cours_Hist_figé!E693 - 1</f>
        <v>-8.5693957592214431E-4</v>
      </c>
    </row>
    <row r="694" spans="1:5" x14ac:dyDescent="0.4">
      <c r="A694" s="27">
        <v>43096</v>
      </c>
      <c r="B694" s="29">
        <f>Cours_Hist_figé!B758/Cours_Hist_figé!B694 - 1</f>
        <v>1.9915015614601073E-2</v>
      </c>
      <c r="C694" s="29">
        <f>Cours_Hist_figé!C758/Cours_Hist_figé!C694 - 1</f>
        <v>7.7930518076885225E-3</v>
      </c>
      <c r="D694" s="29">
        <f>Cours_Hist_figé!D758/Cours_Hist_figé!D694 - 1</f>
        <v>-8.9590936596961601E-4</v>
      </c>
      <c r="E694" s="29">
        <f>Cours_Hist_figé!E758/Cours_Hist_figé!E694 - 1</f>
        <v>-8.9590936596961601E-4</v>
      </c>
    </row>
    <row r="695" spans="1:5" x14ac:dyDescent="0.4">
      <c r="A695" s="27">
        <v>43097</v>
      </c>
      <c r="B695" s="29">
        <f>Cours_Hist_figé!B759/Cours_Hist_figé!B695 - 1</f>
        <v>1.3438090934013713E-2</v>
      </c>
      <c r="C695" s="29">
        <f>Cours_Hist_figé!C759/Cours_Hist_figé!C695 - 1</f>
        <v>7.4233463636323993E-3</v>
      </c>
      <c r="D695" s="29">
        <f>Cours_Hist_figé!D759/Cours_Hist_figé!D695 - 1</f>
        <v>-8.9581130722526936E-4</v>
      </c>
      <c r="E695" s="29">
        <f>Cours_Hist_figé!E759/Cours_Hist_figé!E695 - 1</f>
        <v>-8.958113072254914E-4</v>
      </c>
    </row>
    <row r="696" spans="1:5" x14ac:dyDescent="0.4">
      <c r="A696" s="27">
        <v>43098</v>
      </c>
      <c r="B696" s="29">
        <f>Cours_Hist_figé!B760/Cours_Hist_figé!B696 - 1</f>
        <v>1.0883134387538407E-2</v>
      </c>
      <c r="C696" s="29">
        <f>Cours_Hist_figé!C760/Cours_Hist_figé!C696 - 1</f>
        <v>6.4798881044616508E-3</v>
      </c>
      <c r="D696" s="29">
        <f>Cours_Hist_figé!D760/Cours_Hist_figé!D696 - 1</f>
        <v>-8.9570560926233167E-4</v>
      </c>
      <c r="E696" s="29">
        <f>Cours_Hist_figé!E760/Cours_Hist_figé!E696 - 1</f>
        <v>-8.9570560926255371E-4</v>
      </c>
    </row>
    <row r="697" spans="1:5" x14ac:dyDescent="0.4">
      <c r="A697" s="27">
        <v>43102</v>
      </c>
      <c r="B697" s="29">
        <f>Cours_Hist_figé!B761/Cours_Hist_figé!B697 - 1</f>
        <v>3.9088141714038738E-3</v>
      </c>
      <c r="C697" s="29">
        <f>Cours_Hist_figé!C761/Cours_Hist_figé!C697 - 1</f>
        <v>3.3713762153411153E-3</v>
      </c>
      <c r="D697" s="29">
        <f>Cours_Hist_figé!D761/Cours_Hist_figé!D697 - 1</f>
        <v>-9.2408212113170851E-4</v>
      </c>
      <c r="E697" s="29">
        <f>Cours_Hist_figé!E761/Cours_Hist_figé!E697 - 1</f>
        <v>-9.2408212113148647E-4</v>
      </c>
    </row>
    <row r="698" spans="1:5" x14ac:dyDescent="0.4">
      <c r="A698" s="27">
        <v>43103</v>
      </c>
      <c r="B698" s="29">
        <f>Cours_Hist_figé!B762/Cours_Hist_figé!B698 - 1</f>
        <v>3.4576374660639786E-3</v>
      </c>
      <c r="C698" s="29">
        <f>Cours_Hist_figé!C762/Cours_Hist_figé!C698 - 1</f>
        <v>4.7753074720706667E-3</v>
      </c>
      <c r="D698" s="29">
        <f>Cours_Hist_figé!D762/Cours_Hist_figé!D698 - 1</f>
        <v>-9.0529613681733512E-4</v>
      </c>
      <c r="E698" s="29">
        <f>Cours_Hist_figé!E762/Cours_Hist_figé!E698 - 1</f>
        <v>-9.052961368172241E-4</v>
      </c>
    </row>
    <row r="699" spans="1:5" x14ac:dyDescent="0.4">
      <c r="A699" s="27">
        <v>43104</v>
      </c>
      <c r="B699" s="29">
        <f>Cours_Hist_figé!B763/Cours_Hist_figé!B699 - 1</f>
        <v>1.1051093933143852E-2</v>
      </c>
      <c r="C699" s="29">
        <f>Cours_Hist_figé!C763/Cours_Hist_figé!C699 - 1</f>
        <v>6.3064145557292228E-3</v>
      </c>
      <c r="D699" s="29">
        <f>Cours_Hist_figé!D763/Cours_Hist_figé!D699 - 1</f>
        <v>-9.0529745440826037E-4</v>
      </c>
      <c r="E699" s="29">
        <f>Cours_Hist_figé!E763/Cours_Hist_figé!E699 - 1</f>
        <v>-9.0529745440837139E-4</v>
      </c>
    </row>
    <row r="700" spans="1:5" x14ac:dyDescent="0.4">
      <c r="A700" s="27">
        <v>43105</v>
      </c>
      <c r="B700" s="29">
        <f>Cours_Hist_figé!B764/Cours_Hist_figé!B700 - 1</f>
        <v>2.1231367549850777E-2</v>
      </c>
      <c r="C700" s="29">
        <f>Cours_Hist_figé!C764/Cours_Hist_figé!C700 - 1</f>
        <v>6.8916069032602945E-3</v>
      </c>
      <c r="D700" s="29">
        <f>Cours_Hist_figé!D764/Cours_Hist_figé!D700 - 1</f>
        <v>-9.0529877202538689E-4</v>
      </c>
      <c r="E700" s="29">
        <f>Cours_Hist_figé!E764/Cours_Hist_figé!E700 - 1</f>
        <v>-9.0529877202527587E-4</v>
      </c>
    </row>
    <row r="701" spans="1:5" x14ac:dyDescent="0.4">
      <c r="A701" s="27">
        <v>43108</v>
      </c>
      <c r="B701" s="29">
        <f>Cours_Hist_figé!B765/Cours_Hist_figé!B701 - 1</f>
        <v>2.1945060089806123E-2</v>
      </c>
      <c r="C701" s="29">
        <f>Cours_Hist_figé!C765/Cours_Hist_figé!C701 - 1</f>
        <v>7.3603633916554667E-3</v>
      </c>
      <c r="D701" s="29">
        <f>Cours_Hist_figé!D765/Cours_Hist_figé!D701 - 1</f>
        <v>-9.0520079942979503E-4</v>
      </c>
      <c r="E701" s="29">
        <f>Cours_Hist_figé!E765/Cours_Hist_figé!E701 - 1</f>
        <v>-9.0520079942957299E-4</v>
      </c>
    </row>
    <row r="702" spans="1:5" x14ac:dyDescent="0.4">
      <c r="A702" s="27">
        <v>43109</v>
      </c>
      <c r="B702" s="29">
        <f>Cours_Hist_figé!B766/Cours_Hist_figé!B702 - 1</f>
        <v>3.0553239968878376E-2</v>
      </c>
      <c r="C702" s="29">
        <f>Cours_Hist_figé!C766/Cours_Hist_figé!C702 - 1</f>
        <v>5.5765503307536601E-3</v>
      </c>
      <c r="D702" s="29">
        <f>Cours_Hist_figé!D766/Cours_Hist_figé!D702 - 1</f>
        <v>-9.0510282487488158E-4</v>
      </c>
      <c r="E702" s="29">
        <f>Cours_Hist_figé!E766/Cours_Hist_figé!E702 - 1</f>
        <v>-9.0510282487465954E-4</v>
      </c>
    </row>
    <row r="703" spans="1:5" x14ac:dyDescent="0.4">
      <c r="A703" s="27">
        <v>43110</v>
      </c>
      <c r="B703" s="29">
        <f>Cours_Hist_figé!B767/Cours_Hist_figé!B703 - 1</f>
        <v>2.51453484341011E-2</v>
      </c>
      <c r="C703" s="29">
        <f>Cours_Hist_figé!C767/Cours_Hist_figé!C703 - 1</f>
        <v>3.1654454225260586E-3</v>
      </c>
      <c r="D703" s="29">
        <f>Cours_Hist_figé!D767/Cours_Hist_figé!D703 - 1</f>
        <v>-8.8511544343183868E-4</v>
      </c>
      <c r="E703" s="29">
        <f>Cours_Hist_figé!E767/Cours_Hist_figé!E703 - 1</f>
        <v>-8.8511544343172766E-4</v>
      </c>
    </row>
    <row r="704" spans="1:5" x14ac:dyDescent="0.4">
      <c r="A704" s="27">
        <v>43111</v>
      </c>
      <c r="B704" s="29">
        <f>Cours_Hist_figé!B768/Cours_Hist_figé!B704 - 1</f>
        <v>2.1973271839547781E-2</v>
      </c>
      <c r="C704" s="29">
        <f>Cours_Hist_figé!C768/Cours_Hist_figé!C704 - 1</f>
        <v>1.148696151080042E-3</v>
      </c>
      <c r="D704" s="29">
        <f>Cours_Hist_figé!D768/Cours_Hist_figé!D704 - 1</f>
        <v>-8.8542244980027718E-4</v>
      </c>
      <c r="E704" s="29">
        <f>Cours_Hist_figé!E768/Cours_Hist_figé!E704 - 1</f>
        <v>-8.8542244980027718E-4</v>
      </c>
    </row>
    <row r="705" spans="1:5" x14ac:dyDescent="0.4">
      <c r="A705" s="27">
        <v>43112</v>
      </c>
      <c r="B705" s="29">
        <f>Cours_Hist_figé!B769/Cours_Hist_figé!B705 - 1</f>
        <v>2.4854968381743392E-2</v>
      </c>
      <c r="C705" s="29">
        <f>Cours_Hist_figé!C769/Cours_Hist_figé!C705 - 1</f>
        <v>2.3768969815993746E-3</v>
      </c>
      <c r="D705" s="29">
        <f>Cours_Hist_figé!D769/Cours_Hist_figé!D705 - 1</f>
        <v>-8.8541601364855449E-4</v>
      </c>
      <c r="E705" s="29">
        <f>Cours_Hist_figé!E769/Cours_Hist_figé!E705 - 1</f>
        <v>-8.8541601364866551E-4</v>
      </c>
    </row>
    <row r="706" spans="1:5" x14ac:dyDescent="0.4">
      <c r="A706" s="27">
        <v>43115</v>
      </c>
      <c r="B706" s="29">
        <f>Cours_Hist_figé!B770/Cours_Hist_figé!B706 - 1</f>
        <v>2.2781690368619323E-2</v>
      </c>
      <c r="C706" s="29">
        <f>Cours_Hist_figé!C770/Cours_Hist_figé!C706 - 1</f>
        <v>1.0600892154288832E-3</v>
      </c>
      <c r="D706" s="29">
        <f>Cours_Hist_figé!D770/Cours_Hist_figé!D706 - 1</f>
        <v>-9.0520300137919563E-4</v>
      </c>
      <c r="E706" s="29">
        <f>Cours_Hist_figé!E770/Cours_Hist_figé!E706 - 1</f>
        <v>-9.0520300137919563E-4</v>
      </c>
    </row>
    <row r="707" spans="1:5" x14ac:dyDescent="0.4">
      <c r="A707" s="27">
        <v>43116</v>
      </c>
      <c r="B707" s="29">
        <f>Cours_Hist_figé!B771/Cours_Hist_figé!B707 - 1</f>
        <v>2.0974197617837698E-2</v>
      </c>
      <c r="C707" s="29">
        <f>Cours_Hist_figé!C771/Cours_Hist_figé!C707 - 1</f>
        <v>5.469296224815956E-4</v>
      </c>
      <c r="D707" s="29">
        <f>Cours_Hist_figé!D771/Cours_Hist_figé!D707 - 1</f>
        <v>-9.0540318446230561E-4</v>
      </c>
      <c r="E707" s="29">
        <f>Cours_Hist_figé!E771/Cours_Hist_figé!E707 - 1</f>
        <v>-9.0540318446219459E-4</v>
      </c>
    </row>
    <row r="708" spans="1:5" x14ac:dyDescent="0.4">
      <c r="A708" s="27">
        <v>43117</v>
      </c>
      <c r="B708" s="29">
        <f>Cours_Hist_figé!B772/Cours_Hist_figé!B708 - 1</f>
        <v>1.9869087477890623E-2</v>
      </c>
      <c r="C708" s="29">
        <f>Cours_Hist_figé!C772/Cours_Hist_figé!C708 - 1</f>
        <v>-1.0300259396071043E-3</v>
      </c>
      <c r="D708" s="29">
        <f>Cours_Hist_figé!D772/Cours_Hist_figé!D708 - 1</f>
        <v>-8.8581962283662552E-4</v>
      </c>
      <c r="E708" s="29">
        <f>Cours_Hist_figé!E772/Cours_Hist_figé!E708 - 1</f>
        <v>-8.8581962283662552E-4</v>
      </c>
    </row>
    <row r="709" spans="1:5" x14ac:dyDescent="0.4">
      <c r="A709" s="27">
        <v>43118</v>
      </c>
      <c r="B709" s="29">
        <f>Cours_Hist_figé!B773/Cours_Hist_figé!B709 - 1</f>
        <v>2.420319695533335E-2</v>
      </c>
      <c r="C709" s="29">
        <f>Cours_Hist_figé!C773/Cours_Hist_figé!C709 - 1</f>
        <v>-2.6735830632368396E-3</v>
      </c>
      <c r="D709" s="29">
        <f>Cours_Hist_figé!D773/Cours_Hist_figé!D709 - 1</f>
        <v>-8.859202279424272E-4</v>
      </c>
      <c r="E709" s="29">
        <f>Cours_Hist_figé!E773/Cours_Hist_figé!E709 - 1</f>
        <v>-8.8592022794253822E-4</v>
      </c>
    </row>
    <row r="710" spans="1:5" x14ac:dyDescent="0.4">
      <c r="A710" s="27">
        <v>43119</v>
      </c>
      <c r="B710" s="29">
        <f>Cours_Hist_figé!B774/Cours_Hist_figé!B710 - 1</f>
        <v>2.6673303030749551E-2</v>
      </c>
      <c r="C710" s="29">
        <f>Cours_Hist_figé!C774/Cours_Hist_figé!C710 - 1</f>
        <v>-2.8205294306749007E-4</v>
      </c>
      <c r="D710" s="29">
        <f>Cours_Hist_figé!D774/Cours_Hist_figé!D710 - 1</f>
        <v>-8.8621962129642462E-4</v>
      </c>
      <c r="E710" s="29">
        <f>Cours_Hist_figé!E774/Cours_Hist_figé!E710 - 1</f>
        <v>-8.8621962129642462E-4</v>
      </c>
    </row>
    <row r="711" spans="1:5" x14ac:dyDescent="0.4">
      <c r="A711" s="27">
        <v>43122</v>
      </c>
      <c r="B711" s="29">
        <f>Cours_Hist_figé!B775/Cours_Hist_figé!B711 - 1</f>
        <v>3.5981017582075614E-2</v>
      </c>
      <c r="C711" s="29">
        <f>Cours_Hist_figé!C775/Cours_Hist_figé!C711 - 1</f>
        <v>4.9199314347414536E-4</v>
      </c>
      <c r="D711" s="29">
        <f>Cours_Hist_figé!D775/Cours_Hist_figé!D711 - 1</f>
        <v>-9.0639784300705628E-4</v>
      </c>
      <c r="E711" s="29">
        <f>Cours_Hist_figé!E775/Cours_Hist_figé!E711 - 1</f>
        <v>-9.063978430071673E-4</v>
      </c>
    </row>
    <row r="712" spans="1:5" x14ac:dyDescent="0.4">
      <c r="A712" s="27">
        <v>43123</v>
      </c>
      <c r="B712" s="29">
        <f>Cours_Hist_figé!B776/Cours_Hist_figé!B712 - 1</f>
        <v>3.4819501137557163E-2</v>
      </c>
      <c r="C712" s="29">
        <f>Cours_Hist_figé!C776/Cours_Hist_figé!C712 - 1</f>
        <v>3.6853456186254352E-3</v>
      </c>
      <c r="D712" s="29">
        <f>Cours_Hist_figé!D776/Cours_Hist_figé!D712 - 1</f>
        <v>-9.0649865692737919E-4</v>
      </c>
      <c r="E712" s="29">
        <f>Cours_Hist_figé!E776/Cours_Hist_figé!E712 - 1</f>
        <v>-9.0649865692726816E-4</v>
      </c>
    </row>
    <row r="713" spans="1:5" x14ac:dyDescent="0.4">
      <c r="A713" s="27">
        <v>43124</v>
      </c>
      <c r="B713" s="29">
        <f>Cours_Hist_figé!B777/Cours_Hist_figé!B713 - 1</f>
        <v>2.7883686012365905E-2</v>
      </c>
      <c r="C713" s="29">
        <f>Cours_Hist_figé!C777/Cours_Hist_figé!C713 - 1</f>
        <v>9.2948817339078005E-4</v>
      </c>
      <c r="D713" s="29">
        <f>Cours_Hist_figé!D777/Cours_Hist_figé!D713 - 1</f>
        <v>-8.8651634294745207E-4</v>
      </c>
      <c r="E713" s="29">
        <f>Cours_Hist_figé!E777/Cours_Hist_figé!E713 - 1</f>
        <v>-8.8651634294734105E-4</v>
      </c>
    </row>
    <row r="714" spans="1:5" x14ac:dyDescent="0.4">
      <c r="A714" s="27">
        <v>43125</v>
      </c>
      <c r="B714" s="29">
        <f>Cours_Hist_figé!B778/Cours_Hist_figé!B714 - 1</f>
        <v>2.5724744814029643E-2</v>
      </c>
      <c r="C714" s="29">
        <f>Cours_Hist_figé!C778/Cours_Hist_figé!C714 - 1</f>
        <v>1.5983665267105263E-3</v>
      </c>
      <c r="D714" s="29">
        <f>Cours_Hist_figé!D778/Cours_Hist_figé!D714 - 1</f>
        <v>-8.8651765110125957E-4</v>
      </c>
      <c r="E714" s="29">
        <f>Cours_Hist_figé!E778/Cours_Hist_figé!E714 - 1</f>
        <v>-8.8651765110114855E-4</v>
      </c>
    </row>
    <row r="715" spans="1:5" x14ac:dyDescent="0.4">
      <c r="A715" s="27">
        <v>43126</v>
      </c>
      <c r="B715" s="29">
        <f>Cours_Hist_figé!B779/Cours_Hist_figé!B715 - 1</f>
        <v>3.6899092733019723E-2</v>
      </c>
      <c r="C715" s="29">
        <f>Cours_Hist_figé!C779/Cours_Hist_figé!C715 - 1</f>
        <v>9.1971816832825404E-4</v>
      </c>
      <c r="D715" s="29">
        <f>Cours_Hist_figé!D779/Cours_Hist_figé!D715 - 1</f>
        <v>-8.8661062509653998E-4</v>
      </c>
      <c r="E715" s="29">
        <f>Cours_Hist_figé!E779/Cours_Hist_figé!E715 - 1</f>
        <v>-8.8661062509642896E-4</v>
      </c>
    </row>
    <row r="716" spans="1:5" x14ac:dyDescent="0.4">
      <c r="A716" s="27">
        <v>43129</v>
      </c>
      <c r="B716" s="29">
        <f>Cours_Hist_figé!B780/Cours_Hist_figé!B716 - 1</f>
        <v>2.428410733484232E-2</v>
      </c>
      <c r="C716" s="29">
        <f>Cours_Hist_figé!C780/Cours_Hist_figé!C716 - 1</f>
        <v>-4.1336904833322308E-3</v>
      </c>
      <c r="D716" s="29">
        <f>Cours_Hist_figé!D780/Cours_Hist_figé!D716 - 1</f>
        <v>-9.0679800375981223E-4</v>
      </c>
      <c r="E716" s="29">
        <f>Cours_Hist_figé!E780/Cours_Hist_figé!E716 - 1</f>
        <v>-9.0679800375970121E-4</v>
      </c>
    </row>
    <row r="717" spans="1:5" x14ac:dyDescent="0.4">
      <c r="A717" s="27">
        <v>43130</v>
      </c>
      <c r="B717" s="29">
        <f>Cours_Hist_figé!B781/Cours_Hist_figé!B717 - 1</f>
        <v>9.2498108451237737E-3</v>
      </c>
      <c r="C717" s="29">
        <f>Cours_Hist_figé!C781/Cours_Hist_figé!C717 - 1</f>
        <v>-5.8531290074791409E-3</v>
      </c>
      <c r="D717" s="29">
        <f>Cours_Hist_figé!D781/Cours_Hist_figé!D717 - 1</f>
        <v>-9.0679187049813592E-4</v>
      </c>
      <c r="E717" s="29">
        <f>Cours_Hist_figé!E781/Cours_Hist_figé!E717 - 1</f>
        <v>-9.0679187049813592E-4</v>
      </c>
    </row>
    <row r="718" spans="1:5" x14ac:dyDescent="0.4">
      <c r="A718" s="27">
        <v>43131</v>
      </c>
      <c r="B718" s="29">
        <f>Cours_Hist_figé!B782/Cours_Hist_figé!B718 - 1</f>
        <v>6.0532449501013996E-3</v>
      </c>
      <c r="C718" s="29">
        <f>Cours_Hist_figé!C782/Cours_Hist_figé!C718 - 1</f>
        <v>-7.881964495893734E-3</v>
      </c>
      <c r="D718" s="29">
        <f>Cours_Hist_figé!D782/Cours_Hist_figé!D718 - 1</f>
        <v>-8.8681571001358872E-4</v>
      </c>
      <c r="E718" s="29">
        <f>Cours_Hist_figé!E782/Cours_Hist_figé!E718 - 1</f>
        <v>-8.868157100134777E-4</v>
      </c>
    </row>
    <row r="719" spans="1:5" x14ac:dyDescent="0.4">
      <c r="A719" s="27">
        <v>43132</v>
      </c>
      <c r="B719" s="29">
        <f>Cours_Hist_figé!B783/Cours_Hist_figé!B719 - 1</f>
        <v>-2.5552264503327926E-3</v>
      </c>
      <c r="C719" s="29">
        <f>Cours_Hist_figé!C783/Cours_Hist_figé!C719 - 1</f>
        <v>-8.5102345029051119E-3</v>
      </c>
      <c r="D719" s="29">
        <f>Cours_Hist_figé!D783/Cours_Hist_figé!D719 - 1</f>
        <v>-8.8701548076430825E-4</v>
      </c>
      <c r="E719" s="29">
        <f>Cours_Hist_figé!E783/Cours_Hist_figé!E719 - 1</f>
        <v>-8.8701548076430825E-4</v>
      </c>
    </row>
    <row r="720" spans="1:5" x14ac:dyDescent="0.4">
      <c r="A720" s="27">
        <v>43133</v>
      </c>
      <c r="B720" s="29">
        <f>Cours_Hist_figé!B784/Cours_Hist_figé!B720 - 1</f>
        <v>-1.9822763948435407E-2</v>
      </c>
      <c r="C720" s="29">
        <f>Cours_Hist_figé!C784/Cours_Hist_figé!C720 - 1</f>
        <v>-1.1048870032862368E-2</v>
      </c>
      <c r="D720" s="29">
        <f>Cours_Hist_figé!D784/Cours_Hist_figé!D720 - 1</f>
        <v>-8.874140626361493E-4</v>
      </c>
      <c r="E720" s="29">
        <f>Cours_Hist_figé!E784/Cours_Hist_figé!E720 - 1</f>
        <v>-8.8741406263626033E-4</v>
      </c>
    </row>
    <row r="721" spans="1:5" x14ac:dyDescent="0.4">
      <c r="A721" s="27">
        <v>43136</v>
      </c>
      <c r="B721" s="29">
        <f>Cours_Hist_figé!B785/Cours_Hist_figé!B721 - 1</f>
        <v>-3.1091731737575734E-2</v>
      </c>
      <c r="C721" s="29">
        <f>Cours_Hist_figé!C785/Cours_Hist_figé!C721 - 1</f>
        <v>-1.0681514490879618E-2</v>
      </c>
      <c r="D721" s="29">
        <f>Cours_Hist_figé!D785/Cours_Hist_figé!D721 - 1</f>
        <v>-9.0789307075234138E-4</v>
      </c>
      <c r="E721" s="29">
        <f>Cours_Hist_figé!E785/Cours_Hist_figé!E721 - 1</f>
        <v>-9.078930707524524E-4</v>
      </c>
    </row>
    <row r="722" spans="1:5" x14ac:dyDescent="0.4">
      <c r="A722" s="27">
        <v>43137</v>
      </c>
      <c r="B722" s="29">
        <f>Cours_Hist_figé!B786/Cours_Hist_figé!B722 - 1</f>
        <v>-5.7064895923006453E-2</v>
      </c>
      <c r="C722" s="29">
        <f>Cours_Hist_figé!C786/Cours_Hist_figé!C722 - 1</f>
        <v>-8.6032771454264134E-3</v>
      </c>
      <c r="D722" s="29">
        <f>Cours_Hist_figé!D786/Cours_Hist_figé!D722 - 1</f>
        <v>-9.0829959992488885E-4</v>
      </c>
      <c r="E722" s="29">
        <f>Cours_Hist_figé!E786/Cours_Hist_figé!E722 - 1</f>
        <v>-9.0829959992488885E-4</v>
      </c>
    </row>
    <row r="723" spans="1:5" x14ac:dyDescent="0.4">
      <c r="A723" s="27">
        <v>43138</v>
      </c>
      <c r="B723" s="29">
        <f>Cours_Hist_figé!B787/Cours_Hist_figé!B723 - 1</f>
        <v>-4.0288288091853808E-2</v>
      </c>
      <c r="C723" s="29">
        <f>Cours_Hist_figé!C787/Cours_Hist_figé!C723 - 1</f>
        <v>-1.0398326739119668E-2</v>
      </c>
      <c r="D723" s="29">
        <f>Cours_Hist_figé!D787/Cours_Hist_figé!D723 - 1</f>
        <v>-8.8911687345660795E-4</v>
      </c>
      <c r="E723" s="29">
        <f>Cours_Hist_figé!E787/Cours_Hist_figé!E723 - 1</f>
        <v>-8.8911687345671897E-4</v>
      </c>
    </row>
    <row r="724" spans="1:5" x14ac:dyDescent="0.4">
      <c r="A724" s="27">
        <v>43139</v>
      </c>
      <c r="B724" s="29">
        <f>Cours_Hist_figé!B788/Cours_Hist_figé!B724 - 1</f>
        <v>-5.0765664345752359E-2</v>
      </c>
      <c r="C724" s="29">
        <f>Cours_Hist_figé!C788/Cours_Hist_figé!C724 - 1</f>
        <v>-1.3959980829617802E-2</v>
      </c>
      <c r="D724" s="29">
        <f>Cours_Hist_figé!D788/Cours_Hist_figé!D724 - 1</f>
        <v>-8.8940853430086175E-4</v>
      </c>
      <c r="E724" s="29">
        <f>Cours_Hist_figé!E788/Cours_Hist_figé!E724 - 1</f>
        <v>-8.8940853430097278E-4</v>
      </c>
    </row>
    <row r="725" spans="1:5" x14ac:dyDescent="0.4">
      <c r="A725" s="27">
        <v>43140</v>
      </c>
      <c r="B725" s="29">
        <f>Cours_Hist_figé!B789/Cours_Hist_figé!B725 - 1</f>
        <v>-6.4668912298899817E-2</v>
      </c>
      <c r="C725" s="29">
        <f>Cours_Hist_figé!C789/Cours_Hist_figé!C725 - 1</f>
        <v>-1.3480852055962722E-2</v>
      </c>
      <c r="D725" s="29">
        <f>Cours_Hist_figé!D789/Cours_Hist_figé!D725 - 1</f>
        <v>-8.8961616311100666E-4</v>
      </c>
      <c r="E725" s="29">
        <f>Cours_Hist_figé!E789/Cours_Hist_figé!E725 - 1</f>
        <v>-8.8961616311111769E-4</v>
      </c>
    </row>
    <row r="726" spans="1:5" x14ac:dyDescent="0.4">
      <c r="A726" s="27">
        <v>43143</v>
      </c>
      <c r="B726" s="29">
        <f>Cours_Hist_figé!B790/Cours_Hist_figé!B726 - 1</f>
        <v>-4.3394789137184198E-2</v>
      </c>
      <c r="C726" s="29">
        <f>Cours_Hist_figé!C790/Cours_Hist_figé!C726 - 1</f>
        <v>-9.5694451012248161E-3</v>
      </c>
      <c r="D726" s="29">
        <f>Cours_Hist_figé!D790/Cours_Hist_figé!D726 - 1</f>
        <v>-9.1008913119650092E-4</v>
      </c>
      <c r="E726" s="29">
        <f>Cours_Hist_figé!E790/Cours_Hist_figé!E726 - 1</f>
        <v>-9.1008913119650092E-4</v>
      </c>
    </row>
    <row r="727" spans="1:5" x14ac:dyDescent="0.4">
      <c r="A727" s="27">
        <v>43144</v>
      </c>
      <c r="B727" s="29">
        <f>Cours_Hist_figé!B791/Cours_Hist_figé!B727 - 1</f>
        <v>-4.5886162415795351E-2</v>
      </c>
      <c r="C727" s="29">
        <f>Cours_Hist_figé!C791/Cours_Hist_figé!C727 - 1</f>
        <v>-9.3671523158607162E-3</v>
      </c>
      <c r="D727" s="29">
        <f>Cours_Hist_figé!D791/Cours_Hist_figé!D727 - 1</f>
        <v>-9.1029696876632205E-4</v>
      </c>
      <c r="E727" s="29">
        <f>Cours_Hist_figé!E791/Cours_Hist_figé!E727 - 1</f>
        <v>-9.1029696876621102E-4</v>
      </c>
    </row>
    <row r="728" spans="1:5" x14ac:dyDescent="0.4">
      <c r="A728" s="27">
        <v>43145</v>
      </c>
      <c r="B728" s="29">
        <f>Cours_Hist_figé!B792/Cours_Hist_figé!B728 - 1</f>
        <v>-2.9945513368632604E-2</v>
      </c>
      <c r="C728" s="29">
        <f>Cours_Hist_figé!C792/Cours_Hist_figé!C728 - 1</f>
        <v>-9.6828551901877447E-3</v>
      </c>
      <c r="D728" s="29">
        <f>Cours_Hist_figé!D792/Cours_Hist_figé!D728 - 1</f>
        <v>-8.9071557000808266E-4</v>
      </c>
      <c r="E728" s="29">
        <f>Cours_Hist_figé!E792/Cours_Hist_figé!E728 - 1</f>
        <v>-8.9071557000808266E-4</v>
      </c>
    </row>
    <row r="729" spans="1:5" x14ac:dyDescent="0.4">
      <c r="A729" s="27">
        <v>43146</v>
      </c>
      <c r="B729" s="29">
        <f>Cours_Hist_figé!B793/Cours_Hist_figé!B729 - 1</f>
        <v>-1.8092772410339242E-2</v>
      </c>
      <c r="C729" s="29">
        <f>Cours_Hist_figé!C793/Cours_Hist_figé!C729 - 1</f>
        <v>-1.0928247543369407E-2</v>
      </c>
      <c r="D729" s="29">
        <f>Cours_Hist_figé!D793/Cours_Hist_figé!D729 - 1</f>
        <v>-8.9090793555424153E-4</v>
      </c>
      <c r="E729" s="29">
        <f>Cours_Hist_figé!E793/Cours_Hist_figé!E729 - 1</f>
        <v>-8.9090793555424153E-4</v>
      </c>
    </row>
    <row r="730" spans="1:5" x14ac:dyDescent="0.4">
      <c r="A730" s="27">
        <v>43147</v>
      </c>
      <c r="B730" s="29">
        <f>Cours_Hist_figé!B794/Cours_Hist_figé!B730 - 1</f>
        <v>-2.5348345359542668E-3</v>
      </c>
      <c r="C730" s="29">
        <f>Cours_Hist_figé!C794/Cours_Hist_figé!C730 - 1</f>
        <v>-8.958710670150194E-3</v>
      </c>
      <c r="D730" s="29">
        <f>Cours_Hist_figé!D794/Cours_Hist_figé!D730 - 1</f>
        <v>-8.9110794584423836E-4</v>
      </c>
      <c r="E730" s="29">
        <f>Cours_Hist_figé!E794/Cours_Hist_figé!E730 - 1</f>
        <v>-8.9110794584423836E-4</v>
      </c>
    </row>
    <row r="731" spans="1:5" x14ac:dyDescent="0.4">
      <c r="A731" s="27">
        <v>43150</v>
      </c>
      <c r="B731" s="29">
        <f>Cours_Hist_figé!B795/Cours_Hist_figé!B731 - 1</f>
        <v>-1.6121133255093789E-2</v>
      </c>
      <c r="C731" s="29">
        <f>Cours_Hist_figé!C795/Cours_Hist_figé!C731 - 1</f>
        <v>-1.0600035505770933E-2</v>
      </c>
      <c r="D731" s="29">
        <f>Cours_Hist_figé!D795/Cours_Hist_figé!D731 - 1</f>
        <v>-9.1168941710662033E-4</v>
      </c>
      <c r="E731" s="29">
        <f>Cours_Hist_figé!E795/Cours_Hist_figé!E731 - 1</f>
        <v>-9.1168941710662033E-4</v>
      </c>
    </row>
    <row r="732" spans="1:5" x14ac:dyDescent="0.4">
      <c r="A732" s="27">
        <v>43151</v>
      </c>
      <c r="B732" s="29">
        <f>Cours_Hist_figé!B796/Cours_Hist_figé!B732 - 1</f>
        <v>-7.196394484390467E-3</v>
      </c>
      <c r="C732" s="29">
        <f>Cours_Hist_figé!C796/Cours_Hist_figé!C732 - 1</f>
        <v>-1.1275748809606245E-2</v>
      </c>
      <c r="D732" s="29">
        <f>Cours_Hist_figé!D796/Cours_Hist_figé!D732 - 1</f>
        <v>-9.119967076098856E-4</v>
      </c>
      <c r="E732" s="29">
        <f>Cours_Hist_figé!E796/Cours_Hist_figé!E732 - 1</f>
        <v>-9.119967076098856E-4</v>
      </c>
    </row>
    <row r="733" spans="1:5" x14ac:dyDescent="0.4">
      <c r="A733" s="27">
        <v>43152</v>
      </c>
      <c r="B733" s="29">
        <f>Cours_Hist_figé!B797/Cours_Hist_figé!B733 - 1</f>
        <v>-1.2236995687556429E-2</v>
      </c>
      <c r="C733" s="29">
        <f>Cours_Hist_figé!C797/Cours_Hist_figé!C733 - 1</f>
        <v>-1.1733806446811323E-2</v>
      </c>
      <c r="D733" s="29">
        <f>Cours_Hist_figé!D797/Cours_Hist_figé!D733 - 1</f>
        <v>-8.9230710587273609E-4</v>
      </c>
      <c r="E733" s="29">
        <f>Cours_Hist_figé!E797/Cours_Hist_figé!E733 - 1</f>
        <v>-8.9230710587273609E-4</v>
      </c>
    </row>
    <row r="734" spans="1:5" x14ac:dyDescent="0.4">
      <c r="A734" s="27">
        <v>43153</v>
      </c>
      <c r="B734" s="29">
        <f>Cours_Hist_figé!B798/Cours_Hist_figé!B734 - 1</f>
        <v>-1.7509338576824574E-2</v>
      </c>
      <c r="C734" s="29">
        <f>Cours_Hist_figé!C798/Cours_Hist_figé!C734 - 1</f>
        <v>-1.3137187137295059E-2</v>
      </c>
      <c r="D734" s="29">
        <f>Cours_Hist_figé!D798/Cours_Hist_figé!D734 - 1</f>
        <v>-8.9260656858014542E-4</v>
      </c>
      <c r="E734" s="29">
        <f>Cours_Hist_figé!E798/Cours_Hist_figé!E734 - 1</f>
        <v>-8.926065685800344E-4</v>
      </c>
    </row>
    <row r="735" spans="1:5" x14ac:dyDescent="0.4">
      <c r="A735" s="27">
        <v>43154</v>
      </c>
      <c r="B735" s="29">
        <f>Cours_Hist_figé!B799/Cours_Hist_figé!B735 - 1</f>
        <v>-1.2748789346528566E-2</v>
      </c>
      <c r="C735" s="29">
        <f>Cours_Hist_figé!C799/Cours_Hist_figé!C735 - 1</f>
        <v>-1.1224571328123711E-2</v>
      </c>
      <c r="D735" s="29">
        <f>Cours_Hist_figé!D799/Cours_Hist_figé!D735 - 1</f>
        <v>-8.9280670518010474E-4</v>
      </c>
      <c r="E735" s="29">
        <f>Cours_Hist_figé!E799/Cours_Hist_figé!E735 - 1</f>
        <v>-8.928067051798827E-4</v>
      </c>
    </row>
    <row r="736" spans="1:5" x14ac:dyDescent="0.4">
      <c r="A736" s="27">
        <v>43157</v>
      </c>
      <c r="B736" s="29">
        <f>Cours_Hist_figé!B800/Cours_Hist_figé!B736 - 1</f>
        <v>-7.8878482764779267E-3</v>
      </c>
      <c r="C736" s="29">
        <f>Cours_Hist_figé!C800/Cours_Hist_figé!C736 - 1</f>
        <v>-1.0177722566758307E-2</v>
      </c>
      <c r="D736" s="29">
        <f>Cours_Hist_figé!D800/Cours_Hist_figé!D736 - 1</f>
        <v>-9.1358847616695993E-4</v>
      </c>
      <c r="E736" s="29">
        <f>Cours_Hist_figé!E800/Cours_Hist_figé!E736 - 1</f>
        <v>-9.1358847616707095E-4</v>
      </c>
    </row>
    <row r="737" spans="1:5" x14ac:dyDescent="0.4">
      <c r="A737" s="27">
        <v>43158</v>
      </c>
      <c r="B737" s="29">
        <f>Cours_Hist_figé!B801/Cours_Hist_figé!B737 - 1</f>
        <v>-8.4646859227094362E-3</v>
      </c>
      <c r="C737" s="29">
        <f>Cours_Hist_figé!C801/Cours_Hist_figé!C737 - 1</f>
        <v>-9.6358997866421436E-3</v>
      </c>
      <c r="D737" s="29">
        <f>Cours_Hist_figé!D801/Cours_Hist_figé!D737 - 1</f>
        <v>-9.1389589772106206E-4</v>
      </c>
      <c r="E737" s="29">
        <f>Cours_Hist_figé!E801/Cours_Hist_figé!E737 - 1</f>
        <v>-9.1389589772095103E-4</v>
      </c>
    </row>
    <row r="738" spans="1:5" x14ac:dyDescent="0.4">
      <c r="A738" s="27">
        <v>43159</v>
      </c>
      <c r="B738" s="29">
        <f>Cours_Hist_figé!B802/Cours_Hist_figé!B738 - 1</f>
        <v>-1.0804799159309542E-2</v>
      </c>
      <c r="C738" s="29">
        <f>Cours_Hist_figé!C802/Cours_Hist_figé!C738 - 1</f>
        <v>-9.7910551751607677E-3</v>
      </c>
      <c r="D738" s="29">
        <f>Cours_Hist_figé!D802/Cours_Hist_figé!D738 - 1</f>
        <v>-8.9400611518108963E-4</v>
      </c>
      <c r="E738" s="29">
        <f>Cours_Hist_figé!E802/Cours_Hist_figé!E738 - 1</f>
        <v>-8.9400611518131168E-4</v>
      </c>
    </row>
    <row r="739" spans="1:5" x14ac:dyDescent="0.4">
      <c r="A739" s="27">
        <v>43160</v>
      </c>
      <c r="B739" s="29">
        <f>Cours_Hist_figé!B803/Cours_Hist_figé!B739 - 1</f>
        <v>-2.8657983049460101E-2</v>
      </c>
      <c r="C739" s="29">
        <f>Cours_Hist_figé!C803/Cours_Hist_figé!C739 - 1</f>
        <v>-9.0435204945058523E-3</v>
      </c>
      <c r="D739" s="29">
        <f>Cours_Hist_figé!D803/Cours_Hist_figé!D739 - 1</f>
        <v>-8.9360975822982969E-4</v>
      </c>
      <c r="E739" s="29">
        <f>Cours_Hist_figé!E803/Cours_Hist_figé!E739 - 1</f>
        <v>-8.9360975822960764E-4</v>
      </c>
    </row>
    <row r="740" spans="1:5" x14ac:dyDescent="0.4">
      <c r="A740" s="27">
        <v>43161</v>
      </c>
      <c r="B740" s="29">
        <f>Cours_Hist_figé!B804/Cours_Hist_figé!B740 - 1</f>
        <v>-5.1301029333833292E-2</v>
      </c>
      <c r="C740" s="29">
        <f>Cours_Hist_figé!C804/Cours_Hist_figé!C740 - 1</f>
        <v>-7.251397108646529E-3</v>
      </c>
      <c r="D740" s="29">
        <f>Cours_Hist_figé!D804/Cours_Hist_figé!D740 - 1</f>
        <v>-8.9350405510379982E-4</v>
      </c>
      <c r="E740" s="29">
        <f>Cours_Hist_figé!E804/Cours_Hist_figé!E740 - 1</f>
        <v>-8.935040551036888E-4</v>
      </c>
    </row>
    <row r="741" spans="1:5" x14ac:dyDescent="0.4">
      <c r="A741" s="27">
        <v>43164</v>
      </c>
      <c r="B741" s="29">
        <f>Cours_Hist_figé!B805/Cours_Hist_figé!B741 - 1</f>
        <v>-3.8000118278883943E-2</v>
      </c>
      <c r="C741" s="29">
        <f>Cours_Hist_figé!C805/Cours_Hist_figé!C741 - 1</f>
        <v>-8.6486408707636686E-3</v>
      </c>
      <c r="D741" s="29">
        <f>Cours_Hist_figé!D805/Cours_Hist_figé!D741 - 1</f>
        <v>-9.152879203625508E-4</v>
      </c>
      <c r="E741" s="29">
        <f>Cours_Hist_figé!E805/Cours_Hist_figé!E741 - 1</f>
        <v>-9.1528792036243978E-4</v>
      </c>
    </row>
    <row r="742" spans="1:5" x14ac:dyDescent="0.4">
      <c r="A742" s="27">
        <v>43165</v>
      </c>
      <c r="B742" s="29">
        <f>Cours_Hist_figé!B806/Cours_Hist_figé!B742 - 1</f>
        <v>-2.9628417319828904E-2</v>
      </c>
      <c r="C742" s="29">
        <f>Cours_Hist_figé!C806/Cours_Hist_figé!C742 - 1</f>
        <v>-1.3598214303492728E-2</v>
      </c>
      <c r="D742" s="29">
        <f>Cours_Hist_figé!D806/Cours_Hist_figé!D742 - 1</f>
        <v>-9.1868252973426046E-4</v>
      </c>
      <c r="E742" s="29">
        <f>Cours_Hist_figé!E806/Cours_Hist_figé!E742 - 1</f>
        <v>-9.1868252973414943E-4</v>
      </c>
    </row>
    <row r="743" spans="1:5" x14ac:dyDescent="0.4">
      <c r="A743" s="27">
        <v>43166</v>
      </c>
      <c r="B743" s="29">
        <f>Cours_Hist_figé!B807/Cours_Hist_figé!B743 - 1</f>
        <v>-3.5311951358470095E-2</v>
      </c>
      <c r="C743" s="29">
        <f>Cours_Hist_figé!C807/Cours_Hist_figé!C743 - 1</f>
        <v>-1.1028350412695787E-2</v>
      </c>
      <c r="D743" s="29">
        <f>Cours_Hist_figé!D807/Cours_Hist_figé!D743 - 1</f>
        <v>-9.0459979303336713E-4</v>
      </c>
      <c r="E743" s="29">
        <f>Cours_Hist_figé!E807/Cours_Hist_figé!E743 - 1</f>
        <v>-9.0459979303325611E-4</v>
      </c>
    </row>
    <row r="744" spans="1:5" x14ac:dyDescent="0.4">
      <c r="A744" s="27">
        <v>43167</v>
      </c>
      <c r="B744" s="29">
        <f>Cours_Hist_figé!B808/Cours_Hist_figé!B744 - 1</f>
        <v>-2.3530583661064974E-2</v>
      </c>
      <c r="C744" s="29">
        <f>Cours_Hist_figé!C808/Cours_Hist_figé!C744 - 1</f>
        <v>-9.9375927304136136E-3</v>
      </c>
      <c r="D744" s="29">
        <f>Cours_Hist_figé!D808/Cours_Hist_figé!D744 - 1</f>
        <v>-9.0580111311377998E-4</v>
      </c>
      <c r="E744" s="29">
        <f>Cours_Hist_figé!E808/Cours_Hist_figé!E744 - 1</f>
        <v>-9.0580111311366895E-4</v>
      </c>
    </row>
    <row r="745" spans="1:5" x14ac:dyDescent="0.4">
      <c r="A745" s="27">
        <v>43168</v>
      </c>
      <c r="B745" s="29">
        <f>Cours_Hist_figé!B809/Cours_Hist_figé!B745 - 1</f>
        <v>-1.9327785081920235E-2</v>
      </c>
      <c r="C745" s="29">
        <f>Cours_Hist_figé!C809/Cours_Hist_figé!C745 - 1</f>
        <v>-1.2063630306074713E-2</v>
      </c>
      <c r="D745" s="29">
        <f>Cours_Hist_figé!D809/Cours_Hist_figé!D745 - 1</f>
        <v>-9.0679602186205521E-4</v>
      </c>
      <c r="E745" s="29">
        <f>Cours_Hist_figé!E809/Cours_Hist_figé!E745 - 1</f>
        <v>-9.0679602186216623E-4</v>
      </c>
    </row>
    <row r="746" spans="1:5" x14ac:dyDescent="0.4">
      <c r="A746" s="27">
        <v>43171</v>
      </c>
      <c r="B746" s="29">
        <f>Cours_Hist_figé!B810/Cours_Hist_figé!B746 - 1</f>
        <v>-1.704865718784665E-2</v>
      </c>
      <c r="C746" s="29">
        <f>Cours_Hist_figé!C810/Cours_Hist_figé!C746 - 1</f>
        <v>-1.1314111108016611E-2</v>
      </c>
      <c r="D746" s="29">
        <f>Cours_Hist_figé!D810/Cours_Hist_figé!D746 - 1</f>
        <v>-9.2777871231242148E-4</v>
      </c>
      <c r="E746" s="29">
        <f>Cours_Hist_figé!E810/Cours_Hist_figé!E746 - 1</f>
        <v>-9.2777871231242148E-4</v>
      </c>
    </row>
    <row r="747" spans="1:5" x14ac:dyDescent="0.4">
      <c r="A747" s="27">
        <v>43172</v>
      </c>
      <c r="B747" s="29">
        <f>Cours_Hist_figé!B811/Cours_Hist_figé!B747 - 1</f>
        <v>-3.3776136681354929E-2</v>
      </c>
      <c r="C747" s="29">
        <f>Cours_Hist_figé!C811/Cours_Hist_figé!C747 - 1</f>
        <v>-1.0588184261308475E-2</v>
      </c>
      <c r="D747" s="29">
        <f>Cours_Hist_figé!D811/Cours_Hist_figé!D747 - 1</f>
        <v>-9.28781578690141E-4</v>
      </c>
      <c r="E747" s="29">
        <f>Cours_Hist_figé!E811/Cours_Hist_figé!E747 - 1</f>
        <v>-9.2878157869036304E-4</v>
      </c>
    </row>
    <row r="748" spans="1:5" x14ac:dyDescent="0.4">
      <c r="A748" s="27">
        <v>43173</v>
      </c>
      <c r="B748" s="29">
        <f>Cours_Hist_figé!B812/Cours_Hist_figé!B748 - 1</f>
        <v>-3.486654737234296E-2</v>
      </c>
      <c r="C748" s="29">
        <f>Cours_Hist_figé!C812/Cours_Hist_figé!C748 - 1</f>
        <v>-1.0023809182768906E-2</v>
      </c>
      <c r="D748" s="29">
        <f>Cours_Hist_figé!D812/Cours_Hist_figé!D748 - 1</f>
        <v>-9.1149597873807497E-4</v>
      </c>
      <c r="E748" s="29">
        <f>Cours_Hist_figé!E812/Cours_Hist_figé!E748 - 1</f>
        <v>-9.1149597873829702E-4</v>
      </c>
    </row>
    <row r="749" spans="1:5" x14ac:dyDescent="0.4">
      <c r="A749" s="27">
        <v>43174</v>
      </c>
      <c r="B749" s="29">
        <f>Cours_Hist_figé!B813/Cours_Hist_figé!B749 - 1</f>
        <v>-3.6147188829961818E-2</v>
      </c>
      <c r="C749" s="29">
        <f>Cours_Hist_figé!C813/Cours_Hist_figé!C749 - 1</f>
        <v>-7.7630604584502105E-3</v>
      </c>
      <c r="D749" s="29">
        <f>Cours_Hist_figé!D813/Cours_Hist_figé!D749 - 1</f>
        <v>-9.1239172883139652E-4</v>
      </c>
      <c r="E749" s="29">
        <f>Cours_Hist_figé!E813/Cours_Hist_figé!E749 - 1</f>
        <v>-9.1239172883139652E-4</v>
      </c>
    </row>
    <row r="750" spans="1:5" x14ac:dyDescent="0.4">
      <c r="A750" s="27">
        <v>43175</v>
      </c>
      <c r="B750" s="29">
        <f>Cours_Hist_figé!B814/Cours_Hist_figé!B750 - 1</f>
        <v>-3.1003628103722147E-2</v>
      </c>
      <c r="C750" s="29">
        <f>Cours_Hist_figé!C814/Cours_Hist_figé!C750 - 1</f>
        <v>-6.5511851733059956E-3</v>
      </c>
      <c r="D750" s="29">
        <f>Cours_Hist_figé!D814/Cours_Hist_figé!D750 - 1</f>
        <v>-9.1298951861651378E-4</v>
      </c>
      <c r="E750" s="29">
        <f>Cours_Hist_figé!E814/Cours_Hist_figé!E750 - 1</f>
        <v>-9.1298951861662481E-4</v>
      </c>
    </row>
    <row r="751" spans="1:5" x14ac:dyDescent="0.4">
      <c r="A751" s="27">
        <v>43178</v>
      </c>
      <c r="B751" s="29">
        <f>Cours_Hist_figé!B815/Cours_Hist_figé!B751 - 1</f>
        <v>-3.7052021063465501E-2</v>
      </c>
      <c r="C751" s="29">
        <f>Cours_Hist_figé!C815/Cours_Hist_figé!C751 - 1</f>
        <v>-6.2220030804840398E-3</v>
      </c>
      <c r="D751" s="29">
        <f>Cours_Hist_figé!D815/Cours_Hist_figé!D751 - 1</f>
        <v>-9.3346957156947852E-4</v>
      </c>
      <c r="E751" s="29">
        <f>Cours_Hist_figé!E815/Cours_Hist_figé!E751 - 1</f>
        <v>-9.3346957156958954E-4</v>
      </c>
    </row>
    <row r="752" spans="1:5" x14ac:dyDescent="0.4">
      <c r="A752" s="27">
        <v>43179</v>
      </c>
      <c r="B752" s="29">
        <f>Cours_Hist_figé!B816/Cours_Hist_figé!B752 - 1</f>
        <v>-3.0355798149179103E-2</v>
      </c>
      <c r="C752" s="29">
        <f>Cours_Hist_figé!C816/Cours_Hist_figé!C752 - 1</f>
        <v>-6.4384304407110182E-3</v>
      </c>
      <c r="D752" s="29">
        <f>Cours_Hist_figé!D816/Cours_Hist_figé!D752 - 1</f>
        <v>-9.3357844631614118E-4</v>
      </c>
      <c r="E752" s="29">
        <f>Cours_Hist_figé!E816/Cours_Hist_figé!E752 - 1</f>
        <v>-9.3357844631614118E-4</v>
      </c>
    </row>
    <row r="753" spans="1:5" x14ac:dyDescent="0.4">
      <c r="A753" s="27">
        <v>43180</v>
      </c>
      <c r="B753" s="29">
        <f>Cours_Hist_figé!B817/Cours_Hist_figé!B753 - 1</f>
        <v>-4.271548331531605E-2</v>
      </c>
      <c r="C753" s="29">
        <f>Cours_Hist_figé!C817/Cours_Hist_figé!C753 - 1</f>
        <v>-7.5193484506890229E-3</v>
      </c>
      <c r="D753" s="29">
        <f>Cours_Hist_figé!D817/Cours_Hist_figé!D753 - 1</f>
        <v>-9.1359390116907413E-4</v>
      </c>
      <c r="E753" s="29">
        <f>Cours_Hist_figé!E817/Cours_Hist_figé!E753 - 1</f>
        <v>-9.1359390116907413E-4</v>
      </c>
    </row>
    <row r="754" spans="1:5" x14ac:dyDescent="0.4">
      <c r="A754" s="27">
        <v>43181</v>
      </c>
      <c r="B754" s="29">
        <f>Cours_Hist_figé!B818/Cours_Hist_figé!B754 - 1</f>
        <v>-5.3016553418214873E-2</v>
      </c>
      <c r="C754" s="29">
        <f>Cours_Hist_figé!C818/Cours_Hist_figé!C754 - 1</f>
        <v>-3.1969974632084508E-4</v>
      </c>
      <c r="D754" s="29">
        <f>Cours_Hist_figé!D818/Cours_Hist_figé!D754 - 1</f>
        <v>-9.1389365301242087E-4</v>
      </c>
      <c r="E754" s="29">
        <f>Cours_Hist_figé!E818/Cours_Hist_figé!E754 - 1</f>
        <v>-9.1389365301230985E-4</v>
      </c>
    </row>
    <row r="755" spans="1:5" x14ac:dyDescent="0.4">
      <c r="A755" s="27">
        <v>43182</v>
      </c>
      <c r="B755" s="29">
        <f>Cours_Hist_figé!B819/Cours_Hist_figé!B755 - 1</f>
        <v>-5.4922930457749763E-2</v>
      </c>
      <c r="C755" s="29">
        <f>Cours_Hist_figé!C819/Cours_Hist_figé!C755 - 1</f>
        <v>1.793598233995608E-3</v>
      </c>
      <c r="D755" s="29">
        <f>Cours_Hist_figé!D819/Cours_Hist_figé!D755 - 1</f>
        <v>-9.1439213624588955E-4</v>
      </c>
      <c r="E755" s="29">
        <f>Cours_Hist_figé!E819/Cours_Hist_figé!E755 - 1</f>
        <v>-9.143921362461116E-4</v>
      </c>
    </row>
    <row r="756" spans="1:5" x14ac:dyDescent="0.4">
      <c r="A756" s="27">
        <v>43185</v>
      </c>
      <c r="B756" s="29">
        <f>Cours_Hist_figé!B820/Cours_Hist_figé!B756 - 1</f>
        <v>-6.715360848368479E-2</v>
      </c>
      <c r="C756" s="29">
        <f>Cours_Hist_figé!C820/Cours_Hist_figé!C756 - 1</f>
        <v>1.5104152880016652E-3</v>
      </c>
      <c r="D756" s="29">
        <f>Cours_Hist_figé!D820/Cours_Hist_figé!D756 - 1</f>
        <v>-9.3497299646072562E-4</v>
      </c>
      <c r="E756" s="29">
        <f>Cours_Hist_figé!E820/Cours_Hist_figé!E756 - 1</f>
        <v>-9.3497299646083665E-4</v>
      </c>
    </row>
    <row r="757" spans="1:5" x14ac:dyDescent="0.4">
      <c r="A757" s="27">
        <v>43186</v>
      </c>
      <c r="B757" s="29">
        <f>Cours_Hist_figé!B821/Cours_Hist_figé!B757 - 1</f>
        <v>-5.4626211883600173E-2</v>
      </c>
      <c r="C757" s="29">
        <f>Cours_Hist_figé!C821/Cours_Hist_figé!C757 - 1</f>
        <v>3.149612614491204E-3</v>
      </c>
      <c r="D757" s="29">
        <f>Cours_Hist_figé!D821/Cours_Hist_figé!D757 - 1</f>
        <v>-9.3537233138130116E-4</v>
      </c>
      <c r="E757" s="29">
        <f>Cours_Hist_figé!E821/Cours_Hist_figé!E757 - 1</f>
        <v>-9.3537233138130116E-4</v>
      </c>
    </row>
    <row r="758" spans="1:5" x14ac:dyDescent="0.4">
      <c r="A758" s="27">
        <v>43187</v>
      </c>
      <c r="B758" s="29">
        <f>Cours_Hist_figé!B822/Cours_Hist_figé!B758 - 1</f>
        <v>-5.0374902486670425E-2</v>
      </c>
      <c r="C758" s="29">
        <f>Cours_Hist_figé!C822/Cours_Hist_figé!C758 - 1</f>
        <v>2.2786616097389967E-3</v>
      </c>
      <c r="D758" s="29">
        <f>Cours_Hist_figé!D822/Cours_Hist_figé!D758 - 1</f>
        <v>-8.9660562802496013E-4</v>
      </c>
      <c r="E758" s="29">
        <f>Cours_Hist_figé!E822/Cours_Hist_figé!E758 - 1</f>
        <v>-8.9660562802484911E-4</v>
      </c>
    </row>
    <row r="759" spans="1:5" x14ac:dyDescent="0.4">
      <c r="A759" s="27">
        <v>43188</v>
      </c>
      <c r="B759" s="29">
        <f>Cours_Hist_figé!B823/Cours_Hist_figé!B759 - 1</f>
        <v>-4.3760357856737264E-2</v>
      </c>
      <c r="C759" s="29">
        <f>Cours_Hist_figé!C823/Cours_Hist_figé!C759 - 1</f>
        <v>5.9519387571120852E-3</v>
      </c>
      <c r="D759" s="29">
        <f>Cours_Hist_figé!D823/Cours_Hist_figé!D759 - 1</f>
        <v>-8.9680577668527217E-4</v>
      </c>
      <c r="E759" s="29">
        <f>Cours_Hist_figé!E823/Cours_Hist_figé!E759 - 1</f>
        <v>-8.9680577668516115E-4</v>
      </c>
    </row>
    <row r="760" spans="1:5" x14ac:dyDescent="0.4">
      <c r="A760" s="27">
        <v>43189</v>
      </c>
      <c r="B760" s="29">
        <f>Cours_Hist_figé!B824/Cours_Hist_figé!B760 - 1</f>
        <v>-4.2998725806257965E-2</v>
      </c>
      <c r="C760" s="29">
        <f>Cours_Hist_figé!C824/Cours_Hist_figé!C760 - 1</f>
        <v>7.3248201466331597E-3</v>
      </c>
      <c r="D760" s="29">
        <f>Cours_Hist_figé!D824/Cours_Hist_figé!D760 - 1</f>
        <v>-9.3516890621425652E-4</v>
      </c>
      <c r="E760" s="29">
        <f>Cours_Hist_figé!E824/Cours_Hist_figé!E760 - 1</f>
        <v>-9.3516890621425652E-4</v>
      </c>
    </row>
    <row r="761" spans="1:5" x14ac:dyDescent="0.4">
      <c r="A761" s="27">
        <v>43192</v>
      </c>
      <c r="B761" s="29">
        <f>Cours_Hist_figé!B825/Cours_Hist_figé!B761 - 1</f>
        <v>-4.0458099399660385E-2</v>
      </c>
      <c r="C761" s="29">
        <f>Cours_Hist_figé!C825/Cours_Hist_figé!C761 - 1</f>
        <v>9.6243741718760045E-3</v>
      </c>
      <c r="D761" s="29">
        <f>Cours_Hist_figé!D825/Cours_Hist_figé!D761 - 1</f>
        <v>-8.9680318700335881E-4</v>
      </c>
      <c r="E761" s="29">
        <f>Cours_Hist_figé!E825/Cours_Hist_figé!E761 - 1</f>
        <v>-8.9680318700346984E-4</v>
      </c>
    </row>
    <row r="762" spans="1:5" x14ac:dyDescent="0.4">
      <c r="A762" s="27">
        <v>43193</v>
      </c>
      <c r="B762" s="29">
        <f>Cours_Hist_figé!B826/Cours_Hist_figé!B762 - 1</f>
        <v>-4.9795680954404564E-2</v>
      </c>
      <c r="C762" s="29">
        <f>Cours_Hist_figé!C826/Cours_Hist_figé!C762 - 1</f>
        <v>7.3980936440045664E-3</v>
      </c>
      <c r="D762" s="29">
        <f>Cours_Hist_figé!D826/Cours_Hist_figé!D762 - 1</f>
        <v>-8.865137323358363E-4</v>
      </c>
      <c r="E762" s="29">
        <f>Cours_Hist_figé!E826/Cours_Hist_figé!E762 - 1</f>
        <v>-8.8651373233605835E-4</v>
      </c>
    </row>
    <row r="763" spans="1:5" x14ac:dyDescent="0.4">
      <c r="A763" s="27">
        <v>43194</v>
      </c>
      <c r="B763" s="29">
        <f>Cours_Hist_figé!B827/Cours_Hist_figé!B763 - 1</f>
        <v>-6.2148650099235536E-2</v>
      </c>
      <c r="C763" s="29">
        <f>Cours_Hist_figé!C827/Cours_Hist_figé!C763 - 1</f>
        <v>7.7194387456243074E-3</v>
      </c>
      <c r="D763" s="29">
        <f>Cours_Hist_figé!D827/Cours_Hist_figé!D763 - 1</f>
        <v>-8.8671379478788559E-4</v>
      </c>
      <c r="E763" s="29">
        <f>Cours_Hist_figé!E827/Cours_Hist_figé!E763 - 1</f>
        <v>-8.8671379478799661E-4</v>
      </c>
    </row>
    <row r="764" spans="1:5" x14ac:dyDescent="0.4">
      <c r="A764" s="27">
        <v>43195</v>
      </c>
      <c r="B764" s="29">
        <f>Cours_Hist_figé!B828/Cours_Hist_figé!B764 - 1</f>
        <v>-4.7948544217945699E-2</v>
      </c>
      <c r="C764" s="29">
        <f>Cours_Hist_figé!C828/Cours_Hist_figé!C764 - 1</f>
        <v>5.3836855480773327E-3</v>
      </c>
      <c r="D764" s="29">
        <f>Cours_Hist_figé!D828/Cours_Hist_figé!D764 - 1</f>
        <v>-8.8691386120176574E-4</v>
      </c>
      <c r="E764" s="29">
        <f>Cours_Hist_figé!E828/Cours_Hist_figé!E764 - 1</f>
        <v>-8.8691386120198779E-4</v>
      </c>
    </row>
    <row r="765" spans="1:5" x14ac:dyDescent="0.4">
      <c r="A765" s="27">
        <v>43196</v>
      </c>
      <c r="B765" s="29">
        <f>Cours_Hist_figé!B829/Cours_Hist_figé!B765 - 1</f>
        <v>-5.3147209175738119E-2</v>
      </c>
      <c r="C765" s="29">
        <f>Cours_Hist_figé!C829/Cours_Hist_figé!C765 - 1</f>
        <v>5.2242077575048729E-3</v>
      </c>
      <c r="D765" s="29">
        <f>Cours_Hist_figé!D829/Cours_Hist_figé!D765 - 1</f>
        <v>-8.8721340182540409E-4</v>
      </c>
      <c r="E765" s="29">
        <f>Cours_Hist_figé!E829/Cours_Hist_figé!E765 - 1</f>
        <v>-8.8721340182551511E-4</v>
      </c>
    </row>
    <row r="766" spans="1:5" x14ac:dyDescent="0.4">
      <c r="A766" s="27">
        <v>43199</v>
      </c>
      <c r="B766" s="29">
        <f>Cours_Hist_figé!B830/Cours_Hist_figé!B766 - 1</f>
        <v>-5.6015653051585623E-2</v>
      </c>
      <c r="C766" s="29">
        <f>Cours_Hist_figé!C830/Cours_Hist_figé!C766 - 1</f>
        <v>7.1231346781392979E-3</v>
      </c>
      <c r="D766" s="29">
        <f>Cours_Hist_figé!D830/Cours_Hist_figé!D766 - 1</f>
        <v>-9.0799637076899309E-4</v>
      </c>
      <c r="E766" s="29">
        <f>Cours_Hist_figé!E830/Cours_Hist_figé!E766 - 1</f>
        <v>-9.0799637076910411E-4</v>
      </c>
    </row>
    <row r="767" spans="1:5" x14ac:dyDescent="0.4">
      <c r="A767" s="27">
        <v>43200</v>
      </c>
      <c r="B767" s="29">
        <f>Cours_Hist_figé!B831/Cours_Hist_figé!B767 - 1</f>
        <v>-4.482145095503598E-2</v>
      </c>
      <c r="C767" s="29">
        <f>Cours_Hist_figé!C831/Cours_Hist_figé!C767 - 1</f>
        <v>6.9620592135437587E-3</v>
      </c>
      <c r="D767" s="29">
        <f>Cours_Hist_figé!D831/Cours_Hist_figé!D767 - 1</f>
        <v>-9.0829611911902308E-4</v>
      </c>
      <c r="E767" s="29">
        <f>Cours_Hist_figé!E831/Cours_Hist_figé!E767 - 1</f>
        <v>-9.0829611911902308E-4</v>
      </c>
    </row>
    <row r="768" spans="1:5" x14ac:dyDescent="0.4">
      <c r="A768" s="27">
        <v>43201</v>
      </c>
      <c r="B768" s="29">
        <f>Cours_Hist_figé!B832/Cours_Hist_figé!B768 - 1</f>
        <v>-4.7258937303839788E-2</v>
      </c>
      <c r="C768" s="29">
        <f>Cours_Hist_figé!C832/Cours_Hist_figé!C768 - 1</f>
        <v>1.0541511641469103E-2</v>
      </c>
      <c r="D768" s="29">
        <f>Cours_Hist_figé!D832/Cours_Hist_figé!D768 - 1</f>
        <v>-9.0819070407099911E-4</v>
      </c>
      <c r="E768" s="29">
        <f>Cours_Hist_figé!E832/Cours_Hist_figé!E768 - 1</f>
        <v>-9.0819070407111013E-4</v>
      </c>
    </row>
    <row r="769" spans="1:5" x14ac:dyDescent="0.4">
      <c r="A769" s="27">
        <v>43202</v>
      </c>
      <c r="B769" s="29">
        <f>Cours_Hist_figé!B833/Cours_Hist_figé!B769 - 1</f>
        <v>-4.3600698989676667E-2</v>
      </c>
      <c r="C769" s="29">
        <f>Cours_Hist_figé!C833/Cours_Hist_figé!C769 - 1</f>
        <v>8.5070289215603001E-3</v>
      </c>
      <c r="D769" s="29">
        <f>Cours_Hist_figé!D833/Cours_Hist_figé!D769 - 1</f>
        <v>-9.0829925416135993E-4</v>
      </c>
      <c r="E769" s="29">
        <f>Cours_Hist_figé!E833/Cours_Hist_figé!E769 - 1</f>
        <v>-9.0829925416135993E-4</v>
      </c>
    </row>
    <row r="770" spans="1:5" x14ac:dyDescent="0.4">
      <c r="A770" s="27">
        <v>43203</v>
      </c>
      <c r="B770" s="29">
        <f>Cours_Hist_figé!B834/Cours_Hist_figé!B770 - 1</f>
        <v>-4.1039184691690989E-2</v>
      </c>
      <c r="C770" s="29">
        <f>Cours_Hist_figé!C834/Cours_Hist_figé!C770 - 1</f>
        <v>9.311324893861439E-3</v>
      </c>
      <c r="D770" s="29">
        <f>Cours_Hist_figé!D834/Cours_Hist_figé!D770 - 1</f>
        <v>-8.8851514705456935E-4</v>
      </c>
      <c r="E770" s="29">
        <f>Cours_Hist_figé!E834/Cours_Hist_figé!E770 - 1</f>
        <v>-8.8851514705456935E-4</v>
      </c>
    </row>
    <row r="771" spans="1:5" x14ac:dyDescent="0.4">
      <c r="A771" s="27">
        <v>43206</v>
      </c>
      <c r="B771" s="29">
        <f>Cours_Hist_figé!B835/Cours_Hist_figé!B771 - 1</f>
        <v>-4.5240247429603309E-2</v>
      </c>
      <c r="C771" s="29">
        <f>Cours_Hist_figé!C835/Cours_Hist_figé!C771 - 1</f>
        <v>7.0667509288293573E-3</v>
      </c>
      <c r="D771" s="29">
        <f>Cours_Hist_figé!D835/Cours_Hist_figé!D771 - 1</f>
        <v>-9.0859585535130183E-4</v>
      </c>
      <c r="E771" s="29">
        <f>Cours_Hist_figé!E835/Cours_Hist_figé!E771 - 1</f>
        <v>-9.0859585535141285E-4</v>
      </c>
    </row>
    <row r="772" spans="1:5" x14ac:dyDescent="0.4">
      <c r="A772" s="27">
        <v>43207</v>
      </c>
      <c r="B772" s="29">
        <f>Cours_Hist_figé!B836/Cours_Hist_figé!B772 - 1</f>
        <v>-3.627965894193208E-2</v>
      </c>
      <c r="C772" s="29">
        <f>Cours_Hist_figé!C836/Cours_Hist_figé!C772 - 1</f>
        <v>8.180689114495765E-3</v>
      </c>
      <c r="D772" s="29">
        <f>Cours_Hist_figé!D836/Cours_Hist_figé!D772 - 1</f>
        <v>-9.0849808232329465E-4</v>
      </c>
      <c r="E772" s="29">
        <f>Cours_Hist_figé!E836/Cours_Hist_figé!E772 - 1</f>
        <v>-9.0849808232340568E-4</v>
      </c>
    </row>
    <row r="773" spans="1:5" x14ac:dyDescent="0.4">
      <c r="A773" s="27">
        <v>43208</v>
      </c>
      <c r="B773" s="29">
        <f>Cours_Hist_figé!B837/Cours_Hist_figé!B773 - 1</f>
        <v>-3.5305977625270546E-2</v>
      </c>
      <c r="C773" s="29">
        <f>Cours_Hist_figé!C837/Cours_Hist_figé!C773 - 1</f>
        <v>8.5203233171706749E-3</v>
      </c>
      <c r="D773" s="29">
        <f>Cours_Hist_figé!D837/Cours_Hist_figé!D773 - 1</f>
        <v>-9.0859143472876713E-4</v>
      </c>
      <c r="E773" s="29">
        <f>Cours_Hist_figé!E837/Cours_Hist_figé!E773 - 1</f>
        <v>-9.0859143472854509E-4</v>
      </c>
    </row>
    <row r="774" spans="1:5" x14ac:dyDescent="0.4">
      <c r="A774" s="27">
        <v>43209</v>
      </c>
      <c r="B774" s="29">
        <f>Cours_Hist_figé!B838/Cours_Hist_figé!B774 - 1</f>
        <v>-3.9846120935347118E-2</v>
      </c>
      <c r="C774" s="29">
        <f>Cours_Hist_figé!C838/Cours_Hist_figé!C774 - 1</f>
        <v>4.6646446498659344E-3</v>
      </c>
      <c r="D774" s="29">
        <f>Cours_Hist_figé!D838/Cours_Hist_figé!D774 - 1</f>
        <v>-9.0849365966005902E-4</v>
      </c>
      <c r="E774" s="29">
        <f>Cours_Hist_figé!E838/Cours_Hist_figé!E774 - 1</f>
        <v>-9.0849365966028106E-4</v>
      </c>
    </row>
    <row r="775" spans="1:5" x14ac:dyDescent="0.4">
      <c r="A775" s="27">
        <v>43210</v>
      </c>
      <c r="B775" s="29">
        <f>Cours_Hist_figé!B839/Cours_Hist_figé!B775 - 1</f>
        <v>-4.2912659375318518E-2</v>
      </c>
      <c r="C775" s="29">
        <f>Cours_Hist_figé!C839/Cours_Hist_figé!C775 - 1</f>
        <v>3.4064727807867623E-3</v>
      </c>
      <c r="D775" s="29">
        <f>Cours_Hist_figé!D839/Cours_Hist_figé!D775 - 1</f>
        <v>-8.8851709996329298E-4</v>
      </c>
      <c r="E775" s="29">
        <f>Cours_Hist_figé!E839/Cours_Hist_figé!E775 - 1</f>
        <v>-8.8851709996329298E-4</v>
      </c>
    </row>
    <row r="776" spans="1:5" x14ac:dyDescent="0.4">
      <c r="A776" s="27">
        <v>43213</v>
      </c>
      <c r="B776" s="29">
        <f>Cours_Hist_figé!B840/Cours_Hist_figé!B776 - 1</f>
        <v>-4.0928680202592549E-2</v>
      </c>
      <c r="C776" s="29">
        <f>Cours_Hist_figé!C840/Cours_Hist_figé!C776 - 1</f>
        <v>1.6801853066368277E-3</v>
      </c>
      <c r="D776" s="29">
        <f>Cours_Hist_figé!D840/Cours_Hist_figé!D776 - 1</f>
        <v>-9.0909657209969907E-4</v>
      </c>
      <c r="E776" s="29">
        <f>Cours_Hist_figé!E840/Cours_Hist_figé!E776 - 1</f>
        <v>-9.090965720998101E-4</v>
      </c>
    </row>
    <row r="777" spans="1:5" x14ac:dyDescent="0.4">
      <c r="A777" s="27">
        <v>43214</v>
      </c>
      <c r="B777" s="29">
        <f>Cours_Hist_figé!B841/Cours_Hist_figé!B777 - 1</f>
        <v>-3.5582148316002149E-2</v>
      </c>
      <c r="C777" s="29">
        <f>Cours_Hist_figé!C841/Cours_Hist_figé!C777 - 1</f>
        <v>2.9745774816476445E-3</v>
      </c>
      <c r="D777" s="29">
        <f>Cours_Hist_figé!D841/Cours_Hist_figé!D777 - 1</f>
        <v>-9.0919758900942504E-4</v>
      </c>
      <c r="E777" s="29">
        <f>Cours_Hist_figé!E841/Cours_Hist_figé!E777 - 1</f>
        <v>-9.09197589009203E-4</v>
      </c>
    </row>
    <row r="778" spans="1:5" x14ac:dyDescent="0.4">
      <c r="A778" s="27">
        <v>43215</v>
      </c>
      <c r="B778" s="29">
        <f>Cours_Hist_figé!B842/Cours_Hist_figé!B778 - 1</f>
        <v>-3.6953728666139773E-2</v>
      </c>
      <c r="C778" s="29">
        <f>Cours_Hist_figé!C842/Cours_Hist_figé!C778 - 1</f>
        <v>3.8994954305116014E-3</v>
      </c>
      <c r="D778" s="29">
        <f>Cours_Hist_figé!D842/Cours_Hist_figé!D778 - 1</f>
        <v>-9.0929095509084679E-4</v>
      </c>
      <c r="E778" s="29">
        <f>Cours_Hist_figé!E842/Cours_Hist_figé!E778 - 1</f>
        <v>-9.0929095509084679E-4</v>
      </c>
    </row>
    <row r="779" spans="1:5" x14ac:dyDescent="0.4">
      <c r="A779" s="27">
        <v>43216</v>
      </c>
      <c r="B779" s="29">
        <f>Cours_Hist_figé!B843/Cours_Hist_figé!B779 - 1</f>
        <v>-3.2181252601036991E-2</v>
      </c>
      <c r="C779" s="29">
        <f>Cours_Hist_figé!C843/Cours_Hist_figé!C779 - 1</f>
        <v>6.6349166926054082E-3</v>
      </c>
      <c r="D779" s="29">
        <f>Cours_Hist_figé!D843/Cours_Hist_figé!D779 - 1</f>
        <v>-9.093996219916578E-4</v>
      </c>
      <c r="E779" s="29">
        <f>Cours_Hist_figé!E843/Cours_Hist_figé!E779 - 1</f>
        <v>-9.0939962199176883E-4</v>
      </c>
    </row>
    <row r="780" spans="1:5" x14ac:dyDescent="0.4">
      <c r="A780" s="27">
        <v>43217</v>
      </c>
      <c r="B780" s="29">
        <f>Cours_Hist_figé!B844/Cours_Hist_figé!B780 - 1</f>
        <v>-2.7651895873666898E-2</v>
      </c>
      <c r="C780" s="29">
        <f>Cours_Hist_figé!C844/Cours_Hist_figé!C780 - 1</f>
        <v>1.0429881906794725E-2</v>
      </c>
      <c r="D780" s="29">
        <f>Cours_Hist_figé!D844/Cours_Hist_figé!D780 - 1</f>
        <v>-8.8930697691991245E-4</v>
      </c>
      <c r="E780" s="29">
        <f>Cours_Hist_figé!E844/Cours_Hist_figé!E780 - 1</f>
        <v>-8.8930697692002347E-4</v>
      </c>
    </row>
    <row r="781" spans="1:5" x14ac:dyDescent="0.4">
      <c r="A781" s="27">
        <v>43220</v>
      </c>
      <c r="B781" s="29">
        <f>Cours_Hist_figé!B845/Cours_Hist_figé!B781 - 1</f>
        <v>-1.6650995284063441E-2</v>
      </c>
      <c r="C781" s="29">
        <f>Cours_Hist_figé!C845/Cours_Hist_figé!C781 - 1</f>
        <v>9.766310894971042E-3</v>
      </c>
      <c r="D781" s="29">
        <f>Cours_Hist_figé!D845/Cours_Hist_figé!D781 - 1</f>
        <v>-9.097960661472726E-4</v>
      </c>
      <c r="E781" s="29">
        <f>Cours_Hist_figé!E845/Cours_Hist_figé!E781 - 1</f>
        <v>-9.0979606614738362E-4</v>
      </c>
    </row>
    <row r="782" spans="1:5" x14ac:dyDescent="0.4">
      <c r="A782" s="27">
        <v>43221</v>
      </c>
      <c r="B782" s="29">
        <f>Cours_Hist_figé!B846/Cours_Hist_figé!B782 - 1</f>
        <v>-1.5779611098202251E-2</v>
      </c>
      <c r="C782" s="29">
        <f>Cours_Hist_figé!C846/Cours_Hist_figé!C782 - 1</f>
        <v>9.3603737848135804E-3</v>
      </c>
      <c r="D782" s="29">
        <f>Cours_Hist_figé!D846/Cours_Hist_figé!D782 - 1</f>
        <v>-9.1948663192842339E-4</v>
      </c>
      <c r="E782" s="29">
        <f>Cours_Hist_figé!E846/Cours_Hist_figé!E782 - 1</f>
        <v>-9.1948663192842339E-4</v>
      </c>
    </row>
    <row r="783" spans="1:5" x14ac:dyDescent="0.4">
      <c r="A783" s="27">
        <v>43222</v>
      </c>
      <c r="B783" s="29">
        <f>Cours_Hist_figé!B847/Cours_Hist_figé!B783 - 1</f>
        <v>-4.2353356360635974E-3</v>
      </c>
      <c r="C783" s="29">
        <f>Cours_Hist_figé!C847/Cours_Hist_figé!C783 - 1</f>
        <v>8.4270003222517431E-3</v>
      </c>
      <c r="D783" s="29">
        <f>Cours_Hist_figé!D847/Cours_Hist_figé!D783 - 1</f>
        <v>-9.0959222818454144E-4</v>
      </c>
      <c r="E783" s="29">
        <f>Cours_Hist_figé!E847/Cours_Hist_figé!E783 - 1</f>
        <v>-9.0959222818443042E-4</v>
      </c>
    </row>
    <row r="784" spans="1:5" x14ac:dyDescent="0.4">
      <c r="A784" s="27">
        <v>43223</v>
      </c>
      <c r="B784" s="29">
        <f>Cours_Hist_figé!B848/Cours_Hist_figé!B784 - 1</f>
        <v>2.3807526552319658E-3</v>
      </c>
      <c r="C784" s="29">
        <f>Cours_Hist_figé!C848/Cours_Hist_figé!C784 - 1</f>
        <v>1.2826299297318267E-2</v>
      </c>
      <c r="D784" s="29">
        <f>Cours_Hist_figé!D848/Cours_Hist_figé!D784 - 1</f>
        <v>-9.0939476636919814E-4</v>
      </c>
      <c r="E784" s="29">
        <f>Cours_Hist_figé!E848/Cours_Hist_figé!E784 - 1</f>
        <v>-9.0939476636908712E-4</v>
      </c>
    </row>
    <row r="785" spans="1:5" x14ac:dyDescent="0.4">
      <c r="A785" s="27">
        <v>43224</v>
      </c>
      <c r="B785" s="29">
        <f>Cours_Hist_figé!B849/Cours_Hist_figé!B785 - 1</f>
        <v>2.5497667009365843E-2</v>
      </c>
      <c r="C785" s="29">
        <f>Cours_Hist_figé!C849/Cours_Hist_figé!C785 - 1</f>
        <v>1.098418651024069E-2</v>
      </c>
      <c r="D785" s="29">
        <f>Cours_Hist_figé!D849/Cours_Hist_figé!D785 - 1</f>
        <v>-8.8921642032602222E-4</v>
      </c>
      <c r="E785" s="29">
        <f>Cours_Hist_figé!E849/Cours_Hist_figé!E785 - 1</f>
        <v>-8.8921642032602222E-4</v>
      </c>
    </row>
    <row r="786" spans="1:5" x14ac:dyDescent="0.4">
      <c r="A786" s="27">
        <v>43228</v>
      </c>
      <c r="B786" s="29">
        <f>Cours_Hist_figé!B850/Cours_Hist_figé!B786 - 1</f>
        <v>5.9508902570427624E-2</v>
      </c>
      <c r="C786" s="29">
        <f>Cours_Hist_figé!C850/Cours_Hist_figé!C786 - 1</f>
        <v>7.0821838509738111E-3</v>
      </c>
      <c r="D786" s="29">
        <f>Cours_Hist_figé!D850/Cours_Hist_figé!D786 - 1</f>
        <v>-9.1908294469844609E-4</v>
      </c>
      <c r="E786" s="29">
        <f>Cours_Hist_figé!E850/Cours_Hist_figé!E786 - 1</f>
        <v>-9.1908294469833507E-4</v>
      </c>
    </row>
    <row r="787" spans="1:5" x14ac:dyDescent="0.4">
      <c r="A787" s="27">
        <v>43229</v>
      </c>
      <c r="B787" s="29">
        <f>Cours_Hist_figé!B851/Cours_Hist_figé!B787 - 1</f>
        <v>4.637438598052368E-2</v>
      </c>
      <c r="C787" s="29">
        <f>Cours_Hist_figé!C851/Cours_Hist_figé!C787 - 1</f>
        <v>7.7393297454486643E-3</v>
      </c>
      <c r="D787" s="29">
        <f>Cours_Hist_figé!D851/Cours_Hist_figé!D787 - 1</f>
        <v>-9.1898516752986215E-4</v>
      </c>
      <c r="E787" s="29">
        <f>Cours_Hist_figé!E851/Cours_Hist_figé!E787 - 1</f>
        <v>-9.1898516752975112E-4</v>
      </c>
    </row>
    <row r="788" spans="1:5" x14ac:dyDescent="0.4">
      <c r="A788" s="27">
        <v>43230</v>
      </c>
      <c r="B788" s="29">
        <f>Cours_Hist_figé!B852/Cours_Hist_figé!B788 - 1</f>
        <v>6.3390167810233544E-2</v>
      </c>
      <c r="C788" s="29">
        <f>Cours_Hist_figé!C852/Cours_Hist_figé!C788 - 1</f>
        <v>9.7771478846733206E-3</v>
      </c>
      <c r="D788" s="29">
        <f>Cours_Hist_figé!D852/Cours_Hist_figé!D788 - 1</f>
        <v>-9.1888728990230373E-4</v>
      </c>
      <c r="E788" s="29">
        <f>Cours_Hist_figé!E852/Cours_Hist_figé!E788 - 1</f>
        <v>-9.1888728990219271E-4</v>
      </c>
    </row>
    <row r="789" spans="1:5" x14ac:dyDescent="0.4">
      <c r="A789" s="27">
        <v>43231</v>
      </c>
      <c r="B789" s="29">
        <f>Cours_Hist_figé!B853/Cours_Hist_figé!B789 - 1</f>
        <v>8.0906730187242593E-2</v>
      </c>
      <c r="C789" s="29">
        <f>Cours_Hist_figé!C853/Cours_Hist_figé!C789 - 1</f>
        <v>9.7914040416098302E-3</v>
      </c>
      <c r="D789" s="29">
        <f>Cours_Hist_figé!D853/Cours_Hist_figé!D789 - 1</f>
        <v>-9.1888126565653483E-4</v>
      </c>
      <c r="E789" s="29">
        <f>Cours_Hist_figé!E853/Cours_Hist_figé!E789 - 1</f>
        <v>-9.1888126565664585E-4</v>
      </c>
    </row>
    <row r="790" spans="1:5" x14ac:dyDescent="0.4">
      <c r="A790" s="27">
        <v>43234</v>
      </c>
      <c r="B790" s="29">
        <f>Cours_Hist_figé!B854/Cours_Hist_figé!B790 - 1</f>
        <v>6.8284695208857382E-2</v>
      </c>
      <c r="C790" s="29">
        <f>Cours_Hist_figé!C854/Cours_Hist_figé!C790 - 1</f>
        <v>7.3462679332330083E-3</v>
      </c>
      <c r="D790" s="29">
        <f>Cours_Hist_figé!D854/Cours_Hist_figé!D790 - 1</f>
        <v>-9.1858771620212387E-4</v>
      </c>
      <c r="E790" s="29">
        <f>Cours_Hist_figé!E854/Cours_Hist_figé!E790 - 1</f>
        <v>-9.1858771620190183E-4</v>
      </c>
    </row>
    <row r="791" spans="1:5" x14ac:dyDescent="0.4">
      <c r="A791" s="27">
        <v>43235</v>
      </c>
      <c r="B791" s="29">
        <f>Cours_Hist_figé!B855/Cours_Hist_figé!B791 - 1</f>
        <v>7.5823241866598945E-2</v>
      </c>
      <c r="C791" s="29">
        <f>Cours_Hist_figé!C855/Cours_Hist_figé!C791 - 1</f>
        <v>7.0560399312868949E-3</v>
      </c>
      <c r="D791" s="29">
        <f>Cours_Hist_figé!D855/Cours_Hist_figé!D791 - 1</f>
        <v>-9.1848983664022388E-4</v>
      </c>
      <c r="E791" s="29">
        <f>Cours_Hist_figé!E855/Cours_Hist_figé!E791 - 1</f>
        <v>-9.1848983664022388E-4</v>
      </c>
    </row>
    <row r="792" spans="1:5" x14ac:dyDescent="0.4">
      <c r="A792" s="27">
        <v>43236</v>
      </c>
      <c r="B792" s="29">
        <f>Cours_Hist_figé!B856/Cours_Hist_figé!B792 - 1</f>
        <v>6.68806835731377E-2</v>
      </c>
      <c r="C792" s="29">
        <f>Cours_Hist_figé!C856/Cours_Hist_figé!C792 - 1</f>
        <v>6.0752952446794239E-3</v>
      </c>
      <c r="D792" s="29">
        <f>Cours_Hist_figé!D856/Cours_Hist_figé!D792 - 1</f>
        <v>-9.1838430068569288E-4</v>
      </c>
      <c r="E792" s="29">
        <f>Cours_Hist_figé!E856/Cours_Hist_figé!E792 - 1</f>
        <v>-9.1838430068569288E-4</v>
      </c>
    </row>
    <row r="793" spans="1:5" x14ac:dyDescent="0.4">
      <c r="A793" s="27">
        <v>43237</v>
      </c>
      <c r="B793" s="29">
        <f>Cours_Hist_figé!B857/Cours_Hist_figé!B793 - 1</f>
        <v>6.7867250323077277E-2</v>
      </c>
      <c r="C793" s="29">
        <f>Cours_Hist_figé!C857/Cours_Hist_figé!C793 - 1</f>
        <v>4.9687638325228711E-3</v>
      </c>
      <c r="D793" s="29">
        <f>Cours_Hist_figé!D857/Cours_Hist_figé!D793 - 1</f>
        <v>-9.1848542684658252E-4</v>
      </c>
      <c r="E793" s="29">
        <f>Cours_Hist_figé!E857/Cours_Hist_figé!E793 - 1</f>
        <v>-9.1848542684669354E-4</v>
      </c>
    </row>
    <row r="794" spans="1:5" x14ac:dyDescent="0.4">
      <c r="A794" s="27">
        <v>43238</v>
      </c>
      <c r="B794" s="29">
        <f>Cours_Hist_figé!B858/Cours_Hist_figé!B794 - 1</f>
        <v>5.4233263553355116E-2</v>
      </c>
      <c r="C794" s="29">
        <f>Cours_Hist_figé!C858/Cours_Hist_figé!C794 - 1</f>
        <v>3.2104117615900929E-3</v>
      </c>
      <c r="D794" s="29">
        <f>Cours_Hist_figé!D858/Cours_Hist_figé!D794 - 1</f>
        <v>-9.184947002213173E-4</v>
      </c>
      <c r="E794" s="29">
        <f>Cours_Hist_figé!E858/Cours_Hist_figé!E794 - 1</f>
        <v>-9.1849470022153934E-4</v>
      </c>
    </row>
    <row r="795" spans="1:5" x14ac:dyDescent="0.4">
      <c r="A795" s="27">
        <v>43241</v>
      </c>
      <c r="B795" s="29">
        <f>Cours_Hist_figé!B859/Cours_Hist_figé!B795 - 1</f>
        <v>6.4875069648742123E-2</v>
      </c>
      <c r="C795" s="29">
        <f>Cours_Hist_figé!C859/Cours_Hist_figé!C795 - 1</f>
        <v>3.8563451682072092E-3</v>
      </c>
      <c r="D795" s="29">
        <f>Cours_Hist_figé!D859/Cours_Hist_figé!D795 - 1</f>
        <v>-9.1889014886104015E-4</v>
      </c>
      <c r="E795" s="29">
        <f>Cours_Hist_figé!E859/Cours_Hist_figé!E795 - 1</f>
        <v>-9.1889014886092912E-4</v>
      </c>
    </row>
    <row r="796" spans="1:5" x14ac:dyDescent="0.4">
      <c r="A796" s="27">
        <v>43242</v>
      </c>
      <c r="B796" s="29">
        <f>Cours_Hist_figé!B860/Cours_Hist_figé!B796 - 1</f>
        <v>6.1247952187869048E-2</v>
      </c>
      <c r="C796" s="29">
        <f>Cours_Hist_figé!C860/Cours_Hist_figé!C796 - 1</f>
        <v>3.8927228766127975E-3</v>
      </c>
      <c r="D796" s="29">
        <f>Cours_Hist_figé!D860/Cours_Hist_figé!D796 - 1</f>
        <v>-9.188842154143062E-4</v>
      </c>
      <c r="E796" s="29">
        <f>Cours_Hist_figé!E860/Cours_Hist_figé!E796 - 1</f>
        <v>-9.188842154143062E-4</v>
      </c>
    </row>
    <row r="797" spans="1:5" x14ac:dyDescent="0.4">
      <c r="A797" s="27">
        <v>43243</v>
      </c>
      <c r="B797" s="29">
        <f>Cours_Hist_figé!B861/Cours_Hist_figé!B797 - 1</f>
        <v>4.7337716341651959E-2</v>
      </c>
      <c r="C797" s="29">
        <f>Cours_Hist_figé!C861/Cours_Hist_figé!C797 - 1</f>
        <v>4.1844409246825087E-3</v>
      </c>
      <c r="D797" s="29">
        <f>Cours_Hist_figé!D861/Cours_Hist_figé!D797 - 1</f>
        <v>-9.187864153081815E-4</v>
      </c>
      <c r="E797" s="29">
        <f>Cours_Hist_figé!E861/Cours_Hist_figé!E797 - 1</f>
        <v>-9.1878641530840355E-4</v>
      </c>
    </row>
    <row r="798" spans="1:5" x14ac:dyDescent="0.4">
      <c r="A798" s="27">
        <v>43244</v>
      </c>
      <c r="B798" s="29">
        <f>Cours_Hist_figé!B862/Cours_Hist_figé!B798 - 1</f>
        <v>4.2596959060129835E-2</v>
      </c>
      <c r="C798" s="29">
        <f>Cours_Hist_figé!C862/Cours_Hist_figé!C798 - 1</f>
        <v>6.1667666660998322E-3</v>
      </c>
      <c r="D798" s="29">
        <f>Cours_Hist_figé!D862/Cours_Hist_figé!D798 - 1</f>
        <v>-9.1868861320787421E-4</v>
      </c>
      <c r="E798" s="29">
        <f>Cours_Hist_figé!E862/Cours_Hist_figé!E798 - 1</f>
        <v>-9.1868861320798523E-4</v>
      </c>
    </row>
    <row r="799" spans="1:5" x14ac:dyDescent="0.4">
      <c r="A799" s="27">
        <v>43245</v>
      </c>
      <c r="B799" s="29">
        <f>Cours_Hist_figé!B863/Cours_Hist_figé!B799 - 1</f>
        <v>4.1702952231232437E-2</v>
      </c>
      <c r="C799" s="29">
        <f>Cours_Hist_figé!C863/Cours_Hist_figé!C799 - 1</f>
        <v>4.5139685751502956E-3</v>
      </c>
      <c r="D799" s="29">
        <f>Cours_Hist_figé!D863/Cours_Hist_figé!D799 - 1</f>
        <v>-9.1858316102999549E-4</v>
      </c>
      <c r="E799" s="29">
        <f>Cours_Hist_figé!E863/Cours_Hist_figé!E799 - 1</f>
        <v>-9.1858316103010651E-4</v>
      </c>
    </row>
    <row r="800" spans="1:5" x14ac:dyDescent="0.4">
      <c r="A800" s="27">
        <v>43249</v>
      </c>
      <c r="B800" s="29">
        <f>Cours_Hist_figé!B864/Cours_Hist_figé!B800 - 1</f>
        <v>1.9998059123595979E-2</v>
      </c>
      <c r="C800" s="29">
        <f>Cours_Hist_figé!C864/Cours_Hist_figé!C800 - 1</f>
        <v>-8.0734718229769076E-4</v>
      </c>
      <c r="D800" s="29">
        <f>Cours_Hist_figé!D864/Cours_Hist_figé!D800 - 1</f>
        <v>-9.2857862514705847E-4</v>
      </c>
      <c r="E800" s="29">
        <f>Cours_Hist_figé!E864/Cours_Hist_figé!E800 - 1</f>
        <v>-9.2857862514705847E-4</v>
      </c>
    </row>
    <row r="801" spans="1:5" x14ac:dyDescent="0.4">
      <c r="A801" s="27">
        <v>43250</v>
      </c>
      <c r="B801" s="29">
        <f>Cours_Hist_figé!B865/Cours_Hist_figé!B801 - 1</f>
        <v>2.5331854146685595E-2</v>
      </c>
      <c r="C801" s="29">
        <f>Cours_Hist_figé!C865/Cours_Hist_figé!C801 - 1</f>
        <v>-1.5614296976982356E-3</v>
      </c>
      <c r="D801" s="29">
        <f>Cours_Hist_figé!D865/Cours_Hist_figé!D801 - 1</f>
        <v>-9.2837384140931345E-4</v>
      </c>
      <c r="E801" s="29">
        <f>Cours_Hist_figé!E865/Cours_Hist_figé!E801 - 1</f>
        <v>-9.2837384140920243E-4</v>
      </c>
    </row>
    <row r="802" spans="1:5" x14ac:dyDescent="0.4">
      <c r="A802" s="27">
        <v>43251</v>
      </c>
      <c r="B802" s="29">
        <f>Cours_Hist_figé!B866/Cours_Hist_figé!B802 - 1</f>
        <v>2.6010335834202758E-2</v>
      </c>
      <c r="C802" s="29">
        <f>Cours_Hist_figé!C866/Cours_Hist_figé!C802 - 1</f>
        <v>1.0986071533325426E-3</v>
      </c>
      <c r="D802" s="29">
        <f>Cours_Hist_figé!D866/Cours_Hist_figé!D802 - 1</f>
        <v>-9.282759463007384E-4</v>
      </c>
      <c r="E802" s="29">
        <f>Cours_Hist_figé!E866/Cours_Hist_figé!E802 - 1</f>
        <v>-9.282759463007384E-4</v>
      </c>
    </row>
    <row r="803" spans="1:5" x14ac:dyDescent="0.4">
      <c r="A803" s="27">
        <v>43252</v>
      </c>
      <c r="B803" s="29">
        <f>Cours_Hist_figé!B867/Cours_Hist_figé!B803 - 1</f>
        <v>4.8658596958586209E-2</v>
      </c>
      <c r="C803" s="29">
        <f>Cours_Hist_figé!C867/Cours_Hist_figé!C803 - 1</f>
        <v>3.3494167137915198E-4</v>
      </c>
      <c r="D803" s="29">
        <f>Cours_Hist_figé!D867/Cours_Hist_figé!D803 - 1</f>
        <v>-9.2837681717805598E-4</v>
      </c>
      <c r="E803" s="29">
        <f>Cours_Hist_figé!E867/Cours_Hist_figé!E803 - 1</f>
        <v>-9.28376817178167E-4</v>
      </c>
    </row>
    <row r="804" spans="1:5" x14ac:dyDescent="0.4">
      <c r="A804" s="27">
        <v>43255</v>
      </c>
      <c r="B804" s="29">
        <f>Cours_Hist_figé!B868/Cours_Hist_figé!B804 - 1</f>
        <v>7.4541939011941283E-2</v>
      </c>
      <c r="C804" s="29">
        <f>Cours_Hist_figé!C868/Cours_Hist_figé!C804 - 1</f>
        <v>1.9391759913078843E-3</v>
      </c>
      <c r="D804" s="29">
        <f>Cours_Hist_figé!D868/Cours_Hist_figé!D804 - 1</f>
        <v>-9.481606589646363E-4</v>
      </c>
      <c r="E804" s="29">
        <f>Cours_Hist_figé!E868/Cours_Hist_figé!E804 - 1</f>
        <v>-9.4816065896452528E-4</v>
      </c>
    </row>
    <row r="805" spans="1:5" x14ac:dyDescent="0.4">
      <c r="A805" s="27">
        <v>43256</v>
      </c>
      <c r="B805" s="29">
        <f>Cours_Hist_figé!B869/Cours_Hist_figé!B805 - 1</f>
        <v>6.000543114427237E-2</v>
      </c>
      <c r="C805" s="29">
        <f>Cours_Hist_figé!C869/Cours_Hist_figé!C805 - 1</f>
        <v>1.5151649546136792E-3</v>
      </c>
      <c r="D805" s="29">
        <f>Cours_Hist_figé!D869/Cours_Hist_figé!D805 - 1</f>
        <v>-9.2787822680451271E-4</v>
      </c>
      <c r="E805" s="29">
        <f>Cours_Hist_figé!E869/Cours_Hist_figé!E805 - 1</f>
        <v>-9.2787822680440168E-4</v>
      </c>
    </row>
    <row r="806" spans="1:5" x14ac:dyDescent="0.4">
      <c r="A806" s="27">
        <v>43257</v>
      </c>
      <c r="B806" s="29">
        <f>Cours_Hist_figé!B870/Cours_Hist_figé!B806 - 1</f>
        <v>5.7914283574119318E-2</v>
      </c>
      <c r="C806" s="29">
        <f>Cours_Hist_figé!C870/Cours_Hist_figé!C806 - 1</f>
        <v>-3.393732294031393E-3</v>
      </c>
      <c r="D806" s="29">
        <f>Cours_Hist_figé!D870/Cours_Hist_figé!D806 - 1</f>
        <v>-9.2778041321595062E-4</v>
      </c>
      <c r="E806" s="29">
        <f>Cours_Hist_figé!E870/Cours_Hist_figé!E806 - 1</f>
        <v>-9.2778041321595062E-4</v>
      </c>
    </row>
    <row r="807" spans="1:5" x14ac:dyDescent="0.4">
      <c r="A807" s="27">
        <v>43258</v>
      </c>
      <c r="B807" s="29">
        <f>Cours_Hist_figé!B871/Cours_Hist_figé!B807 - 1</f>
        <v>5.2595526412893001E-2</v>
      </c>
      <c r="C807" s="29">
        <f>Cours_Hist_figé!C871/Cours_Hist_figé!C807 - 1</f>
        <v>-6.4562248361248464E-3</v>
      </c>
      <c r="D807" s="29">
        <f>Cours_Hist_figé!D871/Cours_Hist_figé!D807 - 1</f>
        <v>-9.2757542016685957E-4</v>
      </c>
      <c r="E807" s="29">
        <f>Cours_Hist_figé!E871/Cours_Hist_figé!E807 - 1</f>
        <v>-9.2757542016708161E-4</v>
      </c>
    </row>
    <row r="808" spans="1:5" x14ac:dyDescent="0.4">
      <c r="A808" s="27">
        <v>43259</v>
      </c>
      <c r="B808" s="29">
        <f>Cours_Hist_figé!B872/Cours_Hist_figé!B808 - 1</f>
        <v>3.9607665360060329E-2</v>
      </c>
      <c r="C808" s="29">
        <f>Cours_Hist_figé!C872/Cours_Hist_figé!C808 - 1</f>
        <v>-8.2059668711049749E-3</v>
      </c>
      <c r="D808" s="29">
        <f>Cours_Hist_figé!D872/Cours_Hist_figé!D808 - 1</f>
        <v>-9.2737807199394506E-4</v>
      </c>
      <c r="E808" s="29">
        <f>Cours_Hist_figé!E872/Cours_Hist_figé!E808 - 1</f>
        <v>-9.2737807199383404E-4</v>
      </c>
    </row>
    <row r="809" spans="1:5" x14ac:dyDescent="0.4">
      <c r="A809" s="27">
        <v>43262</v>
      </c>
      <c r="B809" s="29">
        <f>Cours_Hist_figé!B873/Cours_Hist_figé!B809 - 1</f>
        <v>4.2973677251879838E-2</v>
      </c>
      <c r="C809" s="29">
        <f>Cours_Hist_figé!C873/Cours_Hist_figé!C809 - 1</f>
        <v>-5.8590909182479889E-3</v>
      </c>
      <c r="D809" s="29">
        <f>Cours_Hist_figé!D873/Cours_Hist_figé!D809 - 1</f>
        <v>-9.4706376812581095E-4</v>
      </c>
      <c r="E809" s="29">
        <f>Cours_Hist_figé!E873/Cours_Hist_figé!E809 - 1</f>
        <v>-9.470637681255889E-4</v>
      </c>
    </row>
    <row r="810" spans="1:5" x14ac:dyDescent="0.4">
      <c r="A810" s="27">
        <v>43263</v>
      </c>
      <c r="B810" s="29">
        <f>Cours_Hist_figé!B874/Cours_Hist_figé!B810 - 1</f>
        <v>3.8967975827382428E-2</v>
      </c>
      <c r="C810" s="29">
        <f>Cours_Hist_figé!C874/Cours_Hist_figé!C810 - 1</f>
        <v>-6.8535955923867409E-3</v>
      </c>
      <c r="D810" s="29">
        <f>Cours_Hist_figé!D874/Cours_Hist_figé!D810 - 1</f>
        <v>-9.2698649692757318E-4</v>
      </c>
      <c r="E810" s="29">
        <f>Cours_Hist_figé!E874/Cours_Hist_figé!E810 - 1</f>
        <v>-9.2698649692757318E-4</v>
      </c>
    </row>
    <row r="811" spans="1:5" x14ac:dyDescent="0.4">
      <c r="A811" s="27">
        <v>43264</v>
      </c>
      <c r="B811" s="29">
        <f>Cours_Hist_figé!B875/Cours_Hist_figé!B811 - 1</f>
        <v>5.1179991371633093E-2</v>
      </c>
      <c r="C811" s="29">
        <f>Cours_Hist_figé!C875/Cours_Hist_figé!C811 - 1</f>
        <v>-5.6729258968020169E-3</v>
      </c>
      <c r="D811" s="29">
        <f>Cours_Hist_figé!D875/Cours_Hist_figé!D811 - 1</f>
        <v>-9.2697289608434374E-4</v>
      </c>
      <c r="E811" s="29">
        <f>Cours_Hist_figé!E875/Cours_Hist_figé!E811 - 1</f>
        <v>-9.2697289608423272E-4</v>
      </c>
    </row>
    <row r="812" spans="1:5" x14ac:dyDescent="0.4">
      <c r="A812" s="27">
        <v>43265</v>
      </c>
      <c r="B812" s="29">
        <f>Cours_Hist_figé!B876/Cours_Hist_figé!B812 - 1</f>
        <v>6.5908917829864189E-2</v>
      </c>
      <c r="C812" s="29">
        <f>Cours_Hist_figé!C876/Cours_Hist_figé!C812 - 1</f>
        <v>-3.3828713451867776E-3</v>
      </c>
      <c r="D812" s="29">
        <f>Cours_Hist_figé!D876/Cours_Hist_figé!D812 - 1</f>
        <v>-9.2697460103052798E-4</v>
      </c>
      <c r="E812" s="29">
        <f>Cours_Hist_figé!E876/Cours_Hist_figé!E812 - 1</f>
        <v>-9.2697460103030593E-4</v>
      </c>
    </row>
    <row r="813" spans="1:5" x14ac:dyDescent="0.4">
      <c r="A813" s="27">
        <v>43266</v>
      </c>
      <c r="B813" s="29">
        <f>Cours_Hist_figé!B877/Cours_Hist_figé!B813 - 1</f>
        <v>4.9468103346453018E-2</v>
      </c>
      <c r="C813" s="29">
        <f>Cours_Hist_figé!C877/Cours_Hist_figé!C813 - 1</f>
        <v>-1.0720666585262162E-3</v>
      </c>
      <c r="D813" s="29">
        <f>Cours_Hist_figé!D877/Cours_Hist_figé!D813 - 1</f>
        <v>-9.2697630601135117E-4</v>
      </c>
      <c r="E813" s="29">
        <f>Cours_Hist_figé!E877/Cours_Hist_figé!E813 - 1</f>
        <v>-9.2697630601146219E-4</v>
      </c>
    </row>
    <row r="814" spans="1:5" x14ac:dyDescent="0.4">
      <c r="A814" s="27">
        <v>43269</v>
      </c>
      <c r="B814" s="29">
        <f>Cours_Hist_figé!B878/Cours_Hist_figé!B814 - 1</f>
        <v>3.802838439561107E-2</v>
      </c>
      <c r="C814" s="29">
        <f>Cours_Hist_figé!C878/Cours_Hist_figé!C814 - 1</f>
        <v>-6.0314018391360857E-4</v>
      </c>
      <c r="D814" s="29">
        <f>Cours_Hist_figé!D878/Cours_Hist_figé!D814 - 1</f>
        <v>-9.4716126039318116E-4</v>
      </c>
      <c r="E814" s="29">
        <f>Cours_Hist_figé!E878/Cours_Hist_figé!E814 - 1</f>
        <v>-9.4716126039329218E-4</v>
      </c>
    </row>
    <row r="815" spans="1:5" x14ac:dyDescent="0.4">
      <c r="A815" s="27">
        <v>43270</v>
      </c>
      <c r="B815" s="29">
        <f>Cours_Hist_figé!B879/Cours_Hist_figé!B815 - 1</f>
        <v>4.2265159812374664E-2</v>
      </c>
      <c r="C815" s="29">
        <f>Cours_Hist_figé!C879/Cours_Hist_figé!C815 - 1</f>
        <v>1.0637648766520513E-4</v>
      </c>
      <c r="D815" s="29">
        <f>Cours_Hist_figé!D879/Cours_Hist_figé!D815 - 1</f>
        <v>-9.2678432187942583E-4</v>
      </c>
      <c r="E815" s="29">
        <f>Cours_Hist_figé!E879/Cours_Hist_figé!E815 - 1</f>
        <v>-9.2678432187942583E-4</v>
      </c>
    </row>
    <row r="816" spans="1:5" x14ac:dyDescent="0.4">
      <c r="A816" s="27">
        <v>43271</v>
      </c>
      <c r="B816" s="29">
        <f>Cours_Hist_figé!B880/Cours_Hist_figé!B816 - 1</f>
        <v>3.9349729093590913E-2</v>
      </c>
      <c r="C816" s="29">
        <f>Cours_Hist_figé!C880/Cours_Hist_figé!C816 - 1</f>
        <v>-3.9324722289202363E-4</v>
      </c>
      <c r="D816" s="29">
        <f>Cours_Hist_figé!D880/Cours_Hist_figé!D816 - 1</f>
        <v>-9.2667892570275079E-4</v>
      </c>
      <c r="E816" s="29">
        <f>Cours_Hist_figé!E880/Cours_Hist_figé!E816 - 1</f>
        <v>-9.2667892570263977E-4</v>
      </c>
    </row>
    <row r="817" spans="1:5" x14ac:dyDescent="0.4">
      <c r="A817" s="27">
        <v>43272</v>
      </c>
      <c r="B817" s="29">
        <f>Cours_Hist_figé!B881/Cours_Hist_figé!B817 - 1</f>
        <v>3.1874217374127101E-2</v>
      </c>
      <c r="C817" s="29">
        <f>Cours_Hist_figé!C881/Cours_Hist_figé!C817 - 1</f>
        <v>-8.373951348347175E-4</v>
      </c>
      <c r="D817" s="29">
        <f>Cours_Hist_figé!D881/Cours_Hist_figé!D817 - 1</f>
        <v>-9.265811774055166E-4</v>
      </c>
      <c r="E817" s="29">
        <f>Cours_Hist_figé!E881/Cours_Hist_figé!E817 - 1</f>
        <v>-9.2658117740573864E-4</v>
      </c>
    </row>
    <row r="818" spans="1:5" x14ac:dyDescent="0.4">
      <c r="A818" s="27">
        <v>43273</v>
      </c>
      <c r="B818" s="29">
        <f>Cours_Hist_figé!B882/Cours_Hist_figé!B818 - 1</f>
        <v>5.9220042914974513E-2</v>
      </c>
      <c r="C818" s="29">
        <f>Cours_Hist_figé!C882/Cours_Hist_figé!C818 - 1</f>
        <v>-4.5128503162596978E-3</v>
      </c>
      <c r="D818" s="29">
        <f>Cours_Hist_figé!D882/Cours_Hist_figé!D818 - 1</f>
        <v>-9.2647576991045089E-4</v>
      </c>
      <c r="E818" s="29">
        <f>Cours_Hist_figé!E882/Cours_Hist_figé!E818 - 1</f>
        <v>-9.2647576991056191E-4</v>
      </c>
    </row>
    <row r="819" spans="1:5" x14ac:dyDescent="0.4">
      <c r="A819" s="27">
        <v>43276</v>
      </c>
      <c r="B819" s="29">
        <f>Cours_Hist_figé!B883/Cours_Hist_figé!B819 - 1</f>
        <v>4.6147077211322385E-2</v>
      </c>
      <c r="C819" s="29">
        <f>Cours_Hist_figé!C883/Cours_Hist_figé!C819 - 1</f>
        <v>-5.0624873888214239E-3</v>
      </c>
      <c r="D819" s="29">
        <f>Cours_Hist_figé!D883/Cours_Hist_figé!D819 - 1</f>
        <v>-9.4656261379677531E-4</v>
      </c>
      <c r="E819" s="29">
        <f>Cours_Hist_figé!E883/Cours_Hist_figé!E819 - 1</f>
        <v>-9.4656261379677531E-4</v>
      </c>
    </row>
    <row r="820" spans="1:5" x14ac:dyDescent="0.4">
      <c r="A820" s="27">
        <v>43277</v>
      </c>
      <c r="B820" s="29">
        <f>Cours_Hist_figé!B884/Cours_Hist_figé!B820 - 1</f>
        <v>5.426048743717593E-2</v>
      </c>
      <c r="C820" s="29">
        <f>Cours_Hist_figé!C884/Cours_Hist_figé!C820 - 1</f>
        <v>-6.4630454283334249E-3</v>
      </c>
      <c r="D820" s="29">
        <f>Cours_Hist_figé!D884/Cours_Hist_figé!D820 - 1</f>
        <v>-9.2617654649440606E-4</v>
      </c>
      <c r="E820" s="29">
        <f>Cours_Hist_figé!E884/Cours_Hist_figé!E820 - 1</f>
        <v>-9.2617654649440606E-4</v>
      </c>
    </row>
    <row r="821" spans="1:5" x14ac:dyDescent="0.4">
      <c r="A821" s="27">
        <v>43278</v>
      </c>
      <c r="B821" s="29">
        <f>Cours_Hist_figé!B885/Cours_Hist_figé!B821 - 1</f>
        <v>4.9562454891943108E-2</v>
      </c>
      <c r="C821" s="29">
        <f>Cours_Hist_figé!C885/Cours_Hist_figé!C821 - 1</f>
        <v>-6.440151365543989E-3</v>
      </c>
      <c r="D821" s="29">
        <f>Cours_Hist_figé!D885/Cours_Hist_figé!D821 - 1</f>
        <v>-9.2607878710082581E-4</v>
      </c>
      <c r="E821" s="29">
        <f>Cours_Hist_figé!E885/Cours_Hist_figé!E821 - 1</f>
        <v>-9.2607878710082581E-4</v>
      </c>
    </row>
    <row r="822" spans="1:5" x14ac:dyDescent="0.4">
      <c r="A822" s="27">
        <v>43279</v>
      </c>
      <c r="B822" s="29">
        <f>Cours_Hist_figé!B886/Cours_Hist_figé!B822 - 1</f>
        <v>3.6817646399875059E-2</v>
      </c>
      <c r="C822" s="29">
        <f>Cours_Hist_figé!C886/Cours_Hist_figé!C822 - 1</f>
        <v>-6.0763368540520668E-3</v>
      </c>
      <c r="D822" s="29">
        <f>Cours_Hist_figé!D886/Cours_Hist_figé!D822 - 1</f>
        <v>-9.260805754501833E-4</v>
      </c>
      <c r="E822" s="29">
        <f>Cours_Hist_figé!E886/Cours_Hist_figé!E822 - 1</f>
        <v>-9.260805754501833E-4</v>
      </c>
    </row>
    <row r="823" spans="1:5" x14ac:dyDescent="0.4">
      <c r="A823" s="27">
        <v>43280</v>
      </c>
      <c r="B823" s="29">
        <f>Cours_Hist_figé!B887/Cours_Hist_figé!B823 - 1</f>
        <v>3.9950565670658467E-2</v>
      </c>
      <c r="C823" s="29">
        <f>Cours_Hist_figé!C887/Cours_Hist_figé!C823 - 1</f>
        <v>-4.7399248653647863E-3</v>
      </c>
      <c r="D823" s="29">
        <f>Cours_Hist_figé!D887/Cours_Hist_figé!D823 - 1</f>
        <v>-9.2618182238657365E-4</v>
      </c>
      <c r="E823" s="29">
        <f>Cours_Hist_figé!E887/Cours_Hist_figé!E823 - 1</f>
        <v>-9.2618182238668467E-4</v>
      </c>
    </row>
    <row r="824" spans="1:5" x14ac:dyDescent="0.4">
      <c r="A824" s="27">
        <v>43283</v>
      </c>
      <c r="B824" s="29">
        <f>Cours_Hist_figé!B888/Cours_Hist_figé!B824 - 1</f>
        <v>3.1478660928293767E-2</v>
      </c>
      <c r="C824" s="29">
        <f>Cours_Hist_figé!C888/Cours_Hist_figé!C824 - 1</f>
        <v>-3.6828825002405141E-3</v>
      </c>
      <c r="D824" s="29">
        <f>Cours_Hist_figé!D888/Cours_Hist_figé!D824 - 1</f>
        <v>-9.077015661228538E-4</v>
      </c>
      <c r="E824" s="29">
        <f>Cours_Hist_figé!E888/Cours_Hist_figé!E824 - 1</f>
        <v>-9.077015661228538E-4</v>
      </c>
    </row>
    <row r="825" spans="1:5" x14ac:dyDescent="0.4">
      <c r="A825" s="27">
        <v>43284</v>
      </c>
      <c r="B825" s="29">
        <f>Cours_Hist_figé!B889/Cours_Hist_figé!B825 - 1</f>
        <v>3.9602775379486532E-2</v>
      </c>
      <c r="C825" s="29">
        <f>Cours_Hist_figé!C889/Cours_Hist_figé!C825 - 1</f>
        <v>-3.4768968565835889E-3</v>
      </c>
      <c r="D825" s="29">
        <f>Cours_Hist_figé!D889/Cours_Hist_figé!D825 - 1</f>
        <v>-9.1768775370915101E-4</v>
      </c>
      <c r="E825" s="29">
        <f>Cours_Hist_figé!E889/Cours_Hist_figé!E825 - 1</f>
        <v>-9.1768775370903999E-4</v>
      </c>
    </row>
    <row r="826" spans="1:5" x14ac:dyDescent="0.4">
      <c r="A826" s="27">
        <v>43285</v>
      </c>
      <c r="B826" s="29">
        <f>Cours_Hist_figé!B890/Cours_Hist_figé!B826 - 1</f>
        <v>4.56071404491738E-2</v>
      </c>
      <c r="C826" s="29">
        <f>Cours_Hist_figé!C890/Cours_Hist_figé!C826 - 1</f>
        <v>-3.1356876885416662E-3</v>
      </c>
      <c r="D826" s="29">
        <f>Cours_Hist_figé!D890/Cours_Hist_figé!D826 - 1</f>
        <v>-9.2778115496583435E-4</v>
      </c>
      <c r="E826" s="29">
        <f>Cours_Hist_figé!E890/Cours_Hist_figé!E826 - 1</f>
        <v>-9.2778115496572333E-4</v>
      </c>
    </row>
    <row r="827" spans="1:5" x14ac:dyDescent="0.4">
      <c r="A827" s="27">
        <v>43286</v>
      </c>
      <c r="B827" s="29">
        <f>Cours_Hist_figé!B891/Cours_Hist_figé!B827 - 1</f>
        <v>5.4381088430271785E-2</v>
      </c>
      <c r="C827" s="29">
        <f>Cours_Hist_figé!C891/Cours_Hist_figé!C827 - 1</f>
        <v>-4.7475462367118082E-3</v>
      </c>
      <c r="D827" s="29">
        <f>Cours_Hist_figé!D891/Cours_Hist_figé!D827 - 1</f>
        <v>-9.2778286843642199E-4</v>
      </c>
      <c r="E827" s="29">
        <f>Cours_Hist_figé!E891/Cours_Hist_figé!E827 - 1</f>
        <v>-9.2778286843642199E-4</v>
      </c>
    </row>
    <row r="828" spans="1:5" x14ac:dyDescent="0.4">
      <c r="A828" s="27">
        <v>43287</v>
      </c>
      <c r="B828" s="29">
        <f>Cours_Hist_figé!B892/Cours_Hist_figé!B828 - 1</f>
        <v>3.1216187178273236E-2</v>
      </c>
      <c r="C828" s="29">
        <f>Cours_Hist_figé!C892/Cours_Hist_figé!C828 - 1</f>
        <v>-2.8323142837614057E-3</v>
      </c>
      <c r="D828" s="29">
        <f>Cours_Hist_figé!D892/Cours_Hist_figé!D828 - 1</f>
        <v>-9.2767736610499529E-4</v>
      </c>
      <c r="E828" s="29">
        <f>Cours_Hist_figé!E892/Cours_Hist_figé!E828 - 1</f>
        <v>-9.2767736610488427E-4</v>
      </c>
    </row>
    <row r="829" spans="1:5" x14ac:dyDescent="0.4">
      <c r="A829" s="27">
        <v>43290</v>
      </c>
      <c r="B829" s="29">
        <f>Cours_Hist_figé!B893/Cours_Hist_figé!B829 - 1</f>
        <v>4.0225375745413183E-2</v>
      </c>
      <c r="C829" s="29">
        <f>Cours_Hist_figé!C893/Cours_Hist_figé!C829 - 1</f>
        <v>-3.6011577061060285E-3</v>
      </c>
      <c r="D829" s="29">
        <f>Cours_Hist_figé!D893/Cours_Hist_figé!D829 - 1</f>
        <v>-9.476598116781032E-4</v>
      </c>
      <c r="E829" s="29">
        <f>Cours_Hist_figé!E893/Cours_Hist_figé!E829 - 1</f>
        <v>-9.4765981167821423E-4</v>
      </c>
    </row>
    <row r="830" spans="1:5" x14ac:dyDescent="0.4">
      <c r="A830" s="27">
        <v>43291</v>
      </c>
      <c r="B830" s="29">
        <f>Cours_Hist_figé!B894/Cours_Hist_figé!B830 - 1</f>
        <v>4.3354197173765208E-2</v>
      </c>
      <c r="C830" s="29">
        <f>Cours_Hist_figé!C894/Cours_Hist_figé!C830 - 1</f>
        <v>-3.5933028345346285E-3</v>
      </c>
      <c r="D830" s="29">
        <f>Cours_Hist_figé!D894/Cours_Hist_figé!D830 - 1</f>
        <v>-9.2697242933081903E-4</v>
      </c>
      <c r="E830" s="29">
        <f>Cours_Hist_figé!E894/Cours_Hist_figé!E830 - 1</f>
        <v>-9.26972429330708E-4</v>
      </c>
    </row>
    <row r="831" spans="1:5" x14ac:dyDescent="0.4">
      <c r="A831" s="27">
        <v>43292</v>
      </c>
      <c r="B831" s="29">
        <f>Cours_Hist_figé!B895/Cours_Hist_figé!B831 - 1</f>
        <v>2.1371156562261628E-2</v>
      </c>
      <c r="C831" s="29">
        <f>Cours_Hist_figé!C895/Cours_Hist_figé!C831 - 1</f>
        <v>-2.5869729177646628E-3</v>
      </c>
      <c r="D831" s="29">
        <f>Cours_Hist_figé!D895/Cours_Hist_figé!D831 - 1</f>
        <v>-9.2688231594495463E-4</v>
      </c>
      <c r="E831" s="29">
        <f>Cours_Hist_figé!E895/Cours_Hist_figé!E831 - 1</f>
        <v>-9.2688231594495463E-4</v>
      </c>
    </row>
    <row r="832" spans="1:5" x14ac:dyDescent="0.4">
      <c r="A832" s="27">
        <v>43293</v>
      </c>
      <c r="B832" s="29">
        <f>Cours_Hist_figé!B896/Cours_Hist_figé!B832 - 1</f>
        <v>3.522154962473234E-2</v>
      </c>
      <c r="C832" s="29">
        <f>Cours_Hist_figé!C896/Cours_Hist_figé!C832 - 1</f>
        <v>-3.1070994826958298E-3</v>
      </c>
      <c r="D832" s="29">
        <f>Cours_Hist_figé!D896/Cours_Hist_figé!D832 - 1</f>
        <v>-9.2678454907613173E-4</v>
      </c>
      <c r="E832" s="29">
        <f>Cours_Hist_figé!E896/Cours_Hist_figé!E832 - 1</f>
        <v>-9.2678454907624275E-4</v>
      </c>
    </row>
    <row r="833" spans="1:5" x14ac:dyDescent="0.4">
      <c r="A833" s="27">
        <v>43294</v>
      </c>
      <c r="B833" s="29">
        <f>Cours_Hist_figé!B897/Cours_Hist_figé!B833 - 1</f>
        <v>3.0272773793718288E-2</v>
      </c>
      <c r="C833" s="29">
        <f>Cours_Hist_figé!C897/Cours_Hist_figé!C833 - 1</f>
        <v>-8.3465280162331457E-4</v>
      </c>
      <c r="D833" s="29">
        <f>Cours_Hist_figé!D897/Cours_Hist_figé!D833 - 1</f>
        <v>-9.2677859379786121E-4</v>
      </c>
      <c r="E833" s="29">
        <f>Cours_Hist_figé!E897/Cours_Hist_figé!E833 - 1</f>
        <v>-9.2677859379775018E-4</v>
      </c>
    </row>
    <row r="834" spans="1:5" x14ac:dyDescent="0.4">
      <c r="A834" s="27">
        <v>43297</v>
      </c>
      <c r="B834" s="29">
        <f>Cours_Hist_figé!B898/Cours_Hist_figé!B834 - 1</f>
        <v>2.5683315737826451E-2</v>
      </c>
      <c r="C834" s="29">
        <f>Cours_Hist_figé!C898/Cours_Hist_figé!C834 - 1</f>
        <v>-2.6865201732733102E-3</v>
      </c>
      <c r="D834" s="29">
        <f>Cours_Hist_figé!D898/Cours_Hist_figé!D834 - 1</f>
        <v>-9.4686192843873584E-4</v>
      </c>
      <c r="E834" s="29">
        <f>Cours_Hist_figé!E898/Cours_Hist_figé!E834 - 1</f>
        <v>-9.4686192843873584E-4</v>
      </c>
    </row>
    <row r="835" spans="1:5" x14ac:dyDescent="0.4">
      <c r="A835" s="27">
        <v>43298</v>
      </c>
      <c r="B835" s="29">
        <f>Cours_Hist_figé!B899/Cours_Hist_figé!B835 - 1</f>
        <v>3.158218140481317E-2</v>
      </c>
      <c r="C835" s="29">
        <f>Cours_Hist_figé!C899/Cours_Hist_figé!C835 - 1</f>
        <v>-1.8825948312184426E-4</v>
      </c>
      <c r="D835" s="29">
        <f>Cours_Hist_figé!D899/Cours_Hist_figé!D835 - 1</f>
        <v>-9.2667817308023093E-4</v>
      </c>
      <c r="E835" s="29">
        <f>Cours_Hist_figé!E899/Cours_Hist_figé!E835 - 1</f>
        <v>-9.2667817308023093E-4</v>
      </c>
    </row>
    <row r="836" spans="1:5" x14ac:dyDescent="0.4">
      <c r="A836" s="27">
        <v>43299</v>
      </c>
      <c r="B836" s="29">
        <f>Cours_Hist_figé!B900/Cours_Hist_figé!B836 - 1</f>
        <v>2.8959711691981305E-2</v>
      </c>
      <c r="C836" s="29">
        <f>Cours_Hist_figé!C900/Cours_Hist_figé!C836 - 1</f>
        <v>-1.8007401756671149E-3</v>
      </c>
      <c r="D836" s="29">
        <f>Cours_Hist_figé!D900/Cours_Hist_figé!D836 - 1</f>
        <v>-9.2658039819371041E-4</v>
      </c>
      <c r="E836" s="29">
        <f>Cours_Hist_figé!E900/Cours_Hist_figé!E836 - 1</f>
        <v>-9.2658039819371041E-4</v>
      </c>
    </row>
    <row r="837" spans="1:5" x14ac:dyDescent="0.4">
      <c r="A837" s="27">
        <v>43300</v>
      </c>
      <c r="B837" s="29">
        <f>Cours_Hist_figé!B901/Cours_Hist_figé!B837 - 1</f>
        <v>2.3797884590938567E-2</v>
      </c>
      <c r="C837" s="29">
        <f>Cours_Hist_figé!C901/Cours_Hist_figé!C837 - 1</f>
        <v>-1.2747390019816063E-3</v>
      </c>
      <c r="D837" s="29">
        <f>Cours_Hist_figé!D901/Cours_Hist_figé!D837 - 1</f>
        <v>-9.2658218494068301E-4</v>
      </c>
      <c r="E837" s="29">
        <f>Cours_Hist_figé!E901/Cours_Hist_figé!E837 - 1</f>
        <v>-9.2658218494068301E-4</v>
      </c>
    </row>
    <row r="838" spans="1:5" x14ac:dyDescent="0.4">
      <c r="A838" s="27">
        <v>43301</v>
      </c>
      <c r="B838" s="29">
        <f>Cours_Hist_figé!B902/Cours_Hist_figé!B838 - 1</f>
        <v>2.1526384966701784E-2</v>
      </c>
      <c r="C838" s="29">
        <f>Cours_Hist_figé!C902/Cours_Hist_figé!C838 - 1</f>
        <v>-5.4481984490262203E-4</v>
      </c>
      <c r="D838" s="29">
        <f>Cours_Hist_figé!D902/Cours_Hist_figé!D838 - 1</f>
        <v>-9.2658397882128263E-4</v>
      </c>
      <c r="E838" s="29">
        <f>Cours_Hist_figé!E902/Cours_Hist_figé!E838 - 1</f>
        <v>-9.2658397882128263E-4</v>
      </c>
    </row>
    <row r="839" spans="1:5" x14ac:dyDescent="0.4">
      <c r="A839" s="27">
        <v>43304</v>
      </c>
      <c r="B839" s="29">
        <f>Cours_Hist_figé!B903/Cours_Hist_figé!B839 - 1</f>
        <v>1.9720068803536828E-2</v>
      </c>
      <c r="C839" s="29">
        <f>Cours_Hist_figé!C903/Cours_Hist_figé!C839 - 1</f>
        <v>-1.709475688658979E-3</v>
      </c>
      <c r="D839" s="29">
        <f>Cours_Hist_figé!D903/Cours_Hist_figé!D839 - 1</f>
        <v>-9.4695989056170493E-4</v>
      </c>
      <c r="E839" s="29">
        <f>Cours_Hist_figé!E903/Cours_Hist_figé!E839 - 1</f>
        <v>-9.4695989056181595E-4</v>
      </c>
    </row>
    <row r="840" spans="1:5" x14ac:dyDescent="0.4">
      <c r="A840" s="27">
        <v>43305</v>
      </c>
      <c r="B840" s="29">
        <f>Cours_Hist_figé!B904/Cours_Hist_figé!B840 - 1</f>
        <v>2.4736452423688382E-2</v>
      </c>
      <c r="C840" s="29">
        <f>Cours_Hist_figé!C904/Cours_Hist_figé!C840 - 1</f>
        <v>1.3800867127722327E-4</v>
      </c>
      <c r="D840" s="29">
        <f>Cours_Hist_figé!D904/Cours_Hist_figé!D840 - 1</f>
        <v>-9.2647634470843787E-4</v>
      </c>
      <c r="E840" s="29">
        <f>Cours_Hist_figé!E904/Cours_Hist_figé!E840 - 1</f>
        <v>-9.2647634470843787E-4</v>
      </c>
    </row>
    <row r="841" spans="1:5" x14ac:dyDescent="0.4">
      <c r="A841" s="27">
        <v>43306</v>
      </c>
      <c r="B841" s="29">
        <f>Cours_Hist_figé!B905/Cours_Hist_figé!B841 - 1</f>
        <v>2.1557446673905023E-2</v>
      </c>
      <c r="C841" s="29">
        <f>Cours_Hist_figé!C905/Cours_Hist_figé!C841 - 1</f>
        <v>6.1216597640867398E-4</v>
      </c>
      <c r="D841" s="29">
        <f>Cours_Hist_figé!D905/Cours_Hist_figé!D841 - 1</f>
        <v>-9.2647813760060593E-4</v>
      </c>
      <c r="E841" s="29">
        <f>Cours_Hist_figé!E905/Cours_Hist_figé!E841 - 1</f>
        <v>-9.2647813760082798E-4</v>
      </c>
    </row>
    <row r="842" spans="1:5" x14ac:dyDescent="0.4">
      <c r="A842" s="27">
        <v>43307</v>
      </c>
      <c r="B842" s="29">
        <f>Cours_Hist_figé!B906/Cours_Hist_figé!B842 - 1</f>
        <v>3.6912519030331437E-2</v>
      </c>
      <c r="C842" s="29">
        <f>Cours_Hist_figé!C906/Cours_Hist_figé!C842 - 1</f>
        <v>3.3229057767591996E-4</v>
      </c>
      <c r="D842" s="29">
        <f>Cours_Hist_figé!D906/Cours_Hist_figé!D842 - 1</f>
        <v>-9.2638034558856219E-4</v>
      </c>
      <c r="E842" s="29">
        <f>Cours_Hist_figé!E906/Cours_Hist_figé!E842 - 1</f>
        <v>-9.2638034558845117E-4</v>
      </c>
    </row>
    <row r="843" spans="1:5" x14ac:dyDescent="0.4">
      <c r="A843" s="27">
        <v>43308</v>
      </c>
      <c r="B843" s="29">
        <f>Cours_Hist_figé!B907/Cours_Hist_figé!B843 - 1</f>
        <v>3.0960750424205541E-2</v>
      </c>
      <c r="C843" s="29">
        <f>Cours_Hist_figé!C907/Cours_Hist_figé!C843 - 1</f>
        <v>-2.1276357128781065E-3</v>
      </c>
      <c r="D843" s="29">
        <f>Cours_Hist_figé!D907/Cours_Hist_figé!D843 - 1</f>
        <v>-9.2638213753803988E-4</v>
      </c>
      <c r="E843" s="29">
        <f>Cours_Hist_figé!E907/Cours_Hist_figé!E843 - 1</f>
        <v>-9.2638213753826193E-4</v>
      </c>
    </row>
    <row r="844" spans="1:5" x14ac:dyDescent="0.4">
      <c r="A844" s="27">
        <v>43311</v>
      </c>
      <c r="B844" s="29">
        <f>Cours_Hist_figé!B908/Cours_Hist_figé!B844 - 1</f>
        <v>2.5019459733960137E-2</v>
      </c>
      <c r="C844" s="29">
        <f>Cours_Hist_figé!C908/Cours_Hist_figé!C844 - 1</f>
        <v>-5.6408516413605225E-3</v>
      </c>
      <c r="D844" s="29">
        <f>Cours_Hist_figé!D908/Cours_Hist_figé!D844 - 1</f>
        <v>-9.4666757708194993E-4</v>
      </c>
      <c r="E844" s="29">
        <f>Cours_Hist_figé!E908/Cours_Hist_figé!E844 - 1</f>
        <v>-9.4666757708194993E-4</v>
      </c>
    </row>
    <row r="845" spans="1:5" x14ac:dyDescent="0.4">
      <c r="A845" s="27">
        <v>43312</v>
      </c>
      <c r="B845" s="29">
        <f>Cours_Hist_figé!B909/Cours_Hist_figé!B845 - 1</f>
        <v>2.5031611980248281E-2</v>
      </c>
      <c r="C845" s="29">
        <f>Cours_Hist_figé!C909/Cours_Hist_figé!C845 - 1</f>
        <v>-4.1681774559030327E-3</v>
      </c>
      <c r="D845" s="29">
        <f>Cours_Hist_figé!D909/Cours_Hist_figé!D845 - 1</f>
        <v>-9.2618246543729743E-4</v>
      </c>
      <c r="E845" s="29">
        <f>Cours_Hist_figé!E909/Cours_Hist_figé!E845 - 1</f>
        <v>-9.2618246543718641E-4</v>
      </c>
    </row>
    <row r="846" spans="1:5" x14ac:dyDescent="0.4">
      <c r="A846" s="27">
        <v>43313</v>
      </c>
      <c r="B846" s="29">
        <f>Cours_Hist_figé!B910/Cours_Hist_figé!B846 - 1</f>
        <v>2.1238504665125113E-2</v>
      </c>
      <c r="C846" s="29">
        <f>Cours_Hist_figé!C910/Cours_Hist_figé!C846 - 1</f>
        <v>-6.7279702195675029E-3</v>
      </c>
      <c r="D846" s="29">
        <f>Cours_Hist_figé!D910/Cours_Hist_figé!D846 - 1</f>
        <v>-9.1638777217428746E-4</v>
      </c>
      <c r="E846" s="29">
        <f>Cours_Hist_figé!E910/Cours_Hist_figé!E846 - 1</f>
        <v>-9.1638777217439848E-4</v>
      </c>
    </row>
    <row r="847" spans="1:5" x14ac:dyDescent="0.4">
      <c r="A847" s="27">
        <v>43314</v>
      </c>
      <c r="B847" s="29">
        <f>Cours_Hist_figé!B911/Cours_Hist_figé!B847 - 1</f>
        <v>6.6639642323793602E-3</v>
      </c>
      <c r="C847" s="29">
        <f>Cours_Hist_figé!C911/Cours_Hist_figé!C847 - 1</f>
        <v>-6.5365366086896914E-3</v>
      </c>
      <c r="D847" s="29">
        <f>Cours_Hist_figé!D911/Cours_Hist_figé!D847 - 1</f>
        <v>-9.2627731729255647E-4</v>
      </c>
      <c r="E847" s="29">
        <f>Cours_Hist_figé!E911/Cours_Hist_figé!E847 - 1</f>
        <v>-9.2627731729266749E-4</v>
      </c>
    </row>
    <row r="848" spans="1:5" x14ac:dyDescent="0.4">
      <c r="A848" s="27">
        <v>43315</v>
      </c>
      <c r="B848" s="29">
        <f>Cours_Hist_figé!B912/Cours_Hist_figé!B848 - 1</f>
        <v>2.0698076341581384E-2</v>
      </c>
      <c r="C848" s="29">
        <f>Cours_Hist_figé!C912/Cours_Hist_figé!C848 - 1</f>
        <v>-6.7192123030487272E-3</v>
      </c>
      <c r="D848" s="29">
        <f>Cours_Hist_figé!D912/Cours_Hist_figé!D848 - 1</f>
        <v>-9.2627882448859111E-4</v>
      </c>
      <c r="E848" s="29">
        <f>Cours_Hist_figé!E912/Cours_Hist_figé!E848 - 1</f>
        <v>-9.2627882448870213E-4</v>
      </c>
    </row>
    <row r="849" spans="1:5" x14ac:dyDescent="0.4">
      <c r="A849" s="27">
        <v>43318</v>
      </c>
      <c r="B849" s="29">
        <f>Cours_Hist_figé!B913/Cours_Hist_figé!B849 - 1</f>
        <v>1.2165838794717443E-2</v>
      </c>
      <c r="C849" s="29">
        <f>Cours_Hist_figé!C913/Cours_Hist_figé!C849 - 1</f>
        <v>-3.8090595341155886E-3</v>
      </c>
      <c r="D849" s="29">
        <f>Cours_Hist_figé!D913/Cours_Hist_figé!D849 - 1</f>
        <v>-9.4586074120306396E-4</v>
      </c>
      <c r="E849" s="29">
        <f>Cours_Hist_figé!E913/Cours_Hist_figé!E849 - 1</f>
        <v>-9.4586074120306396E-4</v>
      </c>
    </row>
    <row r="850" spans="1:5" x14ac:dyDescent="0.4">
      <c r="A850" s="27">
        <v>43319</v>
      </c>
      <c r="B850" s="29">
        <f>Cours_Hist_figé!B914/Cours_Hist_figé!B850 - 1</f>
        <v>9.1077850202030408E-3</v>
      </c>
      <c r="C850" s="29">
        <f>Cours_Hist_figé!C914/Cours_Hist_figé!C850 - 1</f>
        <v>-3.0063180780728338E-3</v>
      </c>
      <c r="D850" s="29">
        <f>Cours_Hist_figé!D914/Cours_Hist_figé!D850 - 1</f>
        <v>-9.1579158412335993E-4</v>
      </c>
      <c r="E850" s="29">
        <f>Cours_Hist_figé!E914/Cours_Hist_figé!E850 - 1</f>
        <v>-9.1579158412347095E-4</v>
      </c>
    </row>
    <row r="851" spans="1:5" x14ac:dyDescent="0.4">
      <c r="A851" s="27">
        <v>43320</v>
      </c>
      <c r="B851" s="29">
        <f>Cours_Hist_figé!B915/Cours_Hist_figé!B851 - 1</f>
        <v>2.7864552941303522E-4</v>
      </c>
      <c r="C851" s="29">
        <f>Cours_Hist_figé!C915/Cours_Hist_figé!C851 - 1</f>
        <v>-2.9401780378800479E-3</v>
      </c>
      <c r="D851" s="29">
        <f>Cours_Hist_figé!D915/Cours_Hist_figé!D851 - 1</f>
        <v>-9.1558633240451659E-4</v>
      </c>
      <c r="E851" s="29">
        <f>Cours_Hist_figé!E915/Cours_Hist_figé!E851 - 1</f>
        <v>-9.1558633240451659E-4</v>
      </c>
    </row>
    <row r="852" spans="1:5" x14ac:dyDescent="0.4">
      <c r="A852" s="27">
        <v>43321</v>
      </c>
      <c r="B852" s="29">
        <f>Cours_Hist_figé!B916/Cours_Hist_figé!B852 - 1</f>
        <v>1.960543995557007E-3</v>
      </c>
      <c r="C852" s="29">
        <f>Cours_Hist_figé!C916/Cours_Hist_figé!C852 - 1</f>
        <v>-2.2584038875806955E-3</v>
      </c>
      <c r="D852" s="29">
        <f>Cours_Hist_figé!D916/Cours_Hist_figé!D852 - 1</f>
        <v>-9.1548823221077047E-4</v>
      </c>
      <c r="E852" s="29">
        <f>Cours_Hist_figé!E916/Cours_Hist_figé!E852 - 1</f>
        <v>-9.1548823221088149E-4</v>
      </c>
    </row>
    <row r="853" spans="1:5" x14ac:dyDescent="0.4">
      <c r="A853" s="27">
        <v>43322</v>
      </c>
      <c r="B853" s="29">
        <f>Cours_Hist_figé!B917/Cours_Hist_figé!B853 - 1</f>
        <v>-1.0492081039291334E-2</v>
      </c>
      <c r="C853" s="29">
        <f>Cours_Hist_figé!C917/Cours_Hist_figé!C853 - 1</f>
        <v>-1.1874609256024016E-3</v>
      </c>
      <c r="D853" s="29">
        <f>Cours_Hist_figé!D917/Cours_Hist_figé!D853 - 1</f>
        <v>-9.1529062735518085E-4</v>
      </c>
      <c r="E853" s="29">
        <f>Cours_Hist_figé!E917/Cours_Hist_figé!E853 - 1</f>
        <v>-9.1529062735495881E-4</v>
      </c>
    </row>
    <row r="854" spans="1:5" x14ac:dyDescent="0.4">
      <c r="A854" s="27">
        <v>43325</v>
      </c>
      <c r="B854" s="29">
        <f>Cours_Hist_figé!B918/Cours_Hist_figé!B854 - 1</f>
        <v>-1.3154663006573752E-2</v>
      </c>
      <c r="C854" s="29">
        <f>Cours_Hist_figé!C918/Cours_Hist_figé!C854 - 1</f>
        <v>-4.5468877718046752E-4</v>
      </c>
      <c r="D854" s="29">
        <f>Cours_Hist_figé!D918/Cours_Hist_figé!D854 - 1</f>
        <v>-9.1488914608373051E-4</v>
      </c>
      <c r="E854" s="29">
        <f>Cours_Hist_figé!E918/Cours_Hist_figé!E854 - 1</f>
        <v>-9.1488914608384153E-4</v>
      </c>
    </row>
    <row r="855" spans="1:5" x14ac:dyDescent="0.4">
      <c r="A855" s="27">
        <v>43326</v>
      </c>
      <c r="B855" s="29">
        <f>Cours_Hist_figé!B919/Cours_Hist_figé!B855 - 1</f>
        <v>-1.3740422197086932E-2</v>
      </c>
      <c r="C855" s="29">
        <f>Cours_Hist_figé!C919/Cours_Hist_figé!C855 - 1</f>
        <v>1.2978465242174941E-3</v>
      </c>
      <c r="D855" s="29">
        <f>Cours_Hist_figé!D919/Cours_Hist_figé!D855 - 1</f>
        <v>-9.1479104100378184E-4</v>
      </c>
      <c r="E855" s="29">
        <f>Cours_Hist_figé!E919/Cours_Hist_figé!E855 - 1</f>
        <v>-9.1479104100378184E-4</v>
      </c>
    </row>
    <row r="856" spans="1:5" x14ac:dyDescent="0.4">
      <c r="A856" s="27">
        <v>43327</v>
      </c>
      <c r="B856" s="29">
        <f>Cours_Hist_figé!B920/Cours_Hist_figé!B856 - 1</f>
        <v>-2.9237770244624484E-2</v>
      </c>
      <c r="C856" s="29">
        <f>Cours_Hist_figé!C920/Cours_Hist_figé!C856 - 1</f>
        <v>2.5077627461491669E-3</v>
      </c>
      <c r="D856" s="29">
        <f>Cours_Hist_figé!D920/Cours_Hist_figé!D856 - 1</f>
        <v>-9.1479252581061488E-4</v>
      </c>
      <c r="E856" s="29">
        <f>Cours_Hist_figé!E920/Cours_Hist_figé!E856 - 1</f>
        <v>-9.1479252581050385E-4</v>
      </c>
    </row>
    <row r="857" spans="1:5" x14ac:dyDescent="0.4">
      <c r="A857" s="27">
        <v>43328</v>
      </c>
      <c r="B857" s="29">
        <f>Cours_Hist_figé!B921/Cours_Hist_figé!B857 - 1</f>
        <v>-3.0738785394682999E-2</v>
      </c>
      <c r="C857" s="29">
        <f>Cours_Hist_figé!C921/Cours_Hist_figé!C857 - 1</f>
        <v>3.6986693663860759E-3</v>
      </c>
      <c r="D857" s="29">
        <f>Cours_Hist_figé!D921/Cours_Hist_figé!D857 - 1</f>
        <v>-9.146945930003092E-4</v>
      </c>
      <c r="E857" s="29">
        <f>Cours_Hist_figé!E921/Cours_Hist_figé!E857 - 1</f>
        <v>-9.1469459300019818E-4</v>
      </c>
    </row>
    <row r="858" spans="1:5" x14ac:dyDescent="0.4">
      <c r="A858" s="27">
        <v>43329</v>
      </c>
      <c r="B858" s="29">
        <f>Cours_Hist_figé!B922/Cours_Hist_figé!B858 - 1</f>
        <v>-2.9456236001229708E-2</v>
      </c>
      <c r="C858" s="29">
        <f>Cours_Hist_figé!C922/Cours_Hist_figé!C858 - 1</f>
        <v>3.1795829583383117E-3</v>
      </c>
      <c r="D858" s="29">
        <f>Cours_Hist_figé!D922/Cours_Hist_figé!D858 - 1</f>
        <v>-9.1458891249895924E-4</v>
      </c>
      <c r="E858" s="29">
        <f>Cours_Hist_figé!E922/Cours_Hist_figé!E858 - 1</f>
        <v>-9.1458891249873719E-4</v>
      </c>
    </row>
    <row r="859" spans="1:5" x14ac:dyDescent="0.4">
      <c r="A859" s="27">
        <v>43332</v>
      </c>
      <c r="B859" s="29">
        <f>Cours_Hist_figé!B923/Cours_Hist_figé!B859 - 1</f>
        <v>-2.7550247313349652E-2</v>
      </c>
      <c r="C859" s="29">
        <f>Cours_Hist_figé!C923/Cours_Hist_figé!C859 - 1</f>
        <v>5.5220241450364416E-3</v>
      </c>
      <c r="D859" s="29">
        <f>Cours_Hist_figé!D923/Cours_Hist_figé!D859 - 1</f>
        <v>-9.1369009049868666E-4</v>
      </c>
      <c r="E859" s="29">
        <f>Cours_Hist_figé!E923/Cours_Hist_figé!E859 - 1</f>
        <v>-9.1369009049868666E-4</v>
      </c>
    </row>
    <row r="860" spans="1:5" x14ac:dyDescent="0.4">
      <c r="A860" s="27">
        <v>43333</v>
      </c>
      <c r="B860" s="29">
        <f>Cours_Hist_figé!B924/Cours_Hist_figé!B860 - 1</f>
        <v>-2.7966504311632612E-2</v>
      </c>
      <c r="C860" s="29">
        <f>Cours_Hist_figé!C924/Cours_Hist_figé!C860 - 1</f>
        <v>5.5182565279126017E-3</v>
      </c>
      <c r="D860" s="29">
        <f>Cours_Hist_figé!D924/Cours_Hist_figé!D860 - 1</f>
        <v>-9.1349253645756079E-4</v>
      </c>
      <c r="E860" s="29">
        <f>Cours_Hist_figé!E924/Cours_Hist_figé!E860 - 1</f>
        <v>-9.1349253645767181E-4</v>
      </c>
    </row>
    <row r="861" spans="1:5" x14ac:dyDescent="0.4">
      <c r="A861" s="27">
        <v>43334</v>
      </c>
      <c r="B861" s="29">
        <f>Cours_Hist_figé!B925/Cours_Hist_figé!B861 - 1</f>
        <v>-1.7167807253574252E-2</v>
      </c>
      <c r="C861" s="29">
        <f>Cours_Hist_figé!C925/Cours_Hist_figé!C861 - 1</f>
        <v>3.429966708316412E-3</v>
      </c>
      <c r="D861" s="29">
        <f>Cours_Hist_figé!D925/Cours_Hist_figé!D861 - 1</f>
        <v>-9.1349409937624415E-4</v>
      </c>
      <c r="E861" s="29">
        <f>Cours_Hist_figé!E925/Cours_Hist_figé!E861 - 1</f>
        <v>-9.1349409937613313E-4</v>
      </c>
    </row>
    <row r="862" spans="1:5" x14ac:dyDescent="0.4">
      <c r="A862" s="27">
        <v>43335</v>
      </c>
      <c r="B862" s="29">
        <f>Cours_Hist_figé!B926/Cours_Hist_figé!B862 - 1</f>
        <v>-1.3291686501906153E-2</v>
      </c>
      <c r="C862" s="29">
        <f>Cours_Hist_figé!C926/Cours_Hist_figé!C862 - 1</f>
        <v>1.0304814895587544E-3</v>
      </c>
      <c r="D862" s="29">
        <f>Cours_Hist_figé!D926/Cours_Hist_figé!D862 - 1</f>
        <v>-9.1349566232656887E-4</v>
      </c>
      <c r="E862" s="29">
        <f>Cours_Hist_figé!E926/Cours_Hist_figé!E862 - 1</f>
        <v>-9.1349566232645785E-4</v>
      </c>
    </row>
    <row r="863" spans="1:5" x14ac:dyDescent="0.4">
      <c r="A863" s="27">
        <v>43336</v>
      </c>
      <c r="B863" s="29">
        <f>Cours_Hist_figé!B927/Cours_Hist_figé!B863 - 1</f>
        <v>-1.3952623598087799E-2</v>
      </c>
      <c r="C863" s="29">
        <f>Cours_Hist_figé!C927/Cours_Hist_figé!C863 - 1</f>
        <v>2.4656538045064735E-4</v>
      </c>
      <c r="D863" s="29">
        <f>Cours_Hist_figé!D927/Cours_Hist_figé!D863 - 1</f>
        <v>-9.134972253083129E-4</v>
      </c>
      <c r="E863" s="29">
        <f>Cours_Hist_figé!E927/Cours_Hist_figé!E863 - 1</f>
        <v>-9.1349722530842392E-4</v>
      </c>
    </row>
    <row r="864" spans="1:5" x14ac:dyDescent="0.4">
      <c r="A864" s="27">
        <v>43340</v>
      </c>
      <c r="B864" s="29">
        <f>Cours_Hist_figé!B928/Cours_Hist_figé!B864 - 1</f>
        <v>6.8028242682631745E-3</v>
      </c>
      <c r="C864" s="29">
        <f>Cours_Hist_figé!C928/Cours_Hist_figé!C864 - 1</f>
        <v>2.2761346434236884E-3</v>
      </c>
      <c r="D864" s="29">
        <f>Cours_Hist_figé!D928/Cours_Hist_figé!D864 - 1</f>
        <v>-9.130899844262963E-4</v>
      </c>
      <c r="E864" s="29">
        <f>Cours_Hist_figé!E928/Cours_Hist_figé!E864 - 1</f>
        <v>-9.1308998442618527E-4</v>
      </c>
    </row>
    <row r="865" spans="1:5" x14ac:dyDescent="0.4">
      <c r="A865" s="27">
        <v>43341</v>
      </c>
      <c r="B865" s="29">
        <f>Cours_Hist_figé!B929/Cours_Hist_figé!B865 - 1</f>
        <v>6.2706364359295108E-3</v>
      </c>
      <c r="C865" s="29">
        <f>Cours_Hist_figé!C929/Cours_Hist_figé!C865 - 1</f>
        <v>2.8821999377039997E-3</v>
      </c>
      <c r="D865" s="29">
        <f>Cours_Hist_figé!D929/Cours_Hist_figé!D865 - 1</f>
        <v>-9.1309154339047627E-4</v>
      </c>
      <c r="E865" s="29">
        <f>Cours_Hist_figé!E929/Cours_Hist_figé!E865 - 1</f>
        <v>-9.1309154339058729E-4</v>
      </c>
    </row>
    <row r="866" spans="1:5" x14ac:dyDescent="0.4">
      <c r="A866" s="27">
        <v>43342</v>
      </c>
      <c r="B866" s="29">
        <f>Cours_Hist_figé!B930/Cours_Hist_figé!B866 - 1</f>
        <v>9.5874541130349655E-3</v>
      </c>
      <c r="C866" s="29">
        <f>Cours_Hist_figé!C930/Cours_Hist_figé!C866 - 1</f>
        <v>3.2361859593876829E-4</v>
      </c>
      <c r="D866" s="29">
        <f>Cours_Hist_figé!D930/Cours_Hist_figé!D866 - 1</f>
        <v>-9.1329214854785068E-4</v>
      </c>
      <c r="E866" s="29">
        <f>Cours_Hist_figé!E930/Cours_Hist_figé!E866 - 1</f>
        <v>-9.1329214854785068E-4</v>
      </c>
    </row>
    <row r="867" spans="1:5" x14ac:dyDescent="0.4">
      <c r="A867" s="27">
        <v>43343</v>
      </c>
      <c r="B867" s="29">
        <f>Cours_Hist_figé!B931/Cours_Hist_figé!B867 - 1</f>
        <v>-8.6774927588637585E-3</v>
      </c>
      <c r="C867" s="29">
        <f>Cours_Hist_figé!C931/Cours_Hist_figé!C867 - 1</f>
        <v>4.1501132215460146E-5</v>
      </c>
      <c r="D867" s="29">
        <f>Cours_Hist_figé!D931/Cours_Hist_figé!D867 - 1</f>
        <v>-9.1349266667983819E-4</v>
      </c>
      <c r="E867" s="29">
        <f>Cours_Hist_figé!E931/Cours_Hist_figé!E867 - 1</f>
        <v>-9.1349266667983819E-4</v>
      </c>
    </row>
    <row r="868" spans="1:5" x14ac:dyDescent="0.4">
      <c r="A868" s="27">
        <v>43346</v>
      </c>
      <c r="B868" s="29">
        <f>Cours_Hist_figé!B932/Cours_Hist_figé!B868 - 1</f>
        <v>-1.0615755709707075E-2</v>
      </c>
      <c r="C868" s="29">
        <f>Cours_Hist_figé!C932/Cours_Hist_figé!C868 - 1</f>
        <v>-1.159241845371306E-3</v>
      </c>
      <c r="D868" s="29">
        <f>Cours_Hist_figé!D932/Cours_Hist_figé!D868 - 1</f>
        <v>-9.1219420430688203E-4</v>
      </c>
      <c r="E868" s="29">
        <f>Cours_Hist_figé!E932/Cours_Hist_figé!E868 - 1</f>
        <v>-9.1219420430710407E-4</v>
      </c>
    </row>
    <row r="869" spans="1:5" x14ac:dyDescent="0.4">
      <c r="A869" s="27">
        <v>43347</v>
      </c>
      <c r="B869" s="29">
        <f>Cours_Hist_figé!B933/Cours_Hist_figé!B869 - 1</f>
        <v>-1.4276933418454152E-2</v>
      </c>
      <c r="C869" s="29">
        <f>Cours_Hist_figé!C933/Cours_Hist_figé!C869 - 1</f>
        <v>7.2463301363567822E-5</v>
      </c>
      <c r="D869" s="29">
        <f>Cours_Hist_figé!D933/Cours_Hist_figé!D869 - 1</f>
        <v>-9.12195572572716E-4</v>
      </c>
      <c r="E869" s="29">
        <f>Cours_Hist_figé!E933/Cours_Hist_figé!E869 - 1</f>
        <v>-9.1219557257293804E-4</v>
      </c>
    </row>
    <row r="870" spans="1:5" x14ac:dyDescent="0.4">
      <c r="A870" s="27">
        <v>43348</v>
      </c>
      <c r="B870" s="29">
        <f>Cours_Hist_figé!B934/Cours_Hist_figé!B870 - 1</f>
        <v>-2.483480691880946E-2</v>
      </c>
      <c r="C870" s="29">
        <f>Cours_Hist_figé!C934/Cours_Hist_figé!C870 - 1</f>
        <v>5.9456847097827392E-3</v>
      </c>
      <c r="D870" s="29">
        <f>Cours_Hist_figé!D934/Cours_Hist_figé!D870 - 1</f>
        <v>-9.1199012873433016E-4</v>
      </c>
      <c r="E870" s="29">
        <f>Cours_Hist_figé!E934/Cours_Hist_figé!E870 - 1</f>
        <v>-9.1199012873433016E-4</v>
      </c>
    </row>
    <row r="871" spans="1:5" x14ac:dyDescent="0.4">
      <c r="A871" s="27">
        <v>43349</v>
      </c>
      <c r="B871" s="29">
        <f>Cours_Hist_figé!B935/Cours_Hist_figé!B871 - 1</f>
        <v>-2.851537365303769E-2</v>
      </c>
      <c r="C871" s="29">
        <f>Cours_Hist_figé!C935/Cours_Hist_figé!C871 - 1</f>
        <v>9.2669958839053379E-3</v>
      </c>
      <c r="D871" s="29">
        <f>Cours_Hist_figé!D935/Cours_Hist_figé!D871 - 1</f>
        <v>-9.1199149500686971E-4</v>
      </c>
      <c r="E871" s="29">
        <f>Cours_Hist_figé!E935/Cours_Hist_figé!E871 - 1</f>
        <v>-9.1199149500686971E-4</v>
      </c>
    </row>
    <row r="872" spans="1:5" x14ac:dyDescent="0.4">
      <c r="A872" s="27">
        <v>43350</v>
      </c>
      <c r="B872" s="29">
        <f>Cours_Hist_figé!B936/Cours_Hist_figé!B872 - 1</f>
        <v>-2.5707394687490059E-2</v>
      </c>
      <c r="C872" s="29">
        <f>Cours_Hist_figé!C936/Cours_Hist_figé!C872 - 1</f>
        <v>8.0742375424456281E-3</v>
      </c>
      <c r="D872" s="29">
        <f>Cours_Hist_figé!D936/Cours_Hist_figé!D872 - 1</f>
        <v>-9.119928613064987E-4</v>
      </c>
      <c r="E872" s="29">
        <f>Cours_Hist_figé!E936/Cours_Hist_figé!E872 - 1</f>
        <v>-9.1199286130672075E-4</v>
      </c>
    </row>
    <row r="873" spans="1:5" x14ac:dyDescent="0.4">
      <c r="A873" s="27">
        <v>43353</v>
      </c>
      <c r="B873" s="29">
        <f>Cours_Hist_figé!B937/Cours_Hist_figé!B873 - 1</f>
        <v>-2.8611484102960882E-2</v>
      </c>
      <c r="C873" s="29">
        <f>Cours_Hist_figé!C937/Cours_Hist_figé!C873 - 1</f>
        <v>7.7109101719088358E-3</v>
      </c>
      <c r="D873" s="29">
        <f>Cours_Hist_figé!D937/Cours_Hist_figé!D873 - 1</f>
        <v>-9.1238779650182344E-4</v>
      </c>
      <c r="E873" s="29">
        <f>Cours_Hist_figé!E937/Cours_Hist_figé!E873 - 1</f>
        <v>-9.1238779650182344E-4</v>
      </c>
    </row>
    <row r="874" spans="1:5" x14ac:dyDescent="0.4">
      <c r="A874" s="27">
        <v>43354</v>
      </c>
      <c r="B874" s="29">
        <f>Cours_Hist_figé!B938/Cours_Hist_figé!B874 - 1</f>
        <v>-2.7970871025256749E-2</v>
      </c>
      <c r="C874" s="29">
        <f>Cours_Hist_figé!C938/Cours_Hist_figé!C874 - 1</f>
        <v>6.3364536119570047E-3</v>
      </c>
      <c r="D874" s="29">
        <f>Cours_Hist_figé!D938/Cours_Hist_figé!D874 - 1</f>
        <v>-9.1228963178391353E-4</v>
      </c>
      <c r="E874" s="29">
        <f>Cours_Hist_figé!E938/Cours_Hist_figé!E874 - 1</f>
        <v>-9.1228963178380251E-4</v>
      </c>
    </row>
    <row r="875" spans="1:5" x14ac:dyDescent="0.4">
      <c r="A875" s="27">
        <v>43355</v>
      </c>
      <c r="B875" s="29">
        <f>Cours_Hist_figé!B939/Cours_Hist_figé!B875 - 1</f>
        <v>-2.5154428278666208E-2</v>
      </c>
      <c r="C875" s="29">
        <f>Cours_Hist_figé!C939/Cours_Hist_figé!C875 - 1</f>
        <v>5.25587448034881E-3</v>
      </c>
      <c r="D875" s="29">
        <f>Cours_Hist_figé!D939/Cours_Hist_figé!D875 - 1</f>
        <v>-9.1229883949683899E-4</v>
      </c>
      <c r="E875" s="29">
        <f>Cours_Hist_figé!E939/Cours_Hist_figé!E875 - 1</f>
        <v>-9.1229883949695001E-4</v>
      </c>
    </row>
    <row r="876" spans="1:5" x14ac:dyDescent="0.4">
      <c r="A876" s="27">
        <v>43356</v>
      </c>
      <c r="B876" s="29">
        <f>Cours_Hist_figé!B940/Cours_Hist_figé!B876 - 1</f>
        <v>-3.8149882788224732E-2</v>
      </c>
      <c r="C876" s="29">
        <f>Cours_Hist_figé!C940/Cours_Hist_figé!C876 - 1</f>
        <v>1.8042461485354711E-3</v>
      </c>
      <c r="D876" s="29">
        <f>Cours_Hist_figé!D940/Cours_Hist_figé!D876 - 1</f>
        <v>-9.1249198282750132E-4</v>
      </c>
      <c r="E876" s="29">
        <f>Cours_Hist_figé!E940/Cours_Hist_figé!E876 - 1</f>
        <v>-9.1249198282772337E-4</v>
      </c>
    </row>
    <row r="877" spans="1:5" x14ac:dyDescent="0.4">
      <c r="A877" s="27">
        <v>43357</v>
      </c>
      <c r="B877" s="29">
        <f>Cours_Hist_figé!B941/Cours_Hist_figé!B877 - 1</f>
        <v>-2.5339433869959183E-2</v>
      </c>
      <c r="C877" s="29">
        <f>Cours_Hist_figé!C941/Cours_Hist_figé!C877 - 1</f>
        <v>-2.1512596932343753E-3</v>
      </c>
      <c r="D877" s="29">
        <f>Cours_Hist_figé!D941/Cours_Hist_figé!D877 - 1</f>
        <v>-9.1249353599964778E-4</v>
      </c>
      <c r="E877" s="29">
        <f>Cours_Hist_figé!E941/Cours_Hist_figé!E877 - 1</f>
        <v>-9.1249353599953675E-4</v>
      </c>
    </row>
    <row r="878" spans="1:5" x14ac:dyDescent="0.4">
      <c r="A878" s="27">
        <v>43360</v>
      </c>
      <c r="B878" s="29">
        <f>Cours_Hist_figé!B942/Cours_Hist_figé!B878 - 1</f>
        <v>-1.6232496194650836E-2</v>
      </c>
      <c r="C878" s="29">
        <f>Cours_Hist_figé!C942/Cours_Hist_figé!C878 - 1</f>
        <v>-2.0391369649123137E-3</v>
      </c>
      <c r="D878" s="29">
        <f>Cours_Hist_figé!D942/Cours_Hist_figé!D878 - 1</f>
        <v>-9.1259025456313925E-4</v>
      </c>
      <c r="E878" s="29">
        <f>Cours_Hist_figé!E942/Cours_Hist_figé!E878 - 1</f>
        <v>-9.125902545629172E-4</v>
      </c>
    </row>
    <row r="879" spans="1:5" x14ac:dyDescent="0.4">
      <c r="A879" s="27">
        <v>43361</v>
      </c>
      <c r="B879" s="29">
        <f>Cours_Hist_figé!B943/Cours_Hist_figé!B879 - 1</f>
        <v>-8.2010978101383358E-3</v>
      </c>
      <c r="C879" s="29">
        <f>Cours_Hist_figé!C943/Cours_Hist_figé!C879 - 1</f>
        <v>-3.1183057673603853E-3</v>
      </c>
      <c r="D879" s="29">
        <f>Cours_Hist_figé!D943/Cours_Hist_figé!D879 - 1</f>
        <v>-9.1269144173766747E-4</v>
      </c>
      <c r="E879" s="29">
        <f>Cours_Hist_figé!E943/Cours_Hist_figé!E879 - 1</f>
        <v>-9.1269144173766747E-4</v>
      </c>
    </row>
    <row r="880" spans="1:5" x14ac:dyDescent="0.4">
      <c r="A880" s="27">
        <v>43362</v>
      </c>
      <c r="B880" s="29">
        <f>Cours_Hist_figé!B944/Cours_Hist_figé!B880 - 1</f>
        <v>-6.9399416111123324E-3</v>
      </c>
      <c r="C880" s="29">
        <f>Cours_Hist_figé!C944/Cours_Hist_figé!C880 - 1</f>
        <v>-4.0672942096455778E-3</v>
      </c>
      <c r="D880" s="29">
        <f>Cours_Hist_figé!D944/Cours_Hist_figé!D880 - 1</f>
        <v>-9.1279263095633834E-4</v>
      </c>
      <c r="E880" s="29">
        <f>Cours_Hist_figé!E944/Cours_Hist_figé!E880 - 1</f>
        <v>-9.1279263095633834E-4</v>
      </c>
    </row>
    <row r="881" spans="1:5" x14ac:dyDescent="0.4">
      <c r="A881" s="27">
        <v>43363</v>
      </c>
      <c r="B881" s="29">
        <f>Cours_Hist_figé!B945/Cours_Hist_figé!B881 - 1</f>
        <v>8.9438099749785671E-3</v>
      </c>
      <c r="C881" s="29">
        <f>Cours_Hist_figé!C945/Cours_Hist_figé!C881 - 1</f>
        <v>-2.7840093513129549E-3</v>
      </c>
      <c r="D881" s="29">
        <f>Cours_Hist_figé!D945/Cours_Hist_figé!D881 - 1</f>
        <v>-9.1278652303206087E-4</v>
      </c>
      <c r="E881" s="29">
        <f>Cours_Hist_figé!E945/Cours_Hist_figé!E881 - 1</f>
        <v>-9.1278652303183883E-4</v>
      </c>
    </row>
    <row r="882" spans="1:5" x14ac:dyDescent="0.4">
      <c r="A882" s="27">
        <v>43364</v>
      </c>
      <c r="B882" s="29">
        <f>Cours_Hist_figé!B946/Cours_Hist_figé!B882 - 1</f>
        <v>2.7138783705726865E-3</v>
      </c>
      <c r="C882" s="29">
        <f>Cours_Hist_figé!C946/Cours_Hist_figé!C882 - 1</f>
        <v>-1.1893149819108828E-3</v>
      </c>
      <c r="D882" s="29">
        <f>Cours_Hist_figé!D946/Cours_Hist_figé!D882 - 1</f>
        <v>-9.1289537256400433E-4</v>
      </c>
      <c r="E882" s="29">
        <f>Cours_Hist_figé!E946/Cours_Hist_figé!E882 - 1</f>
        <v>-9.1289537256400433E-4</v>
      </c>
    </row>
    <row r="883" spans="1:5" x14ac:dyDescent="0.4">
      <c r="A883" s="27">
        <v>43367</v>
      </c>
      <c r="B883" s="29">
        <f>Cours_Hist_figé!B947/Cours_Hist_figé!B883 - 1</f>
        <v>1.8703791995249075E-2</v>
      </c>
      <c r="C883" s="29">
        <f>Cours_Hist_figé!C947/Cours_Hist_figé!C883 - 1</f>
        <v>-3.3197338257539011E-3</v>
      </c>
      <c r="D883" s="29">
        <f>Cours_Hist_figé!D947/Cours_Hist_figé!D883 - 1</f>
        <v>-9.1319129719380498E-4</v>
      </c>
      <c r="E883" s="29">
        <f>Cours_Hist_figé!E947/Cours_Hist_figé!E883 - 1</f>
        <v>-9.1319129719380498E-4</v>
      </c>
    </row>
    <row r="884" spans="1:5" x14ac:dyDescent="0.4">
      <c r="A884" s="27">
        <v>43368</v>
      </c>
      <c r="B884" s="29">
        <f>Cours_Hist_figé!B948/Cours_Hist_figé!B884 - 1</f>
        <v>2.2634591169365059E-2</v>
      </c>
      <c r="C884" s="29">
        <f>Cours_Hist_figé!C948/Cours_Hist_figé!C884 - 1</f>
        <v>-2.3841375649390484E-3</v>
      </c>
      <c r="D884" s="29">
        <f>Cours_Hist_figé!D948/Cours_Hist_figé!D884 - 1</f>
        <v>-9.1329249059457496E-4</v>
      </c>
      <c r="E884" s="29">
        <f>Cours_Hist_figé!E948/Cours_Hist_figé!E884 - 1</f>
        <v>-9.1329249059435291E-4</v>
      </c>
    </row>
    <row r="885" spans="1:5" x14ac:dyDescent="0.4">
      <c r="A885" s="27">
        <v>43369</v>
      </c>
      <c r="B885" s="29">
        <f>Cours_Hist_figé!B949/Cours_Hist_figé!B885 - 1</f>
        <v>1.7809185966606522E-2</v>
      </c>
      <c r="C885" s="29">
        <f>Cours_Hist_figé!C949/Cours_Hist_figé!C885 - 1</f>
        <v>-3.1085739668396117E-3</v>
      </c>
      <c r="D885" s="29">
        <f>Cours_Hist_figé!D949/Cours_Hist_figé!D885 - 1</f>
        <v>-9.1339369303911067E-4</v>
      </c>
      <c r="E885" s="29">
        <f>Cours_Hist_figé!E949/Cours_Hist_figé!E885 - 1</f>
        <v>-9.1339369303899964E-4</v>
      </c>
    </row>
    <row r="886" spans="1:5" x14ac:dyDescent="0.4">
      <c r="A886" s="27">
        <v>43370</v>
      </c>
      <c r="B886" s="29">
        <f>Cours_Hist_figé!B950/Cours_Hist_figé!B886 - 1</f>
        <v>2.942754337986675E-2</v>
      </c>
      <c r="C886" s="29">
        <f>Cours_Hist_figé!C950/Cours_Hist_figé!C886 - 1</f>
        <v>-4.1944011660050018E-3</v>
      </c>
      <c r="D886" s="29">
        <f>Cours_Hist_figé!D950/Cours_Hist_figé!D886 - 1</f>
        <v>-9.1338768176685292E-4</v>
      </c>
      <c r="E886" s="29">
        <f>Cours_Hist_figé!E950/Cours_Hist_figé!E886 - 1</f>
        <v>-9.1338768176696394E-4</v>
      </c>
    </row>
    <row r="887" spans="1:5" x14ac:dyDescent="0.4">
      <c r="A887" s="27">
        <v>43371</v>
      </c>
      <c r="B887" s="29">
        <f>Cours_Hist_figé!B951/Cours_Hist_figé!B887 - 1</f>
        <v>1.3254633992359155E-2</v>
      </c>
      <c r="C887" s="29">
        <f>Cours_Hist_figé!C951/Cours_Hist_figé!C887 - 1</f>
        <v>-7.0482895875189078E-3</v>
      </c>
      <c r="D887" s="29">
        <f>Cours_Hist_figé!D951/Cours_Hist_figé!D887 - 1</f>
        <v>-9.1328969218973377E-4</v>
      </c>
      <c r="E887" s="29">
        <f>Cours_Hist_figé!E951/Cours_Hist_figé!E887 - 1</f>
        <v>-9.1328969218984479E-4</v>
      </c>
    </row>
    <row r="888" spans="1:5" x14ac:dyDescent="0.4">
      <c r="A888" s="27">
        <v>43374</v>
      </c>
      <c r="B888" s="29">
        <f>Cours_Hist_figé!B952/Cours_Hist_figé!B888 - 1</f>
        <v>2.3507458669940418E-2</v>
      </c>
      <c r="C888" s="29">
        <f>Cours_Hist_figé!C952/Cours_Hist_figé!C888 - 1</f>
        <v>-9.7020005392893793E-3</v>
      </c>
      <c r="D888" s="29">
        <f>Cours_Hist_figé!D952/Cours_Hist_figé!D888 - 1</f>
        <v>-9.1268837357694199E-4</v>
      </c>
      <c r="E888" s="29">
        <f>Cours_Hist_figé!E952/Cours_Hist_figé!E888 - 1</f>
        <v>-9.1268837357705301E-4</v>
      </c>
    </row>
    <row r="889" spans="1:5" x14ac:dyDescent="0.4">
      <c r="A889" s="27">
        <v>43375</v>
      </c>
      <c r="B889" s="29">
        <f>Cours_Hist_figé!B953/Cours_Hist_figé!B889 - 1</f>
        <v>1.014466582209006E-2</v>
      </c>
      <c r="C889" s="29">
        <f>Cours_Hist_figé!C953/Cours_Hist_figé!C889 - 1</f>
        <v>-9.544660037073105E-3</v>
      </c>
      <c r="D889" s="29">
        <f>Cours_Hist_figé!D953/Cours_Hist_figé!D889 - 1</f>
        <v>-9.1279714322189953E-4</v>
      </c>
      <c r="E889" s="29">
        <f>Cours_Hist_figé!E953/Cours_Hist_figé!E889 - 1</f>
        <v>-9.1279714322201055E-4</v>
      </c>
    </row>
    <row r="890" spans="1:5" x14ac:dyDescent="0.4">
      <c r="A890" s="27">
        <v>43376</v>
      </c>
      <c r="B890" s="29">
        <f>Cours_Hist_figé!B954/Cours_Hist_figé!B890 - 1</f>
        <v>1.4566964383050829E-2</v>
      </c>
      <c r="C890" s="29">
        <f>Cours_Hist_figé!C954/Cours_Hist_figé!C890 - 1</f>
        <v>-9.6213559324750397E-3</v>
      </c>
      <c r="D890" s="29">
        <f>Cours_Hist_figé!D954/Cours_Hist_figé!D890 - 1</f>
        <v>-9.1279103454344757E-4</v>
      </c>
      <c r="E890" s="29">
        <f>Cours_Hist_figé!E954/Cours_Hist_figé!E890 - 1</f>
        <v>-9.1279103454344757E-4</v>
      </c>
    </row>
    <row r="891" spans="1:5" x14ac:dyDescent="0.4">
      <c r="A891" s="27">
        <v>43377</v>
      </c>
      <c r="B891" s="29">
        <f>Cours_Hist_figé!B955/Cours_Hist_figé!B891 - 1</f>
        <v>-1.6814245546192819E-4</v>
      </c>
      <c r="C891" s="29">
        <f>Cours_Hist_figé!C955/Cours_Hist_figé!C891 - 1</f>
        <v>-1.1558698627226693E-2</v>
      </c>
      <c r="D891" s="29">
        <f>Cours_Hist_figé!D955/Cours_Hist_figé!D891 - 1</f>
        <v>-9.1278492574176084E-4</v>
      </c>
      <c r="E891" s="29">
        <f>Cours_Hist_figé!E955/Cours_Hist_figé!E891 - 1</f>
        <v>-9.127849257415388E-4</v>
      </c>
    </row>
    <row r="892" spans="1:5" x14ac:dyDescent="0.4">
      <c r="A892" s="27">
        <v>43378</v>
      </c>
      <c r="B892" s="29">
        <f>Cours_Hist_figé!B956/Cours_Hist_figé!B892 - 1</f>
        <v>-1.0653918230831838E-2</v>
      </c>
      <c r="C892" s="29">
        <f>Cours_Hist_figé!C956/Cours_Hist_figé!C892 - 1</f>
        <v>-1.3765279556509524E-2</v>
      </c>
      <c r="D892" s="29">
        <f>Cours_Hist_figé!D956/Cours_Hist_figé!D892 - 1</f>
        <v>-9.1289369963676315E-4</v>
      </c>
      <c r="E892" s="29">
        <f>Cours_Hist_figé!E956/Cours_Hist_figé!E892 - 1</f>
        <v>-9.1289369963676315E-4</v>
      </c>
    </row>
    <row r="893" spans="1:5" x14ac:dyDescent="0.4">
      <c r="A893" s="27">
        <v>43381</v>
      </c>
      <c r="B893" s="29">
        <f>Cours_Hist_figé!B957/Cours_Hist_figé!B893 - 1</f>
        <v>-2.6913467777708533E-2</v>
      </c>
      <c r="C893" s="29">
        <f>Cours_Hist_figé!C957/Cours_Hist_figé!C893 - 1</f>
        <v>-1.4439456491242231E-2</v>
      </c>
      <c r="D893" s="29">
        <f>Cours_Hist_figé!D957/Cours_Hist_figé!D893 - 1</f>
        <v>-9.1289060886923235E-4</v>
      </c>
      <c r="E893" s="29">
        <f>Cours_Hist_figé!E957/Cours_Hist_figé!E893 - 1</f>
        <v>-9.1289060886923235E-4</v>
      </c>
    </row>
    <row r="894" spans="1:5" x14ac:dyDescent="0.4">
      <c r="A894" s="27">
        <v>43382</v>
      </c>
      <c r="B894" s="29">
        <f>Cours_Hist_figé!B958/Cours_Hist_figé!B894 - 1</f>
        <v>-2.8976480991242282E-2</v>
      </c>
      <c r="C894" s="29">
        <f>Cours_Hist_figé!C958/Cours_Hist_figé!C894 - 1</f>
        <v>-1.3828879196463251E-2</v>
      </c>
      <c r="D894" s="29">
        <f>Cours_Hist_figé!D958/Cours_Hist_figé!D894 - 1</f>
        <v>-9.1299172250014493E-4</v>
      </c>
      <c r="E894" s="29">
        <f>Cours_Hist_figé!E958/Cours_Hist_figé!E894 - 1</f>
        <v>-9.1299172250025595E-4</v>
      </c>
    </row>
    <row r="895" spans="1:5" x14ac:dyDescent="0.4">
      <c r="A895" s="27">
        <v>43383</v>
      </c>
      <c r="B895" s="29">
        <f>Cours_Hist_figé!B959/Cours_Hist_figé!B895 - 1</f>
        <v>-3.173053058919284E-2</v>
      </c>
      <c r="C895" s="29">
        <f>Cours_Hist_figé!C959/Cours_Hist_figé!C895 - 1</f>
        <v>-1.4224960377076323E-2</v>
      </c>
      <c r="D895" s="29">
        <f>Cours_Hist_figé!D959/Cours_Hist_figé!D895 - 1</f>
        <v>-9.1299328112837141E-4</v>
      </c>
      <c r="E895" s="29">
        <f>Cours_Hist_figé!E959/Cours_Hist_figé!E895 - 1</f>
        <v>-9.1299328112848244E-4</v>
      </c>
    </row>
    <row r="896" spans="1:5" x14ac:dyDescent="0.4">
      <c r="A896" s="27">
        <v>43384</v>
      </c>
      <c r="B896" s="29">
        <f>Cours_Hist_figé!B960/Cours_Hist_figé!B896 - 1</f>
        <v>-5.8004097644473673E-2</v>
      </c>
      <c r="C896" s="29">
        <f>Cours_Hist_figé!C960/Cours_Hist_figé!C896 - 1</f>
        <v>-1.496216392919858E-2</v>
      </c>
      <c r="D896" s="29">
        <f>Cours_Hist_figé!D960/Cours_Hist_figé!D896 - 1</f>
        <v>-9.1308682996493751E-4</v>
      </c>
      <c r="E896" s="29">
        <f>Cours_Hist_figé!E960/Cours_Hist_figé!E896 - 1</f>
        <v>-9.1308682996482649E-4</v>
      </c>
    </row>
    <row r="897" spans="1:5" x14ac:dyDescent="0.4">
      <c r="A897" s="27">
        <v>43385</v>
      </c>
      <c r="B897" s="29">
        <f>Cours_Hist_figé!B961/Cours_Hist_figé!B897 - 1</f>
        <v>-6.2082702164993231E-2</v>
      </c>
      <c r="C897" s="29">
        <f>Cours_Hist_figé!C961/Cours_Hist_figé!C897 - 1</f>
        <v>-1.5865649470644949E-2</v>
      </c>
      <c r="D897" s="29">
        <f>Cours_Hist_figé!D961/Cours_Hist_figé!D897 - 1</f>
        <v>-9.1319570554238005E-4</v>
      </c>
      <c r="E897" s="29">
        <f>Cours_Hist_figé!E961/Cours_Hist_figé!E897 - 1</f>
        <v>-9.1319570554249108E-4</v>
      </c>
    </row>
    <row r="898" spans="1:5" x14ac:dyDescent="0.4">
      <c r="A898" s="27">
        <v>43388</v>
      </c>
      <c r="B898" s="29">
        <f>Cours_Hist_figé!B962/Cours_Hist_figé!B898 - 1</f>
        <v>-5.7332771760672752E-2</v>
      </c>
      <c r="C898" s="29">
        <f>Cours_Hist_figé!C962/Cours_Hist_figé!C898 - 1</f>
        <v>-1.4362163691007956E-2</v>
      </c>
      <c r="D898" s="29">
        <f>Cours_Hist_figé!D962/Cours_Hist_figé!D898 - 1</f>
        <v>-9.1369092388504658E-4</v>
      </c>
      <c r="E898" s="29">
        <f>Cours_Hist_figé!E962/Cours_Hist_figé!E898 - 1</f>
        <v>-9.1369092388504658E-4</v>
      </c>
    </row>
    <row r="899" spans="1:5" x14ac:dyDescent="0.4">
      <c r="A899" s="27">
        <v>43389</v>
      </c>
      <c r="B899" s="29">
        <f>Cours_Hist_figé!B963/Cours_Hist_figé!B899 - 1</f>
        <v>-4.5509862211290719E-2</v>
      </c>
      <c r="C899" s="29">
        <f>Cours_Hist_figé!C963/Cours_Hist_figé!C899 - 1</f>
        <v>-1.4716987920740165E-2</v>
      </c>
      <c r="D899" s="29">
        <f>Cours_Hist_figé!D963/Cours_Hist_figé!D899 - 1</f>
        <v>-9.1379214371511974E-4</v>
      </c>
      <c r="E899" s="29">
        <f>Cours_Hist_figé!E963/Cours_Hist_figé!E899 - 1</f>
        <v>-9.1379214371500872E-4</v>
      </c>
    </row>
    <row r="900" spans="1:5" x14ac:dyDescent="0.4">
      <c r="A900" s="27">
        <v>43390</v>
      </c>
      <c r="B900" s="29">
        <f>Cours_Hist_figé!B964/Cours_Hist_figé!B900 - 1</f>
        <v>-5.4724874524669898E-2</v>
      </c>
      <c r="C900" s="29">
        <f>Cours_Hist_figé!C964/Cours_Hist_figé!C900 - 1</f>
        <v>-1.3738467629380469E-2</v>
      </c>
      <c r="D900" s="29">
        <f>Cours_Hist_figé!D964/Cours_Hist_figé!D900 - 1</f>
        <v>-9.1398536833786626E-4</v>
      </c>
      <c r="E900" s="29">
        <f>Cours_Hist_figé!E964/Cours_Hist_figé!E900 - 1</f>
        <v>-9.1398536833797728E-4</v>
      </c>
    </row>
    <row r="901" spans="1:5" x14ac:dyDescent="0.4">
      <c r="A901" s="27">
        <v>43391</v>
      </c>
      <c r="B901" s="29">
        <f>Cours_Hist_figé!B965/Cours_Hist_figé!B901 - 1</f>
        <v>-5.7702078242566457E-2</v>
      </c>
      <c r="C901" s="29">
        <f>Cours_Hist_figé!C965/Cours_Hist_figé!C901 - 1</f>
        <v>-1.4839754483475742E-2</v>
      </c>
      <c r="D901" s="29">
        <f>Cours_Hist_figé!D965/Cours_Hist_figé!D901 - 1</f>
        <v>-9.1409435067635325E-4</v>
      </c>
      <c r="E901" s="29">
        <f>Cours_Hist_figé!E965/Cours_Hist_figé!E901 - 1</f>
        <v>-9.1409435067635325E-4</v>
      </c>
    </row>
    <row r="902" spans="1:5" x14ac:dyDescent="0.4">
      <c r="A902" s="27">
        <v>43392</v>
      </c>
      <c r="B902" s="29">
        <f>Cours_Hist_figé!B966/Cours_Hist_figé!B902 - 1</f>
        <v>-5.6595189573492188E-2</v>
      </c>
      <c r="C902" s="29">
        <f>Cours_Hist_figé!C966/Cours_Hist_figé!C902 - 1</f>
        <v>-1.2499208378125015E-2</v>
      </c>
      <c r="D902" s="29">
        <f>Cours_Hist_figé!D966/Cours_Hist_figé!D902 - 1</f>
        <v>-9.1418800930920252E-4</v>
      </c>
      <c r="E902" s="29">
        <f>Cours_Hist_figé!E966/Cours_Hist_figé!E902 - 1</f>
        <v>-9.1418800930920252E-4</v>
      </c>
    </row>
    <row r="903" spans="1:5" x14ac:dyDescent="0.4">
      <c r="A903" s="27">
        <v>43395</v>
      </c>
      <c r="B903" s="29">
        <f>Cours_Hist_figé!B967/Cours_Hist_figé!B903 - 1</f>
        <v>-5.9025562507528551E-2</v>
      </c>
      <c r="C903" s="29">
        <f>Cours_Hist_figé!C967/Cours_Hist_figé!C903 - 1</f>
        <v>-1.0028355402699751E-2</v>
      </c>
      <c r="D903" s="29">
        <f>Cours_Hist_figé!D967/Cours_Hist_figé!D903 - 1</f>
        <v>-9.1429264848996716E-4</v>
      </c>
      <c r="E903" s="29">
        <f>Cours_Hist_figé!E967/Cours_Hist_figé!E903 - 1</f>
        <v>-9.1429264848985614E-4</v>
      </c>
    </row>
    <row r="904" spans="1:5" x14ac:dyDescent="0.4">
      <c r="A904" s="27">
        <v>43396</v>
      </c>
      <c r="B904" s="29">
        <f>Cours_Hist_figé!B968/Cours_Hist_figé!B904 - 1</f>
        <v>-8.0842576412074707E-2</v>
      </c>
      <c r="C904" s="29">
        <f>Cours_Hist_figé!C968/Cours_Hist_figé!C904 - 1</f>
        <v>-9.9769709752456359E-3</v>
      </c>
      <c r="D904" s="29">
        <f>Cours_Hist_figé!D968/Cours_Hist_figé!D904 - 1</f>
        <v>-9.1429430458533911E-4</v>
      </c>
      <c r="E904" s="29">
        <f>Cours_Hist_figé!E968/Cours_Hist_figé!E904 - 1</f>
        <v>-9.1429430458533911E-4</v>
      </c>
    </row>
    <row r="905" spans="1:5" x14ac:dyDescent="0.4">
      <c r="A905" s="27">
        <v>43397</v>
      </c>
      <c r="B905" s="29">
        <f>Cours_Hist_figé!B969/Cours_Hist_figé!B905 - 1</f>
        <v>-8.0836414637256215E-2</v>
      </c>
      <c r="C905" s="29">
        <f>Cours_Hist_figé!C969/Cours_Hist_figé!C905 - 1</f>
        <v>-9.9349961552553934E-3</v>
      </c>
      <c r="D905" s="29">
        <f>Cours_Hist_figé!D969/Cours_Hist_figé!D905 - 1</f>
        <v>-9.1428830086515145E-4</v>
      </c>
      <c r="E905" s="29">
        <f>Cours_Hist_figé!E969/Cours_Hist_figé!E905 - 1</f>
        <v>-9.142883008649294E-4</v>
      </c>
    </row>
    <row r="906" spans="1:5" x14ac:dyDescent="0.4">
      <c r="A906" s="27">
        <v>43398</v>
      </c>
      <c r="B906" s="29">
        <f>Cours_Hist_figé!B970/Cours_Hist_figé!B906 - 1</f>
        <v>-8.3371093208237101E-2</v>
      </c>
      <c r="C906" s="29">
        <f>Cours_Hist_figé!C970/Cours_Hist_figé!C906 - 1</f>
        <v>-8.5267607656673849E-3</v>
      </c>
      <c r="D906" s="29">
        <f>Cours_Hist_figé!D970/Cours_Hist_figé!D906 - 1</f>
        <v>-9.1438953599931594E-4</v>
      </c>
      <c r="E906" s="29">
        <f>Cours_Hist_figé!E970/Cours_Hist_figé!E906 - 1</f>
        <v>-9.1438953599931594E-4</v>
      </c>
    </row>
    <row r="907" spans="1:5" x14ac:dyDescent="0.4">
      <c r="A907" s="27">
        <v>43399</v>
      </c>
      <c r="B907" s="29">
        <f>Cours_Hist_figé!B971/Cours_Hist_figé!B907 - 1</f>
        <v>-9.3832324202184902E-2</v>
      </c>
      <c r="C907" s="29">
        <f>Cours_Hist_figé!C971/Cours_Hist_figé!C907 - 1</f>
        <v>-5.9698413233596481E-3</v>
      </c>
      <c r="D907" s="29">
        <f>Cours_Hist_figé!D971/Cours_Hist_figé!D907 - 1</f>
        <v>-9.1438353312878196E-4</v>
      </c>
      <c r="E907" s="29">
        <f>Cours_Hist_figé!E971/Cours_Hist_figé!E907 - 1</f>
        <v>-9.1438353312878196E-4</v>
      </c>
    </row>
    <row r="908" spans="1:5" x14ac:dyDescent="0.4">
      <c r="A908" s="27">
        <v>43402</v>
      </c>
      <c r="B908" s="29">
        <f>Cours_Hist_figé!B972/Cours_Hist_figé!B908 - 1</f>
        <v>-8.351347973358636E-2</v>
      </c>
      <c r="C908" s="29">
        <f>Cours_Hist_figé!C972/Cours_Hist_figé!C908 - 1</f>
        <v>-3.2030001971695699E-3</v>
      </c>
      <c r="D908" s="29">
        <f>Cours_Hist_figé!D972/Cours_Hist_figé!D908 - 1</f>
        <v>-9.1458776883668325E-4</v>
      </c>
      <c r="E908" s="29">
        <f>Cours_Hist_figé!E972/Cours_Hist_figé!E908 - 1</f>
        <v>-9.1458776883679427E-4</v>
      </c>
    </row>
    <row r="909" spans="1:5" x14ac:dyDescent="0.4">
      <c r="A909" s="27">
        <v>43403</v>
      </c>
      <c r="B909" s="29">
        <f>Cours_Hist_figé!B973/Cours_Hist_figé!B909 - 1</f>
        <v>-8.5308406805331249E-2</v>
      </c>
      <c r="C909" s="29">
        <f>Cours_Hist_figé!C973/Cours_Hist_figé!C909 - 1</f>
        <v>-5.603471314912789E-3</v>
      </c>
      <c r="D909" s="29">
        <f>Cours_Hist_figé!D973/Cours_Hist_figé!D909 - 1</f>
        <v>-9.147886873785982E-4</v>
      </c>
      <c r="E909" s="29">
        <f>Cours_Hist_figé!E973/Cours_Hist_figé!E909 - 1</f>
        <v>-9.1478868737848718E-4</v>
      </c>
    </row>
    <row r="910" spans="1:5" x14ac:dyDescent="0.4">
      <c r="A910" s="27">
        <v>43404</v>
      </c>
      <c r="B910" s="29">
        <f>Cours_Hist_figé!B974/Cours_Hist_figé!B910 - 1</f>
        <v>-6.4985851201234124E-2</v>
      </c>
      <c r="C910" s="29">
        <f>Cours_Hist_figé!C974/Cours_Hist_figé!C910 - 1</f>
        <v>-2.7928976917900306E-3</v>
      </c>
      <c r="D910" s="29">
        <f>Cours_Hist_figé!D974/Cours_Hist_figé!D910 - 1</f>
        <v>-9.1508910379967112E-4</v>
      </c>
      <c r="E910" s="29">
        <f>Cours_Hist_figé!E974/Cours_Hist_figé!E910 - 1</f>
        <v>-9.150891037995601E-4</v>
      </c>
    </row>
    <row r="911" spans="1:5" x14ac:dyDescent="0.4">
      <c r="A911" s="27">
        <v>43405</v>
      </c>
      <c r="B911" s="29">
        <f>Cours_Hist_figé!B975/Cours_Hist_figé!B911 - 1</f>
        <v>-5.3762793580259705E-2</v>
      </c>
      <c r="C911" s="29">
        <f>Cours_Hist_figé!C975/Cours_Hist_figé!C911 - 1</f>
        <v>-2.7716072298801242E-3</v>
      </c>
      <c r="D911" s="29">
        <f>Cours_Hist_figé!D975/Cours_Hist_figé!D911 - 1</f>
        <v>-9.1469178567227249E-4</v>
      </c>
      <c r="E911" s="29">
        <f>Cours_Hist_figé!E975/Cours_Hist_figé!E911 - 1</f>
        <v>-9.1469178567238352E-4</v>
      </c>
    </row>
    <row r="912" spans="1:5" x14ac:dyDescent="0.4">
      <c r="A912" s="27">
        <v>43406</v>
      </c>
      <c r="B912" s="29">
        <f>Cours_Hist_figé!B976/Cours_Hist_figé!B912 - 1</f>
        <v>-5.772674254006005E-2</v>
      </c>
      <c r="C912" s="29">
        <f>Cours_Hist_figé!C976/Cours_Hist_figé!C912 - 1</f>
        <v>-4.7564305967929821E-3</v>
      </c>
      <c r="D912" s="29">
        <f>Cours_Hist_figé!D976/Cours_Hist_figé!D912 - 1</f>
        <v>-9.1459349427991388E-4</v>
      </c>
      <c r="E912" s="29">
        <f>Cours_Hist_figé!E976/Cours_Hist_figé!E912 - 1</f>
        <v>-9.1459349427991388E-4</v>
      </c>
    </row>
    <row r="913" spans="1:5" x14ac:dyDescent="0.4">
      <c r="A913" s="27">
        <v>43409</v>
      </c>
      <c r="B913" s="29">
        <f>Cours_Hist_figé!B977/Cours_Hist_figé!B913 - 1</f>
        <v>-5.7578753548785055E-2</v>
      </c>
      <c r="C913" s="29">
        <f>Cours_Hist_figé!C977/Cours_Hist_figé!C913 - 1</f>
        <v>-5.7914825231016875E-3</v>
      </c>
      <c r="D913" s="29">
        <f>Cours_Hist_figé!D977/Cours_Hist_figé!D913 - 1</f>
        <v>-9.1518798688161596E-4</v>
      </c>
      <c r="E913" s="29">
        <f>Cours_Hist_figé!E977/Cours_Hist_figé!E913 - 1</f>
        <v>-9.1518798688150493E-4</v>
      </c>
    </row>
    <row r="914" spans="1:5" x14ac:dyDescent="0.4">
      <c r="A914" s="27">
        <v>43410</v>
      </c>
      <c r="B914" s="29">
        <f>Cours_Hist_figé!B978/Cours_Hist_figé!B914 - 1</f>
        <v>-6.515361722830959E-2</v>
      </c>
      <c r="C914" s="29">
        <f>Cours_Hist_figé!C978/Cours_Hist_figé!C914 - 1</f>
        <v>-6.0174988722466738E-3</v>
      </c>
      <c r="D914" s="29">
        <f>Cours_Hist_figé!D978/Cours_Hist_figé!D914 - 1</f>
        <v>-9.1528915203276107E-4</v>
      </c>
      <c r="E914" s="29">
        <f>Cours_Hist_figé!E978/Cours_Hist_figé!E914 - 1</f>
        <v>-9.1528915203276107E-4</v>
      </c>
    </row>
    <row r="915" spans="1:5" x14ac:dyDescent="0.4">
      <c r="A915" s="27">
        <v>43411</v>
      </c>
      <c r="B915" s="29">
        <f>Cours_Hist_figé!B979/Cours_Hist_figé!B915 - 1</f>
        <v>-5.3635627750066694E-2</v>
      </c>
      <c r="C915" s="29">
        <f>Cours_Hist_figé!C979/Cours_Hist_figé!C915 - 1</f>
        <v>-6.3326273409195499E-3</v>
      </c>
      <c r="D915" s="29">
        <f>Cours_Hist_figé!D979/Cours_Hist_figé!D915 - 1</f>
        <v>-9.1548991109269284E-4</v>
      </c>
      <c r="E915" s="29">
        <f>Cours_Hist_figé!E979/Cours_Hist_figé!E915 - 1</f>
        <v>-9.1548991109269284E-4</v>
      </c>
    </row>
    <row r="916" spans="1:5" x14ac:dyDescent="0.4">
      <c r="A916" s="27">
        <v>43412</v>
      </c>
      <c r="B916" s="29">
        <f>Cours_Hist_figé!B980/Cours_Hist_figé!B916 - 1</f>
        <v>-5.3421056432626068E-2</v>
      </c>
      <c r="C916" s="29">
        <f>Cours_Hist_figé!C980/Cours_Hist_figé!C916 - 1</f>
        <v>-7.9867764080193693E-3</v>
      </c>
      <c r="D916" s="29">
        <f>Cours_Hist_figé!D980/Cours_Hist_figé!D916 - 1</f>
        <v>-9.1569067412788918E-4</v>
      </c>
      <c r="E916" s="29">
        <f>Cours_Hist_figé!E980/Cours_Hist_figé!E916 - 1</f>
        <v>-9.1569067412777816E-4</v>
      </c>
    </row>
    <row r="917" spans="1:5" x14ac:dyDescent="0.4">
      <c r="A917" s="27">
        <v>43413</v>
      </c>
      <c r="B917" s="29">
        <f>Cours_Hist_figé!B981/Cours_Hist_figé!B917 - 1</f>
        <v>-4.6121345492283194E-2</v>
      </c>
      <c r="C917" s="29">
        <f>Cours_Hist_figé!C981/Cours_Hist_figé!C917 - 1</f>
        <v>-7.7110208857201767E-3</v>
      </c>
      <c r="D917" s="29">
        <f>Cours_Hist_figé!D981/Cours_Hist_figé!D917 - 1</f>
        <v>-9.1589144113779497E-4</v>
      </c>
      <c r="E917" s="29">
        <f>Cours_Hist_figé!E981/Cours_Hist_figé!E917 - 1</f>
        <v>-9.1589144113779497E-4</v>
      </c>
    </row>
    <row r="918" spans="1:5" x14ac:dyDescent="0.4">
      <c r="A918" s="27">
        <v>43416</v>
      </c>
      <c r="B918" s="29">
        <f>Cours_Hist_figé!B982/Cours_Hist_figé!B918 - 1</f>
        <v>-5.265666976553518E-2</v>
      </c>
      <c r="C918" s="29">
        <f>Cours_Hist_figé!C982/Cours_Hist_figé!C918 - 1</f>
        <v>-6.1362685620114377E-3</v>
      </c>
      <c r="D918" s="29">
        <f>Cours_Hist_figé!D982/Cours_Hist_figé!D918 - 1</f>
        <v>-9.1629438987994583E-4</v>
      </c>
      <c r="E918" s="29">
        <f>Cours_Hist_figé!E982/Cours_Hist_figé!E918 - 1</f>
        <v>-9.1629438988016787E-4</v>
      </c>
    </row>
    <row r="919" spans="1:5" x14ac:dyDescent="0.4">
      <c r="A919" s="27">
        <v>43417</v>
      </c>
      <c r="B919" s="29">
        <f>Cours_Hist_figé!B983/Cours_Hist_figé!B919 - 1</f>
        <v>-4.63426773492015E-2</v>
      </c>
      <c r="C919" s="29">
        <f>Cours_Hist_figé!C983/Cours_Hist_figé!C919 - 1</f>
        <v>-7.1204661370044553E-3</v>
      </c>
      <c r="D919" s="29">
        <f>Cours_Hist_figé!D983/Cours_Hist_figé!D919 - 1</f>
        <v>-9.1638782039882294E-4</v>
      </c>
      <c r="E919" s="29">
        <f>Cours_Hist_figé!E983/Cours_Hist_figé!E919 - 1</f>
        <v>-9.1638782039882294E-4</v>
      </c>
    </row>
    <row r="920" spans="1:5" x14ac:dyDescent="0.4">
      <c r="A920" s="27">
        <v>43418</v>
      </c>
      <c r="B920" s="29">
        <f>Cours_Hist_figé!B984/Cours_Hist_figé!B920 - 1</f>
        <v>-3.8626476072094462E-2</v>
      </c>
      <c r="C920" s="29">
        <f>Cours_Hist_figé!C984/Cours_Hist_figé!C920 - 1</f>
        <v>-7.9488387921332615E-3</v>
      </c>
      <c r="D920" s="29">
        <f>Cours_Hist_figé!D984/Cours_Hist_figé!D920 - 1</f>
        <v>-9.1648133710542368E-4</v>
      </c>
      <c r="E920" s="29">
        <f>Cours_Hist_figé!E984/Cours_Hist_figé!E920 - 1</f>
        <v>-9.1648133710564572E-4</v>
      </c>
    </row>
    <row r="921" spans="1:5" x14ac:dyDescent="0.4">
      <c r="A921" s="27">
        <v>43419</v>
      </c>
      <c r="B921" s="29">
        <f>Cours_Hist_figé!B985/Cours_Hist_figé!B921 - 1</f>
        <v>-5.2399250312139212E-2</v>
      </c>
      <c r="C921" s="29">
        <f>Cours_Hist_figé!C985/Cours_Hist_figé!C921 - 1</f>
        <v>-6.8637379241612839E-3</v>
      </c>
      <c r="D921" s="29">
        <f>Cours_Hist_figé!D985/Cours_Hist_figé!D921 - 1</f>
        <v>-9.1638323347886796E-4</v>
      </c>
      <c r="E921" s="29">
        <f>Cours_Hist_figé!E985/Cours_Hist_figé!E921 - 1</f>
        <v>-9.1638323347864592E-4</v>
      </c>
    </row>
    <row r="922" spans="1:5" x14ac:dyDescent="0.4">
      <c r="A922" s="27">
        <v>43420</v>
      </c>
      <c r="B922" s="29">
        <f>Cours_Hist_figé!B986/Cours_Hist_figé!B922 - 1</f>
        <v>-5.339435087518396E-2</v>
      </c>
      <c r="C922" s="29">
        <f>Cours_Hist_figé!C986/Cours_Hist_figé!C922 - 1</f>
        <v>-7.9990936235451171E-3</v>
      </c>
      <c r="D922" s="29">
        <f>Cours_Hist_figé!D986/Cours_Hist_figé!D922 - 1</f>
        <v>-9.1658411269657236E-4</v>
      </c>
      <c r="E922" s="29">
        <f>Cours_Hist_figé!E986/Cours_Hist_figé!E922 - 1</f>
        <v>-9.1658411269668338E-4</v>
      </c>
    </row>
    <row r="923" spans="1:5" x14ac:dyDescent="0.4">
      <c r="A923" s="27">
        <v>43423</v>
      </c>
      <c r="B923" s="29">
        <f>Cours_Hist_figé!B987/Cours_Hist_figé!B923 - 1</f>
        <v>-6.583578264610257E-2</v>
      </c>
      <c r="C923" s="29">
        <f>Cours_Hist_figé!C987/Cours_Hist_figé!C923 - 1</f>
        <v>-1.0632291718914555E-2</v>
      </c>
      <c r="D923" s="29">
        <f>Cours_Hist_figé!D987/Cours_Hist_figé!D923 - 1</f>
        <v>-9.1678799426220259E-4</v>
      </c>
      <c r="E923" s="29">
        <f>Cours_Hist_figé!E987/Cours_Hist_figé!E923 - 1</f>
        <v>-9.1678799426220259E-4</v>
      </c>
    </row>
    <row r="924" spans="1:5" x14ac:dyDescent="0.4">
      <c r="A924" s="27">
        <v>43424</v>
      </c>
      <c r="B924" s="29">
        <f>Cours_Hist_figé!B988/Cours_Hist_figé!B924 - 1</f>
        <v>-7.8512989151620305E-2</v>
      </c>
      <c r="C924" s="29">
        <f>Cours_Hist_figé!C988/Cours_Hist_figé!C924 - 1</f>
        <v>-1.0359972632368875E-2</v>
      </c>
      <c r="D924" s="29">
        <f>Cours_Hist_figé!D988/Cours_Hist_figé!D924 - 1</f>
        <v>-9.168891895174891E-4</v>
      </c>
      <c r="E924" s="29">
        <f>Cours_Hist_figé!E988/Cours_Hist_figé!E924 - 1</f>
        <v>-9.1688918951726706E-4</v>
      </c>
    </row>
    <row r="925" spans="1:5" x14ac:dyDescent="0.4">
      <c r="A925" s="27">
        <v>43425</v>
      </c>
      <c r="B925" s="29">
        <f>Cours_Hist_figé!B989/Cours_Hist_figé!B925 - 1</f>
        <v>-6.7335567892374493E-2</v>
      </c>
      <c r="C925" s="29">
        <f>Cours_Hist_figé!C989/Cours_Hist_figé!C925 - 1</f>
        <v>-8.4899542171714693E-3</v>
      </c>
      <c r="D925" s="29">
        <f>Cours_Hist_figé!D989/Cours_Hist_figé!D925 - 1</f>
        <v>-9.168831121620924E-4</v>
      </c>
      <c r="E925" s="29">
        <f>Cours_Hist_figé!E989/Cours_Hist_figé!E925 - 1</f>
        <v>-9.1688311216220342E-4</v>
      </c>
    </row>
    <row r="926" spans="1:5" x14ac:dyDescent="0.4">
      <c r="A926" s="27">
        <v>43426</v>
      </c>
      <c r="B926" s="29">
        <f>Cours_Hist_figé!B990/Cours_Hist_figé!B926 - 1</f>
        <v>-7.2179637958783127E-2</v>
      </c>
      <c r="C926" s="29">
        <f>Cours_Hist_figé!C990/Cours_Hist_figé!C926 - 1</f>
        <v>-7.4209936703288903E-3</v>
      </c>
      <c r="D926" s="29">
        <f>Cours_Hist_figé!D990/Cours_Hist_figé!D926 - 1</f>
        <v>-9.16884703765386E-4</v>
      </c>
      <c r="E926" s="29">
        <f>Cours_Hist_figé!E990/Cours_Hist_figé!E926 - 1</f>
        <v>-9.1688470376549702E-4</v>
      </c>
    </row>
    <row r="927" spans="1:5" x14ac:dyDescent="0.4">
      <c r="A927" s="27">
        <v>43427</v>
      </c>
      <c r="B927" s="29">
        <f>Cours_Hist_figé!B991/Cours_Hist_figé!B927 - 1</f>
        <v>-6.9624431518152119E-2</v>
      </c>
      <c r="C927" s="29">
        <f>Cours_Hist_figé!C991/Cours_Hist_figé!C927 - 1</f>
        <v>-5.495082172891852E-3</v>
      </c>
      <c r="D927" s="29">
        <f>Cours_Hist_figé!D991/Cours_Hist_figé!D927 - 1</f>
        <v>-9.1688629540087607E-4</v>
      </c>
      <c r="E927" s="29">
        <f>Cours_Hist_figé!E991/Cours_Hist_figé!E927 - 1</f>
        <v>-9.1688629540076505E-4</v>
      </c>
    </row>
    <row r="928" spans="1:5" x14ac:dyDescent="0.4">
      <c r="A928" s="27">
        <v>43430</v>
      </c>
      <c r="B928" s="29">
        <f>Cours_Hist_figé!B992/Cours_Hist_figé!B928 - 1</f>
        <v>-6.2483479912258111E-2</v>
      </c>
      <c r="C928" s="29">
        <f>Cours_Hist_figé!C992/Cours_Hist_figé!C928 - 1</f>
        <v>-2.3705269454464828E-3</v>
      </c>
      <c r="D928" s="29">
        <f>Cours_Hist_figé!D992/Cours_Hist_figé!D928 - 1</f>
        <v>-9.0679954398287244E-4</v>
      </c>
      <c r="E928" s="29">
        <f>Cours_Hist_figé!E992/Cours_Hist_figé!E928 - 1</f>
        <v>-9.0679954398298346E-4</v>
      </c>
    </row>
    <row r="929" spans="1:5" x14ac:dyDescent="0.4">
      <c r="A929" s="27">
        <v>43431</v>
      </c>
      <c r="B929" s="29">
        <f>Cours_Hist_figé!B993/Cours_Hist_figé!B929 - 1</f>
        <v>-6.7357666267131799E-2</v>
      </c>
      <c r="C929" s="29">
        <f>Cours_Hist_figé!C993/Cours_Hist_figé!C929 - 1</f>
        <v>-1.3403544295628178E-3</v>
      </c>
      <c r="D929" s="29">
        <f>Cours_Hist_figé!D993/Cours_Hist_figé!D929 - 1</f>
        <v>-9.0680103383022903E-4</v>
      </c>
      <c r="E929" s="29">
        <f>Cours_Hist_figé!E993/Cours_Hist_figé!E929 - 1</f>
        <v>-9.0680103383011801E-4</v>
      </c>
    </row>
    <row r="930" spans="1:5" x14ac:dyDescent="0.4">
      <c r="A930" s="27">
        <v>43432</v>
      </c>
      <c r="B930" s="29">
        <f>Cours_Hist_figé!B994/Cours_Hist_figé!B930 - 1</f>
        <v>-6.441776340122729E-2</v>
      </c>
      <c r="C930" s="29">
        <f>Cours_Hist_figé!C994/Cours_Hist_figé!C930 - 1</f>
        <v>-2.7959980967875442E-3</v>
      </c>
      <c r="D930" s="29">
        <f>Cours_Hist_figé!D994/Cours_Hist_figé!D930 - 1</f>
        <v>-9.0680252370789471E-4</v>
      </c>
      <c r="E930" s="29">
        <f>Cours_Hist_figé!E994/Cours_Hist_figé!E930 - 1</f>
        <v>-9.0680252370778369E-4</v>
      </c>
    </row>
    <row r="931" spans="1:5" x14ac:dyDescent="0.4">
      <c r="A931" s="27">
        <v>43433</v>
      </c>
      <c r="B931" s="29">
        <f>Cours_Hist_figé!B995/Cours_Hist_figé!B931 - 1</f>
        <v>-5.4794041058225273E-2</v>
      </c>
      <c r="C931" s="29">
        <f>Cours_Hist_figé!C995/Cours_Hist_figé!C931 - 1</f>
        <v>-6.2007370778704995E-4</v>
      </c>
      <c r="D931" s="29">
        <f>Cours_Hist_figé!D995/Cours_Hist_figé!D931 - 1</f>
        <v>-9.068959595969206E-4</v>
      </c>
      <c r="E931" s="29">
        <f>Cours_Hist_figé!E995/Cours_Hist_figé!E931 - 1</f>
        <v>-9.0689595959680958E-4</v>
      </c>
    </row>
    <row r="932" spans="1:5" x14ac:dyDescent="0.4">
      <c r="A932" s="27">
        <v>43434</v>
      </c>
      <c r="B932" s="29">
        <f>Cours_Hist_figé!B996/Cours_Hist_figé!B932 - 1</f>
        <v>-5.7293554935155533E-2</v>
      </c>
      <c r="C932" s="29">
        <f>Cours_Hist_figé!C996/Cours_Hist_figé!C932 - 1</f>
        <v>-5.1362330423743163E-4</v>
      </c>
      <c r="D932" s="29">
        <f>Cours_Hist_figé!D996/Cours_Hist_figé!D932 - 1</f>
        <v>-8.8851400374057032E-4</v>
      </c>
      <c r="E932" s="29">
        <f>Cours_Hist_figé!E996/Cours_Hist_figé!E932 - 1</f>
        <v>-8.8851400374034828E-4</v>
      </c>
    </row>
    <row r="933" spans="1:5" x14ac:dyDescent="0.4">
      <c r="A933" s="27">
        <v>43437</v>
      </c>
      <c r="B933" s="29">
        <f>Cours_Hist_figé!B997/Cours_Hist_figé!B933 - 1</f>
        <v>-4.0898524110032586E-2</v>
      </c>
      <c r="C933" s="29">
        <f>Cours_Hist_figé!C997/Cours_Hist_figé!C933 - 1</f>
        <v>-4.5688826485512646E-4</v>
      </c>
      <c r="D933" s="29">
        <f>Cours_Hist_figé!D997/Cours_Hist_figé!D933 - 1</f>
        <v>-9.0769778713617466E-4</v>
      </c>
      <c r="E933" s="29">
        <f>Cours_Hist_figé!E997/Cours_Hist_figé!E933 - 1</f>
        <v>-9.0769778713617466E-4</v>
      </c>
    </row>
    <row r="934" spans="1:5" x14ac:dyDescent="0.4">
      <c r="A934" s="27">
        <v>43438</v>
      </c>
      <c r="B934" s="29">
        <f>Cours_Hist_figé!B998/Cours_Hist_figé!B934 - 1</f>
        <v>-3.7395203816485201E-2</v>
      </c>
      <c r="C934" s="29">
        <f>Cours_Hist_figé!C998/Cours_Hist_figé!C934 - 1</f>
        <v>1.3261168094267362E-3</v>
      </c>
      <c r="D934" s="29">
        <f>Cours_Hist_figé!D998/Cours_Hist_figé!D934 - 1</f>
        <v>-9.0779871857515904E-4</v>
      </c>
      <c r="E934" s="29">
        <f>Cours_Hist_figé!E998/Cours_Hist_figé!E934 - 1</f>
        <v>-9.0779871857515904E-4</v>
      </c>
    </row>
    <row r="935" spans="1:5" x14ac:dyDescent="0.4">
      <c r="A935" s="27">
        <v>43439</v>
      </c>
      <c r="B935" s="29">
        <f>Cours_Hist_figé!B999/Cours_Hist_figé!B935 - 1</f>
        <v>-4.3598692854178389E-2</v>
      </c>
      <c r="C935" s="29">
        <f>Cours_Hist_figé!C999/Cours_Hist_figé!C935 - 1</f>
        <v>-2.2918580736741578E-4</v>
      </c>
      <c r="D935" s="29">
        <f>Cours_Hist_figé!D999/Cours_Hist_figé!D935 - 1</f>
        <v>-9.0809917325951339E-4</v>
      </c>
      <c r="E935" s="29">
        <f>Cours_Hist_figé!E999/Cours_Hist_figé!E935 - 1</f>
        <v>-9.0809917325940237E-4</v>
      </c>
    </row>
    <row r="936" spans="1:5" x14ac:dyDescent="0.4">
      <c r="A936" s="27">
        <v>43440</v>
      </c>
      <c r="B936" s="29">
        <f>Cours_Hist_figé!B1000/Cours_Hist_figé!B936 - 1</f>
        <v>-7.3982092642923547E-2</v>
      </c>
      <c r="C936" s="29">
        <f>Cours_Hist_figé!C1000/Cours_Hist_figé!C936 - 1</f>
        <v>1.2903854211401278E-3</v>
      </c>
      <c r="D936" s="29">
        <f>Cours_Hist_figé!D1000/Cours_Hist_figé!D936 - 1</f>
        <v>-9.0809282504733524E-4</v>
      </c>
      <c r="E936" s="29">
        <f>Cours_Hist_figé!E1000/Cours_Hist_figé!E936 - 1</f>
        <v>-9.0809282504733524E-4</v>
      </c>
    </row>
    <row r="937" spans="1:5" x14ac:dyDescent="0.4">
      <c r="A937" s="27">
        <v>43441</v>
      </c>
      <c r="B937" s="29">
        <f>Cours_Hist_figé!B1001/Cours_Hist_figé!B937 - 1</f>
        <v>-7.1929420099976937E-2</v>
      </c>
      <c r="C937" s="29">
        <f>Cours_Hist_figé!C1001/Cours_Hist_figé!C937 - 1</f>
        <v>-3.4507180751264244E-4</v>
      </c>
      <c r="D937" s="29">
        <f>Cours_Hist_figé!D1001/Cours_Hist_figé!D937 - 1</f>
        <v>-8.8801590281084586E-4</v>
      </c>
      <c r="E937" s="29">
        <f>Cours_Hist_figé!E1001/Cours_Hist_figé!E937 - 1</f>
        <v>-8.8801590281095688E-4</v>
      </c>
    </row>
    <row r="938" spans="1:5" x14ac:dyDescent="0.4">
      <c r="A938" s="27">
        <v>43444</v>
      </c>
      <c r="B938" s="29">
        <f>Cours_Hist_figé!B1002/Cours_Hist_figé!B938 - 1</f>
        <v>-8.8726061818333535E-2</v>
      </c>
      <c r="C938" s="29">
        <f>Cours_Hist_figé!C1002/Cours_Hist_figé!C938 - 1</f>
        <v>1.6580903373355493E-3</v>
      </c>
      <c r="D938" s="29">
        <f>Cours_Hist_figé!D1002/Cours_Hist_figé!D938 - 1</f>
        <v>-9.0799875142222319E-4</v>
      </c>
      <c r="E938" s="29">
        <f>Cours_Hist_figé!E1002/Cours_Hist_figé!E938 - 1</f>
        <v>-9.0799875142222319E-4</v>
      </c>
    </row>
    <row r="939" spans="1:5" x14ac:dyDescent="0.4">
      <c r="A939" s="27">
        <v>43445</v>
      </c>
      <c r="B939" s="29">
        <f>Cours_Hist_figé!B1003/Cours_Hist_figé!B939 - 1</f>
        <v>-7.9027304550758459E-2</v>
      </c>
      <c r="C939" s="29">
        <f>Cours_Hist_figé!C1003/Cours_Hist_figé!C939 - 1</f>
        <v>1.0317558682122474E-3</v>
      </c>
      <c r="D939" s="29">
        <f>Cours_Hist_figé!D1003/Cours_Hist_figé!D939 - 1</f>
        <v>-9.0779314724209748E-4</v>
      </c>
      <c r="E939" s="29">
        <f>Cours_Hist_figé!E1003/Cours_Hist_figé!E939 - 1</f>
        <v>-9.0779314724198645E-4</v>
      </c>
    </row>
    <row r="940" spans="1:5" x14ac:dyDescent="0.4">
      <c r="A940" s="27">
        <v>43446</v>
      </c>
      <c r="B940" s="29">
        <f>Cours_Hist_figé!B1004/Cours_Hist_figé!B940 - 1</f>
        <v>-6.2720094480037458E-2</v>
      </c>
      <c r="C940" s="29">
        <f>Cours_Hist_figé!C1004/Cours_Hist_figé!C940 - 1</f>
        <v>1.6947242148315222E-3</v>
      </c>
      <c r="D940" s="29">
        <f>Cours_Hist_figé!D1004/Cours_Hist_figé!D940 - 1</f>
        <v>-9.0749566474024324E-4</v>
      </c>
      <c r="E940" s="29">
        <f>Cours_Hist_figé!E1004/Cours_Hist_figé!E940 - 1</f>
        <v>-9.0749566474002119E-4</v>
      </c>
    </row>
    <row r="941" spans="1:5" x14ac:dyDescent="0.4">
      <c r="A941" s="27">
        <v>43447</v>
      </c>
      <c r="B941" s="29">
        <f>Cours_Hist_figé!B1005/Cours_Hist_figé!B941 - 1</f>
        <v>-6.7116887664211533E-2</v>
      </c>
      <c r="C941" s="29">
        <f>Cours_Hist_figé!C1005/Cours_Hist_figé!C941 - 1</f>
        <v>3.0932093255668924E-3</v>
      </c>
      <c r="D941" s="29">
        <f>Cours_Hist_figé!D1005/Cours_Hist_figé!D941 - 1</f>
        <v>-9.0739744195145189E-4</v>
      </c>
      <c r="E941" s="29">
        <f>Cours_Hist_figé!E1005/Cours_Hist_figé!E941 - 1</f>
        <v>-9.0739744195145189E-4</v>
      </c>
    </row>
    <row r="942" spans="1:5" x14ac:dyDescent="0.4">
      <c r="A942" s="27">
        <v>43448</v>
      </c>
      <c r="B942" s="29">
        <f>Cours_Hist_figé!B1006/Cours_Hist_figé!B942 - 1</f>
        <v>-7.4085028826760047E-2</v>
      </c>
      <c r="C942" s="29">
        <f>Cours_Hist_figé!C1006/Cours_Hist_figé!C942 - 1</f>
        <v>2.9186024367451324E-3</v>
      </c>
      <c r="D942" s="29">
        <f>Cours_Hist_figé!D1006/Cours_Hist_figé!D942 - 1</f>
        <v>-8.8691287443942723E-4</v>
      </c>
      <c r="E942" s="29">
        <f>Cours_Hist_figé!E1006/Cours_Hist_figé!E942 - 1</f>
        <v>-8.8691287443953826E-4</v>
      </c>
    </row>
    <row r="943" spans="1:5" x14ac:dyDescent="0.4">
      <c r="A943" s="27">
        <v>43451</v>
      </c>
      <c r="B943" s="29">
        <f>Cours_Hist_figé!B1007/Cours_Hist_figé!B943 - 1</f>
        <v>-8.5730622611632779E-2</v>
      </c>
      <c r="C943" s="29">
        <f>Cours_Hist_figé!C1007/Cours_Hist_figé!C943 - 1</f>
        <v>2.7185816991779355E-3</v>
      </c>
      <c r="D943" s="29">
        <f>Cours_Hist_figé!D1007/Cours_Hist_figé!D943 - 1</f>
        <v>-9.068974003036967E-4</v>
      </c>
      <c r="E943" s="29">
        <f>Cours_Hist_figé!E1007/Cours_Hist_figé!E943 - 1</f>
        <v>-9.068974003036967E-4</v>
      </c>
    </row>
    <row r="944" spans="1:5" x14ac:dyDescent="0.4">
      <c r="A944" s="27">
        <v>43452</v>
      </c>
      <c r="B944" s="29">
        <f>Cours_Hist_figé!B1008/Cours_Hist_figé!B944 - 1</f>
        <v>-9.6754877494045655E-2</v>
      </c>
      <c r="C944" s="29">
        <f>Cours_Hist_figé!C1008/Cours_Hist_figé!C944 - 1</f>
        <v>4.599431107084051E-3</v>
      </c>
      <c r="D944" s="29">
        <f>Cours_Hist_figé!D1008/Cours_Hist_figé!D944 - 1</f>
        <v>-9.0679158575823759E-4</v>
      </c>
      <c r="E944" s="29">
        <f>Cours_Hist_figé!E1008/Cours_Hist_figé!E944 - 1</f>
        <v>-9.0679158575823759E-4</v>
      </c>
    </row>
    <row r="945" spans="1:5" x14ac:dyDescent="0.4">
      <c r="A945" s="27">
        <v>43453</v>
      </c>
      <c r="B945" s="29">
        <f>Cours_Hist_figé!B1009/Cours_Hist_figé!B945 - 1</f>
        <v>-0.10066694140039778</v>
      </c>
      <c r="C945" s="29">
        <f>Cours_Hist_figé!C1009/Cours_Hist_figé!C945 - 1</f>
        <v>5.7726112752347625E-3</v>
      </c>
      <c r="D945" s="29">
        <f>Cours_Hist_figé!D1009/Cours_Hist_figé!D945 - 1</f>
        <v>-9.0690046611474617E-4</v>
      </c>
      <c r="E945" s="29">
        <f>Cours_Hist_figé!E1009/Cours_Hist_figé!E945 - 1</f>
        <v>-9.069004661148572E-4</v>
      </c>
    </row>
    <row r="946" spans="1:5" x14ac:dyDescent="0.4">
      <c r="A946" s="27">
        <v>43454</v>
      </c>
      <c r="B946" s="29">
        <f>Cours_Hist_figé!B1010/Cours_Hist_figé!B946 - 1</f>
        <v>-0.1177561377040186</v>
      </c>
      <c r="C946" s="29">
        <f>Cours_Hist_figé!C1010/Cours_Hist_figé!C946 - 1</f>
        <v>5.7370859210332803E-3</v>
      </c>
      <c r="D946" s="29">
        <f>Cours_Hist_figé!D1010/Cours_Hist_figé!D946 - 1</f>
        <v>-9.0689437645863347E-4</v>
      </c>
      <c r="E946" s="29">
        <f>Cours_Hist_figé!E1010/Cours_Hist_figé!E946 - 1</f>
        <v>-9.0689437645852244E-4</v>
      </c>
    </row>
    <row r="947" spans="1:5" x14ac:dyDescent="0.4">
      <c r="A947" s="27">
        <v>43455</v>
      </c>
      <c r="B947" s="29">
        <f>Cours_Hist_figé!B1011/Cours_Hist_figé!B947 - 1</f>
        <v>-0.11275802048440586</v>
      </c>
      <c r="C947" s="29">
        <f>Cours_Hist_figé!C1011/Cours_Hist_figé!C947 - 1</f>
        <v>7.303920361388716E-3</v>
      </c>
      <c r="D947" s="29">
        <f>Cours_Hist_figé!D1011/Cours_Hist_figé!D947 - 1</f>
        <v>-8.8641609489692463E-4</v>
      </c>
      <c r="E947" s="29">
        <f>Cours_Hist_figé!E1011/Cours_Hist_figé!E947 - 1</f>
        <v>-8.8641609489681361E-4</v>
      </c>
    </row>
    <row r="948" spans="1:5" x14ac:dyDescent="0.4">
      <c r="A948" s="27">
        <v>43458</v>
      </c>
      <c r="B948" s="29">
        <f>Cours_Hist_figé!B1012/Cours_Hist_figé!B948 - 1</f>
        <v>-0.1206449000322587</v>
      </c>
      <c r="C948" s="29">
        <f>Cours_Hist_figé!C1012/Cours_Hist_figé!C948 - 1</f>
        <v>8.2159425243610862E-3</v>
      </c>
      <c r="D948" s="29">
        <f>Cours_Hist_figé!D1012/Cours_Hist_figé!D948 - 1</f>
        <v>-9.0739934453365478E-4</v>
      </c>
      <c r="E948" s="29">
        <f>Cours_Hist_figé!E1012/Cours_Hist_figé!E948 - 1</f>
        <v>-9.0739934453365478E-4</v>
      </c>
    </row>
    <row r="949" spans="1:5" x14ac:dyDescent="0.4">
      <c r="A949" s="27">
        <v>43461</v>
      </c>
      <c r="B949" s="29">
        <f>Cours_Hist_figé!B1013/Cours_Hist_figé!B949 - 1</f>
        <v>-0.13794914044951001</v>
      </c>
      <c r="C949" s="29">
        <f>Cours_Hist_figé!C1013/Cours_Hist_figé!C949 - 1</f>
        <v>8.5600999007933165E-3</v>
      </c>
      <c r="D949" s="29">
        <f>Cours_Hist_figé!D1013/Cours_Hist_figé!D949 - 1</f>
        <v>-9.2787669701055453E-4</v>
      </c>
      <c r="E949" s="29">
        <f>Cours_Hist_figé!E1013/Cours_Hist_figé!E949 - 1</f>
        <v>-9.2787669701077657E-4</v>
      </c>
    </row>
    <row r="950" spans="1:5" x14ac:dyDescent="0.4">
      <c r="A950" s="27">
        <v>43462</v>
      </c>
      <c r="B950" s="29">
        <f>Cours_Hist_figé!B1014/Cours_Hist_figé!B950 - 1</f>
        <v>-0.12419239345954547</v>
      </c>
      <c r="C950" s="29">
        <f>Cours_Hist_figé!C1014/Cours_Hist_figé!C950 - 1</f>
        <v>8.0635750979229925E-3</v>
      </c>
      <c r="D950" s="29">
        <f>Cours_Hist_figé!D1014/Cours_Hist_figé!D950 - 1</f>
        <v>-9.2698088769160858E-4</v>
      </c>
      <c r="E950" s="29">
        <f>Cours_Hist_figé!E1014/Cours_Hist_figé!E950 - 1</f>
        <v>-9.2698088769160858E-4</v>
      </c>
    </row>
    <row r="951" spans="1:5" x14ac:dyDescent="0.4">
      <c r="A951" s="27">
        <v>43465</v>
      </c>
      <c r="B951" s="29">
        <f>Cours_Hist_figé!B1015/Cours_Hist_figé!B951 - 1</f>
        <v>-0.11317548607417371</v>
      </c>
      <c r="C951" s="29">
        <f>Cours_Hist_figé!C1015/Cours_Hist_figé!C951 - 1</f>
        <v>8.6554836374683752E-3</v>
      </c>
      <c r="D951" s="29">
        <f>Cours_Hist_figé!D1015/Cours_Hist_figé!D951 - 1</f>
        <v>-9.4646142203835826E-4</v>
      </c>
      <c r="E951" s="29">
        <f>Cours_Hist_figé!E1015/Cours_Hist_figé!E951 - 1</f>
        <v>-9.4646142203846928E-4</v>
      </c>
    </row>
    <row r="952" spans="1:5" x14ac:dyDescent="0.4">
      <c r="A952" s="27">
        <v>43467</v>
      </c>
      <c r="B952" s="29">
        <f>Cours_Hist_figé!B1016/Cours_Hist_figé!B952 - 1</f>
        <v>-0.11606004569091499</v>
      </c>
      <c r="C952" s="29">
        <f>Cours_Hist_figé!C1016/Cours_Hist_figé!C952 - 1</f>
        <v>1.3114252676943661E-2</v>
      </c>
      <c r="D952" s="29">
        <f>Cours_Hist_figé!D1016/Cours_Hist_figé!D952 - 1</f>
        <v>-9.3706774547153149E-4</v>
      </c>
      <c r="E952" s="29">
        <f>Cours_Hist_figé!E1016/Cours_Hist_figé!E952 - 1</f>
        <v>-9.3706774547142047E-4</v>
      </c>
    </row>
    <row r="953" spans="1:5" x14ac:dyDescent="0.4">
      <c r="A953" s="27">
        <v>43468</v>
      </c>
      <c r="B953" s="29">
        <f>Cours_Hist_figé!B1017/Cours_Hist_figé!B953 - 1</f>
        <v>-0.11971194720563971</v>
      </c>
      <c r="C953" s="29">
        <f>Cours_Hist_figé!C1017/Cours_Hist_figé!C953 - 1</f>
        <v>1.0817864702081126E-2</v>
      </c>
      <c r="D953" s="29">
        <f>Cours_Hist_figé!D1017/Cours_Hist_figé!D953 - 1</f>
        <v>-9.3716927969966779E-4</v>
      </c>
      <c r="E953" s="29">
        <f>Cours_Hist_figé!E1017/Cours_Hist_figé!E953 - 1</f>
        <v>-9.3716927969966779E-4</v>
      </c>
    </row>
    <row r="954" spans="1:5" x14ac:dyDescent="0.4">
      <c r="A954" s="27">
        <v>43469</v>
      </c>
      <c r="B954" s="29">
        <f>Cours_Hist_figé!B1018/Cours_Hist_figé!B954 - 1</f>
        <v>-9.9369373653426241E-2</v>
      </c>
      <c r="C954" s="29">
        <f>Cours_Hist_figé!C1018/Cours_Hist_figé!C954 - 1</f>
        <v>8.6265904821083428E-3</v>
      </c>
      <c r="D954" s="29">
        <f>Cours_Hist_figé!D1018/Cours_Hist_figé!D954 - 1</f>
        <v>-9.3727080878891478E-4</v>
      </c>
      <c r="E954" s="29">
        <f>Cours_Hist_figé!E1018/Cours_Hist_figé!E954 - 1</f>
        <v>-9.372708087890258E-4</v>
      </c>
    </row>
    <row r="955" spans="1:5" x14ac:dyDescent="0.4">
      <c r="A955" s="27">
        <v>43472</v>
      </c>
      <c r="B955" s="29">
        <f>Cours_Hist_figé!B1019/Cours_Hist_figé!B955 - 1</f>
        <v>-9.2204223949822306E-2</v>
      </c>
      <c r="C955" s="29">
        <f>Cours_Hist_figé!C1019/Cours_Hist_figé!C955 - 1</f>
        <v>1.0021806106926601E-2</v>
      </c>
      <c r="D955" s="29">
        <f>Cours_Hist_figé!D1019/Cours_Hist_figé!D955 - 1</f>
        <v>-9.5755051939061531E-4</v>
      </c>
      <c r="E955" s="29">
        <f>Cours_Hist_figé!E1019/Cours_Hist_figé!E955 - 1</f>
        <v>-9.5755051939061531E-4</v>
      </c>
    </row>
    <row r="956" spans="1:5" x14ac:dyDescent="0.4">
      <c r="A956" s="27">
        <v>43473</v>
      </c>
      <c r="B956" s="29">
        <f>Cours_Hist_figé!B1020/Cours_Hist_figé!B956 - 1</f>
        <v>-7.6791959162086587E-2</v>
      </c>
      <c r="C956" s="29">
        <f>Cours_Hist_figé!C1020/Cours_Hist_figé!C956 - 1</f>
        <v>1.0981485229721422E-2</v>
      </c>
      <c r="D956" s="29">
        <f>Cours_Hist_figé!D1020/Cours_Hist_figé!D956 - 1</f>
        <v>-9.575525226056536E-4</v>
      </c>
      <c r="E956" s="29">
        <f>Cours_Hist_figé!E1020/Cours_Hist_figé!E956 - 1</f>
        <v>-9.575525226056536E-4</v>
      </c>
    </row>
    <row r="957" spans="1:5" x14ac:dyDescent="0.4">
      <c r="A957" s="27">
        <v>43474</v>
      </c>
      <c r="B957" s="29">
        <f>Cours_Hist_figé!B1021/Cours_Hist_figé!B957 - 1</f>
        <v>-6.2098861070363109E-2</v>
      </c>
      <c r="C957" s="29">
        <f>Cours_Hist_figé!C1021/Cours_Hist_figé!C957 - 1</f>
        <v>1.3079965431345597E-2</v>
      </c>
      <c r="D957" s="29">
        <f>Cours_Hist_figé!D1021/Cours_Hist_figé!D957 - 1</f>
        <v>-9.374715010090906E-4</v>
      </c>
      <c r="E957" s="29">
        <f>Cours_Hist_figé!E1021/Cours_Hist_figé!E957 - 1</f>
        <v>-9.3747150100897958E-4</v>
      </c>
    </row>
    <row r="958" spans="1:5" x14ac:dyDescent="0.4">
      <c r="A958" s="27">
        <v>43475</v>
      </c>
      <c r="B958" s="29">
        <f>Cours_Hist_figé!B1022/Cours_Hist_figé!B958 - 1</f>
        <v>-6.0765438050679244E-2</v>
      </c>
      <c r="C958" s="29">
        <f>Cours_Hist_figé!C1022/Cours_Hist_figé!C958 - 1</f>
        <v>1.3507712071811229E-2</v>
      </c>
      <c r="D958" s="29">
        <f>Cours_Hist_figé!D1022/Cours_Hist_figé!D958 - 1</f>
        <v>-9.374732942145636E-4</v>
      </c>
      <c r="E958" s="29">
        <f>Cours_Hist_figé!E1022/Cours_Hist_figé!E958 - 1</f>
        <v>-9.374732942145636E-4</v>
      </c>
    </row>
    <row r="959" spans="1:5" x14ac:dyDescent="0.4">
      <c r="A959" s="27">
        <v>43476</v>
      </c>
      <c r="B959" s="29">
        <f>Cours_Hist_figé!B1023/Cours_Hist_figé!B959 - 1</f>
        <v>-4.5319073580667335E-2</v>
      </c>
      <c r="C959" s="29">
        <f>Cours_Hist_figé!C1023/Cours_Hist_figé!C959 - 1</f>
        <v>1.5024049705164355E-2</v>
      </c>
      <c r="D959" s="29">
        <f>Cours_Hist_figé!D1023/Cours_Hist_figé!D959 - 1</f>
        <v>-9.375671679591191E-4</v>
      </c>
      <c r="E959" s="29">
        <f>Cours_Hist_figé!E1023/Cours_Hist_figé!E959 - 1</f>
        <v>-9.3756716795900807E-4</v>
      </c>
    </row>
    <row r="960" spans="1:5" x14ac:dyDescent="0.4">
      <c r="A960" s="27">
        <v>43479</v>
      </c>
      <c r="B960" s="29">
        <f>Cours_Hist_figé!B1024/Cours_Hist_figé!B960 - 1</f>
        <v>-3.0650809324319961E-2</v>
      </c>
      <c r="C960" s="29">
        <f>Cours_Hist_figé!C1024/Cours_Hist_figé!C960 - 1</f>
        <v>1.6279386615097202E-2</v>
      </c>
      <c r="D960" s="29">
        <f>Cours_Hist_figé!D1024/Cours_Hist_figé!D960 - 1</f>
        <v>-9.5784840895685175E-4</v>
      </c>
      <c r="E960" s="29">
        <f>Cours_Hist_figé!E1024/Cours_Hist_figé!E960 - 1</f>
        <v>-9.5784840895685175E-4</v>
      </c>
    </row>
    <row r="961" spans="1:5" x14ac:dyDescent="0.4">
      <c r="A961" s="27">
        <v>43480</v>
      </c>
      <c r="B961" s="29">
        <f>Cours_Hist_figé!B1025/Cours_Hist_figé!B961 - 1</f>
        <v>-2.486742401132358E-2</v>
      </c>
      <c r="C961" s="29">
        <f>Cours_Hist_figé!C1025/Cours_Hist_figé!C961 - 1</f>
        <v>1.6834871746506108E-2</v>
      </c>
      <c r="D961" s="29">
        <f>Cours_Hist_figé!D1025/Cours_Hist_figé!D961 - 1</f>
        <v>-9.5785051086760831E-4</v>
      </c>
      <c r="E961" s="29">
        <f>Cours_Hist_figé!E1025/Cours_Hist_figé!E961 - 1</f>
        <v>-9.5785051086738626E-4</v>
      </c>
    </row>
    <row r="962" spans="1:5" x14ac:dyDescent="0.4">
      <c r="A962" s="27">
        <v>43481</v>
      </c>
      <c r="B962" s="29">
        <f>Cours_Hist_figé!B1026/Cours_Hist_figé!B962 - 1</f>
        <v>-2.2114672969553051E-2</v>
      </c>
      <c r="C962" s="29">
        <f>Cours_Hist_figé!C1026/Cours_Hist_figé!C962 - 1</f>
        <v>1.7041066670135052E-2</v>
      </c>
      <c r="D962" s="29">
        <f>Cours_Hist_figé!D1026/Cours_Hist_figé!D962 - 1</f>
        <v>-9.3736953936007783E-4</v>
      </c>
      <c r="E962" s="29">
        <f>Cours_Hist_figé!E1026/Cours_Hist_figé!E962 - 1</f>
        <v>-9.3736953936007783E-4</v>
      </c>
    </row>
    <row r="963" spans="1:5" x14ac:dyDescent="0.4">
      <c r="A963" s="27">
        <v>43482</v>
      </c>
      <c r="B963" s="29">
        <f>Cours_Hist_figé!B1027/Cours_Hist_figé!B963 - 1</f>
        <v>-3.6195219926764666E-2</v>
      </c>
      <c r="C963" s="29">
        <f>Cours_Hist_figé!C1027/Cours_Hist_figé!C963 - 1</f>
        <v>1.4781005460560825E-2</v>
      </c>
      <c r="D963" s="29">
        <f>Cours_Hist_figé!D1027/Cours_Hist_figé!D963 - 1</f>
        <v>-9.3747117736908692E-4</v>
      </c>
      <c r="E963" s="29">
        <f>Cours_Hist_figé!E1027/Cours_Hist_figé!E963 - 1</f>
        <v>-9.3747117736919794E-4</v>
      </c>
    </row>
    <row r="964" spans="1:5" x14ac:dyDescent="0.4">
      <c r="A964" s="27">
        <v>43483</v>
      </c>
      <c r="B964" s="29">
        <f>Cours_Hist_figé!B1028/Cours_Hist_figé!B964 - 1</f>
        <v>-1.4545076000190837E-2</v>
      </c>
      <c r="C964" s="29">
        <f>Cours_Hist_figé!C1028/Cours_Hist_figé!C964 - 1</f>
        <v>1.4223003986674421E-2</v>
      </c>
      <c r="D964" s="29">
        <f>Cours_Hist_figé!D1028/Cours_Hist_figé!D964 - 1</f>
        <v>-9.3737340452204609E-4</v>
      </c>
      <c r="E964" s="29">
        <f>Cours_Hist_figé!E1028/Cours_Hist_figé!E964 - 1</f>
        <v>-9.3737340452204609E-4</v>
      </c>
    </row>
    <row r="965" spans="1:5" x14ac:dyDescent="0.4">
      <c r="A965" s="27">
        <v>43486</v>
      </c>
      <c r="B965" s="29">
        <f>Cours_Hist_figé!B1029/Cours_Hist_figé!B965 - 1</f>
        <v>-1.138189090049424E-2</v>
      </c>
      <c r="C965" s="29">
        <f>Cours_Hist_figé!C1029/Cours_Hist_figé!C965 - 1</f>
        <v>1.5150149894185283E-2</v>
      </c>
      <c r="D965" s="29">
        <f>Cours_Hist_figé!D1029/Cours_Hist_figé!D965 - 1</f>
        <v>-9.5794778793212298E-4</v>
      </c>
      <c r="E965" s="29">
        <f>Cours_Hist_figé!E1029/Cours_Hist_figé!E965 - 1</f>
        <v>-9.5794778793234503E-4</v>
      </c>
    </row>
    <row r="966" spans="1:5" x14ac:dyDescent="0.4">
      <c r="A966" s="27">
        <v>43487</v>
      </c>
      <c r="B966" s="29">
        <f>Cours_Hist_figé!B1030/Cours_Hist_figé!B966 - 1</f>
        <v>-1.513911203844398E-2</v>
      </c>
      <c r="C966" s="29">
        <f>Cours_Hist_figé!C1030/Cours_Hist_figé!C966 - 1</f>
        <v>1.6514632093108883E-2</v>
      </c>
      <c r="D966" s="29">
        <f>Cours_Hist_figé!D1030/Cours_Hist_figé!D966 - 1</f>
        <v>-9.5785022393501951E-4</v>
      </c>
      <c r="E966" s="29">
        <f>Cours_Hist_figé!E1030/Cours_Hist_figé!E966 - 1</f>
        <v>-9.5785022393479746E-4</v>
      </c>
    </row>
    <row r="967" spans="1:5" x14ac:dyDescent="0.4">
      <c r="A967" s="27">
        <v>43488</v>
      </c>
      <c r="B967" s="29">
        <f>Cours_Hist_figé!B1031/Cours_Hist_figé!B967 - 1</f>
        <v>-1.1723436700693979E-2</v>
      </c>
      <c r="C967" s="29">
        <f>Cours_Hist_figé!C1031/Cours_Hist_figé!C967 - 1</f>
        <v>1.5932266478743129E-2</v>
      </c>
      <c r="D967" s="29">
        <f>Cours_Hist_figé!D1031/Cours_Hist_figé!D967 - 1</f>
        <v>-9.3736778182373914E-4</v>
      </c>
      <c r="E967" s="29">
        <f>Cours_Hist_figé!E1031/Cours_Hist_figé!E967 - 1</f>
        <v>-9.3736778182385017E-4</v>
      </c>
    </row>
    <row r="968" spans="1:5" x14ac:dyDescent="0.4">
      <c r="A968" s="27">
        <v>43489</v>
      </c>
      <c r="B968" s="29">
        <f>Cours_Hist_figé!B1032/Cours_Hist_figé!B968 - 1</f>
        <v>5.6255163063885227E-3</v>
      </c>
      <c r="C968" s="29">
        <f>Cours_Hist_figé!C1032/Cours_Hist_figé!C968 - 1</f>
        <v>1.8456534237900168E-2</v>
      </c>
      <c r="D968" s="29">
        <f>Cours_Hist_figé!D1032/Cours_Hist_figé!D968 - 1</f>
        <v>-9.3736966774982111E-4</v>
      </c>
      <c r="E968" s="29">
        <f>Cours_Hist_figé!E1032/Cours_Hist_figé!E968 - 1</f>
        <v>-9.3736966774993213E-4</v>
      </c>
    </row>
    <row r="969" spans="1:5" x14ac:dyDescent="0.4">
      <c r="A969" s="27">
        <v>43490</v>
      </c>
      <c r="B969" s="29">
        <f>Cours_Hist_figé!B1033/Cours_Hist_figé!B969 - 1</f>
        <v>1.4428393080078372E-2</v>
      </c>
      <c r="C969" s="29">
        <f>Cours_Hist_figé!C1033/Cours_Hist_figé!C969 - 1</f>
        <v>1.7949547546033839E-2</v>
      </c>
      <c r="D969" s="29">
        <f>Cours_Hist_figé!D1033/Cours_Hist_figé!D969 - 1</f>
        <v>-9.3737155371442782E-4</v>
      </c>
      <c r="E969" s="29">
        <f>Cours_Hist_figé!E1033/Cours_Hist_figé!E969 - 1</f>
        <v>-9.373715537143168E-4</v>
      </c>
    </row>
    <row r="970" spans="1:5" x14ac:dyDescent="0.4">
      <c r="A970" s="27">
        <v>43493</v>
      </c>
      <c r="B970" s="29">
        <f>Cours_Hist_figé!B1034/Cours_Hist_figé!B970 - 1</f>
        <v>-5.3178827236821657E-4</v>
      </c>
      <c r="C970" s="29">
        <f>Cours_Hist_figé!C1034/Cours_Hist_figé!C970 - 1</f>
        <v>1.6662020119213361E-2</v>
      </c>
      <c r="D970" s="29">
        <f>Cours_Hist_figé!D1034/Cours_Hist_figé!D970 - 1</f>
        <v>-9.5785522203917228E-4</v>
      </c>
      <c r="E970" s="29">
        <f>Cours_Hist_figé!E1034/Cours_Hist_figé!E970 - 1</f>
        <v>-9.5785522203939433E-4</v>
      </c>
    </row>
    <row r="971" spans="1:5" x14ac:dyDescent="0.4">
      <c r="A971" s="27">
        <v>43494</v>
      </c>
      <c r="B971" s="29">
        <f>Cours_Hist_figé!B1035/Cours_Hist_figé!B971 - 1</f>
        <v>1.5025374964063865E-2</v>
      </c>
      <c r="C971" s="29">
        <f>Cours_Hist_figé!C1035/Cours_Hist_figé!C971 - 1</f>
        <v>1.5126693783078515E-2</v>
      </c>
      <c r="D971" s="29">
        <f>Cours_Hist_figé!D1035/Cours_Hist_figé!D971 - 1</f>
        <v>-9.5785731696995668E-4</v>
      </c>
      <c r="E971" s="29">
        <f>Cours_Hist_figé!E1035/Cours_Hist_figé!E971 - 1</f>
        <v>-9.5785731696995668E-4</v>
      </c>
    </row>
    <row r="972" spans="1:5" x14ac:dyDescent="0.4">
      <c r="A972" s="27">
        <v>43495</v>
      </c>
      <c r="B972" s="29">
        <f>Cours_Hist_figé!B1036/Cours_Hist_figé!B972 - 1</f>
        <v>1.0653979044548789E-2</v>
      </c>
      <c r="C972" s="29">
        <f>Cours_Hist_figé!C1036/Cours_Hist_figé!C972 - 1</f>
        <v>1.5364058759652854E-2</v>
      </c>
      <c r="D972" s="29">
        <f>Cours_Hist_figé!D1036/Cours_Hist_figé!D972 - 1</f>
        <v>-9.3736573629110698E-4</v>
      </c>
      <c r="E972" s="29">
        <f>Cours_Hist_figé!E1036/Cours_Hist_figé!E972 - 1</f>
        <v>-9.3736573629088493E-4</v>
      </c>
    </row>
    <row r="973" spans="1:5" x14ac:dyDescent="0.4">
      <c r="A973" s="27">
        <v>43496</v>
      </c>
      <c r="B973" s="29">
        <f>Cours_Hist_figé!B1037/Cours_Hist_figé!B973 - 1</f>
        <v>1.1736713690634115E-2</v>
      </c>
      <c r="C973" s="29">
        <f>Cours_Hist_figé!C1037/Cours_Hist_figé!C973 - 1</f>
        <v>1.885556367445651E-2</v>
      </c>
      <c r="D973" s="29">
        <f>Cours_Hist_figé!D1037/Cours_Hist_figé!D973 - 1</f>
        <v>-9.3726794934312352E-4</v>
      </c>
      <c r="E973" s="29">
        <f>Cours_Hist_figé!E1037/Cours_Hist_figé!E973 - 1</f>
        <v>-9.3726794934323454E-4</v>
      </c>
    </row>
    <row r="974" spans="1:5" x14ac:dyDescent="0.4">
      <c r="A974" s="27">
        <v>43497</v>
      </c>
      <c r="B974" s="29">
        <f>Cours_Hist_figé!B1038/Cours_Hist_figé!B974 - 1</f>
        <v>-2.4037298455381606E-3</v>
      </c>
      <c r="C974" s="29">
        <f>Cours_Hist_figé!C1038/Cours_Hist_figé!C974 - 1</f>
        <v>1.6795430285429402E-2</v>
      </c>
      <c r="D974" s="29">
        <f>Cours_Hist_figé!D1038/Cours_Hist_figé!D974 - 1</f>
        <v>-9.3697053183539047E-4</v>
      </c>
      <c r="E974" s="29">
        <f>Cours_Hist_figé!E1038/Cours_Hist_figé!E974 - 1</f>
        <v>-9.369705318355015E-4</v>
      </c>
    </row>
    <row r="975" spans="1:5" x14ac:dyDescent="0.4">
      <c r="A975" s="27">
        <v>43500</v>
      </c>
      <c r="B975" s="29">
        <f>Cours_Hist_figé!B1039/Cours_Hist_figé!B975 - 1</f>
        <v>-5.693264472448889E-3</v>
      </c>
      <c r="C975" s="29">
        <f>Cours_Hist_figé!C1039/Cours_Hist_figé!C975 - 1</f>
        <v>1.6614827434978663E-2</v>
      </c>
      <c r="D975" s="29">
        <f>Cours_Hist_figé!D1039/Cours_Hist_figé!D975 - 1</f>
        <v>-9.5785406798187811E-4</v>
      </c>
      <c r="E975" s="29">
        <f>Cours_Hist_figé!E1039/Cours_Hist_figé!E975 - 1</f>
        <v>-9.5785406798176709E-4</v>
      </c>
    </row>
    <row r="976" spans="1:5" x14ac:dyDescent="0.4">
      <c r="A976" s="27">
        <v>43501</v>
      </c>
      <c r="B976" s="29">
        <f>Cours_Hist_figé!B1040/Cours_Hist_figé!B976 - 1</f>
        <v>6.1787743980585841E-3</v>
      </c>
      <c r="C976" s="29">
        <f>Cours_Hist_figé!C1040/Cours_Hist_figé!C976 - 1</f>
        <v>1.7077793491347748E-2</v>
      </c>
      <c r="D976" s="29">
        <f>Cours_Hist_figé!D1040/Cours_Hist_figé!D976 - 1</f>
        <v>-9.5814741456401453E-4</v>
      </c>
      <c r="E976" s="29">
        <f>Cours_Hist_figé!E1040/Cours_Hist_figé!E976 - 1</f>
        <v>-9.5814741456412555E-4</v>
      </c>
    </row>
    <row r="977" spans="1:5" x14ac:dyDescent="0.4">
      <c r="A977" s="27">
        <v>43502</v>
      </c>
      <c r="B977" s="29">
        <f>Cours_Hist_figé!B1041/Cours_Hist_figé!B977 - 1</f>
        <v>8.757856036034406E-3</v>
      </c>
      <c r="C977" s="29">
        <f>Cours_Hist_figé!C1041/Cours_Hist_figé!C977 - 1</f>
        <v>1.6604804441956889E-2</v>
      </c>
      <c r="D977" s="29">
        <f>Cours_Hist_figé!D1041/Cours_Hist_figé!D977 - 1</f>
        <v>-9.3806836246379532E-4</v>
      </c>
      <c r="E977" s="29">
        <f>Cours_Hist_figé!E1041/Cours_Hist_figé!E977 - 1</f>
        <v>-9.3806836246379532E-4</v>
      </c>
    </row>
    <row r="978" spans="1:5" x14ac:dyDescent="0.4">
      <c r="A978" s="27">
        <v>43503</v>
      </c>
      <c r="B978" s="29">
        <f>Cours_Hist_figé!B1042/Cours_Hist_figé!B978 - 1</f>
        <v>-2.8401890369571525E-3</v>
      </c>
      <c r="C978" s="29">
        <f>Cours_Hist_figé!C1042/Cours_Hist_figé!C978 - 1</f>
        <v>1.8364836654762628E-2</v>
      </c>
      <c r="D978" s="29">
        <f>Cours_Hist_figé!D1042/Cours_Hist_figé!D978 - 1</f>
        <v>-9.3807016220803785E-4</v>
      </c>
      <c r="E978" s="29">
        <f>Cours_Hist_figé!E1042/Cours_Hist_figé!E978 - 1</f>
        <v>-9.3807016220792683E-4</v>
      </c>
    </row>
    <row r="979" spans="1:5" x14ac:dyDescent="0.4">
      <c r="A979" s="27">
        <v>43504</v>
      </c>
      <c r="B979" s="29">
        <f>Cours_Hist_figé!B1043/Cours_Hist_figé!B979 - 1</f>
        <v>-1.8455061750222823E-2</v>
      </c>
      <c r="C979" s="29">
        <f>Cours_Hist_figé!C1043/Cours_Hist_figé!C979 - 1</f>
        <v>1.8682466038591583E-2</v>
      </c>
      <c r="D979" s="29">
        <f>Cours_Hist_figé!D1043/Cours_Hist_figé!D979 - 1</f>
        <v>-9.3807196198891774E-4</v>
      </c>
      <c r="E979" s="29">
        <f>Cours_Hist_figé!E1043/Cours_Hist_figé!E979 - 1</f>
        <v>-9.3807196198902876E-4</v>
      </c>
    </row>
    <row r="980" spans="1:5" x14ac:dyDescent="0.4">
      <c r="A980" s="27">
        <v>43507</v>
      </c>
      <c r="B980" s="29">
        <f>Cours_Hist_figé!B1044/Cours_Hist_figé!B980 - 1</f>
        <v>-1.2200157932081512E-2</v>
      </c>
      <c r="C980" s="29">
        <f>Cours_Hist_figé!C1044/Cours_Hist_figé!C980 - 1</f>
        <v>1.9428192420899437E-2</v>
      </c>
      <c r="D980" s="29">
        <f>Cours_Hist_figé!D1044/Cours_Hist_figé!D980 - 1</f>
        <v>-9.5815165944368452E-4</v>
      </c>
      <c r="E980" s="29">
        <f>Cours_Hist_figé!E1044/Cours_Hist_figé!E980 - 1</f>
        <v>-9.5815165944379554E-4</v>
      </c>
    </row>
    <row r="981" spans="1:5" x14ac:dyDescent="0.4">
      <c r="A981" s="27">
        <v>43508</v>
      </c>
      <c r="B981" s="29">
        <f>Cours_Hist_figé!B1045/Cours_Hist_figé!B981 - 1</f>
        <v>-4.3384715930104845E-3</v>
      </c>
      <c r="C981" s="29">
        <f>Cours_Hist_figé!C1045/Cours_Hist_figé!C981 - 1</f>
        <v>1.7803457175910475E-2</v>
      </c>
      <c r="D981" s="29">
        <f>Cours_Hist_figé!D1045/Cours_Hist_figé!D981 - 1</f>
        <v>-9.5825343858579881E-4</v>
      </c>
      <c r="E981" s="29">
        <f>Cours_Hist_figé!E1045/Cours_Hist_figé!E981 - 1</f>
        <v>-9.5825343858602086E-4</v>
      </c>
    </row>
    <row r="982" spans="1:5" x14ac:dyDescent="0.4">
      <c r="A982" s="27">
        <v>43509</v>
      </c>
      <c r="B982" s="29">
        <f>Cours_Hist_figé!B1046/Cours_Hist_figé!B982 - 1</f>
        <v>1.1012001062468357E-2</v>
      </c>
      <c r="C982" s="29">
        <f>Cours_Hist_figé!C1046/Cours_Hist_figé!C982 - 1</f>
        <v>1.8619908596631207E-2</v>
      </c>
      <c r="D982" s="29">
        <f>Cours_Hist_figé!D1046/Cours_Hist_figé!D982 - 1</f>
        <v>-9.3836476203257302E-4</v>
      </c>
      <c r="E982" s="29">
        <f>Cours_Hist_figé!E1046/Cours_Hist_figé!E982 - 1</f>
        <v>-9.3836476203257302E-4</v>
      </c>
    </row>
    <row r="983" spans="1:5" x14ac:dyDescent="0.4">
      <c r="A983" s="27">
        <v>43510</v>
      </c>
      <c r="B983" s="29">
        <f>Cours_Hist_figé!B1047/Cours_Hist_figé!B983 - 1</f>
        <v>1.6299762123248573E-3</v>
      </c>
      <c r="C983" s="29">
        <f>Cours_Hist_figé!C1047/Cours_Hist_figé!C983 - 1</f>
        <v>2.050818239207497E-2</v>
      </c>
      <c r="D983" s="29">
        <f>Cours_Hist_figé!D1047/Cours_Hist_figé!D983 - 1</f>
        <v>-9.385660322559497E-4</v>
      </c>
      <c r="E983" s="29">
        <f>Cours_Hist_figé!E1047/Cours_Hist_figé!E983 - 1</f>
        <v>-9.3856603225606072E-4</v>
      </c>
    </row>
    <row r="984" spans="1:5" x14ac:dyDescent="0.4">
      <c r="A984" s="27">
        <v>43511</v>
      </c>
      <c r="B984" s="29">
        <f>Cours_Hist_figé!B1048/Cours_Hist_figé!B984 - 1</f>
        <v>2.1598539931174443E-2</v>
      </c>
      <c r="C984" s="29">
        <f>Cours_Hist_figé!C1048/Cours_Hist_figé!C984 - 1</f>
        <v>2.0996843831417866E-2</v>
      </c>
      <c r="D984" s="29">
        <f>Cours_Hist_figé!D1048/Cours_Hist_figé!D984 - 1</f>
        <v>-9.38775068471287E-4</v>
      </c>
      <c r="E984" s="29">
        <f>Cours_Hist_figé!E1048/Cours_Hist_figé!E984 - 1</f>
        <v>-9.3877506847117598E-4</v>
      </c>
    </row>
    <row r="985" spans="1:5" x14ac:dyDescent="0.4">
      <c r="A985" s="27">
        <v>43514</v>
      </c>
      <c r="B985" s="29">
        <f>Cours_Hist_figé!B1049/Cours_Hist_figé!B985 - 1</f>
        <v>3.3042205501483179E-2</v>
      </c>
      <c r="C985" s="29">
        <f>Cours_Hist_figé!C1049/Cours_Hist_figé!C985 - 1</f>
        <v>2.0542130648711687E-2</v>
      </c>
      <c r="D985" s="29">
        <f>Cours_Hist_figé!D1049/Cours_Hist_figé!D985 - 1</f>
        <v>-9.5945478596659584E-4</v>
      </c>
      <c r="E985" s="29">
        <f>Cours_Hist_figé!E1049/Cours_Hist_figé!E985 - 1</f>
        <v>-9.5945478596681788E-4</v>
      </c>
    </row>
    <row r="986" spans="1:5" x14ac:dyDescent="0.4">
      <c r="A986" s="27">
        <v>43515</v>
      </c>
      <c r="B986" s="29">
        <f>Cours_Hist_figé!B1050/Cours_Hist_figé!B986 - 1</f>
        <v>3.2962632171735784E-2</v>
      </c>
      <c r="C986" s="29">
        <f>Cours_Hist_figé!C1050/Cours_Hist_figé!C986 - 1</f>
        <v>2.1912242489435352E-2</v>
      </c>
      <c r="D986" s="29">
        <f>Cours_Hist_figé!D1050/Cours_Hist_figé!D986 - 1</f>
        <v>-9.5954900551986633E-4</v>
      </c>
      <c r="E986" s="29">
        <f>Cours_Hist_figé!E1050/Cours_Hist_figé!E986 - 1</f>
        <v>-9.595490055197553E-4</v>
      </c>
    </row>
    <row r="987" spans="1:5" x14ac:dyDescent="0.4">
      <c r="A987" s="27">
        <v>43516</v>
      </c>
      <c r="B987" s="29">
        <f>Cours_Hist_figé!B1051/Cours_Hist_figé!B987 - 1</f>
        <v>4.7741233491304325E-2</v>
      </c>
      <c r="C987" s="29">
        <f>Cours_Hist_figé!C1051/Cours_Hist_figé!C987 - 1</f>
        <v>2.3353076782061111E-2</v>
      </c>
      <c r="D987" s="29">
        <f>Cours_Hist_figé!D1051/Cours_Hist_figé!D987 - 1</f>
        <v>-9.3956695086350184E-4</v>
      </c>
      <c r="E987" s="29">
        <f>Cours_Hist_figé!E1051/Cours_Hist_figé!E987 - 1</f>
        <v>-9.3956695086361286E-4</v>
      </c>
    </row>
    <row r="988" spans="1:5" x14ac:dyDescent="0.4">
      <c r="A988" s="27">
        <v>43517</v>
      </c>
      <c r="B988" s="29">
        <f>Cours_Hist_figé!B1052/Cours_Hist_figé!B988 - 1</f>
        <v>5.7497924630534492E-2</v>
      </c>
      <c r="C988" s="29">
        <f>Cours_Hist_figé!C1052/Cours_Hist_figé!C988 - 1</f>
        <v>2.1991113374622673E-2</v>
      </c>
      <c r="D988" s="29">
        <f>Cours_Hist_figé!D1052/Cours_Hist_figé!D988 - 1</f>
        <v>-9.3976066511380907E-4</v>
      </c>
      <c r="E988" s="29">
        <f>Cours_Hist_figé!E1052/Cours_Hist_figé!E988 - 1</f>
        <v>-9.3976066511380907E-4</v>
      </c>
    </row>
    <row r="989" spans="1:5" x14ac:dyDescent="0.4">
      <c r="A989" s="27">
        <v>43518</v>
      </c>
      <c r="B989" s="29">
        <f>Cours_Hist_figé!B1053/Cours_Hist_figé!B989 - 1</f>
        <v>4.7594924020491813E-2</v>
      </c>
      <c r="C989" s="29">
        <f>Cours_Hist_figé!C1053/Cours_Hist_figé!C989 - 1</f>
        <v>2.2624218008191699E-2</v>
      </c>
      <c r="D989" s="29">
        <f>Cours_Hist_figé!D1053/Cours_Hist_figé!D989 - 1</f>
        <v>-9.3996972814658353E-4</v>
      </c>
      <c r="E989" s="29">
        <f>Cours_Hist_figé!E1053/Cours_Hist_figé!E989 - 1</f>
        <v>-9.3996972814636148E-4</v>
      </c>
    </row>
    <row r="990" spans="1:5" x14ac:dyDescent="0.4">
      <c r="A990" s="27">
        <v>43521</v>
      </c>
      <c r="B990" s="29">
        <f>Cours_Hist_figé!B1054/Cours_Hist_figé!B990 - 1</f>
        <v>5.7470161113167162E-2</v>
      </c>
      <c r="C990" s="29">
        <f>Cours_Hist_figé!C1054/Cours_Hist_figé!C990 - 1</f>
        <v>2.2477620583596147E-2</v>
      </c>
      <c r="D990" s="29">
        <f>Cours_Hist_figé!D1054/Cours_Hist_figé!D990 - 1</f>
        <v>-9.605512239895253E-4</v>
      </c>
      <c r="E990" s="29">
        <f>Cours_Hist_figé!E1054/Cours_Hist_figé!E990 - 1</f>
        <v>-9.605512239895253E-4</v>
      </c>
    </row>
    <row r="991" spans="1:5" x14ac:dyDescent="0.4">
      <c r="A991" s="27">
        <v>43522</v>
      </c>
      <c r="B991" s="29">
        <f>Cours_Hist_figé!B1055/Cours_Hist_figé!B991 - 1</f>
        <v>5.7619820626564344E-2</v>
      </c>
      <c r="C991" s="29">
        <f>Cours_Hist_figé!C1055/Cours_Hist_figé!C991 - 1</f>
        <v>2.1203313730437712E-2</v>
      </c>
      <c r="D991" s="29">
        <f>Cours_Hist_figé!D1055/Cours_Hist_figé!D991 - 1</f>
        <v>-9.6074515608934874E-4</v>
      </c>
      <c r="E991" s="29">
        <f>Cours_Hist_figé!E1055/Cours_Hist_figé!E991 - 1</f>
        <v>-9.607451560891267E-4</v>
      </c>
    </row>
    <row r="992" spans="1:5" x14ac:dyDescent="0.4">
      <c r="A992" s="27">
        <v>43523</v>
      </c>
      <c r="B992" s="29">
        <f>Cours_Hist_figé!B1056/Cours_Hist_figé!B992 - 1</f>
        <v>4.1566600637695794E-2</v>
      </c>
      <c r="C992" s="29">
        <f>Cours_Hist_figé!C1056/Cours_Hist_figé!C992 - 1</f>
        <v>1.8257763024029927E-2</v>
      </c>
      <c r="D992" s="29">
        <f>Cours_Hist_figé!D1056/Cours_Hist_figé!D992 - 1</f>
        <v>-9.4086918945934794E-4</v>
      </c>
      <c r="E992" s="29">
        <f>Cours_Hist_figé!E1056/Cours_Hist_figé!E992 - 1</f>
        <v>-9.4086918945923692E-4</v>
      </c>
    </row>
    <row r="993" spans="1:5" x14ac:dyDescent="0.4">
      <c r="A993" s="27">
        <v>43524</v>
      </c>
      <c r="B993" s="29">
        <f>Cours_Hist_figé!B1057/Cours_Hist_figé!B993 - 1</f>
        <v>4.4960475996397964E-2</v>
      </c>
      <c r="C993" s="29">
        <f>Cours_Hist_figé!C1057/Cours_Hist_figé!C993 - 1</f>
        <v>1.743547323932737E-2</v>
      </c>
      <c r="D993" s="29">
        <f>Cours_Hist_figé!D1057/Cours_Hist_figé!D993 - 1</f>
        <v>-9.4106293054163626E-4</v>
      </c>
      <c r="E993" s="29">
        <f>Cours_Hist_figé!E1057/Cours_Hist_figé!E993 - 1</f>
        <v>-9.4106293054174728E-4</v>
      </c>
    </row>
    <row r="994" spans="1:5" x14ac:dyDescent="0.4">
      <c r="A994" s="27">
        <v>43525</v>
      </c>
      <c r="B994" s="29">
        <f>Cours_Hist_figé!B1058/Cours_Hist_figé!B994 - 1</f>
        <v>4.8784916092052821E-2</v>
      </c>
      <c r="C994" s="29">
        <f>Cours_Hist_figé!C1058/Cours_Hist_figé!C994 - 1</f>
        <v>1.7271478143600971E-2</v>
      </c>
      <c r="D994" s="29">
        <f>Cours_Hist_figé!D1058/Cours_Hist_figé!D994 - 1</f>
        <v>-9.4106476093736013E-4</v>
      </c>
      <c r="E994" s="29">
        <f>Cours_Hist_figé!E1058/Cours_Hist_figé!E994 - 1</f>
        <v>-9.4106476093724911E-4</v>
      </c>
    </row>
    <row r="995" spans="1:5" x14ac:dyDescent="0.4">
      <c r="A995" s="27">
        <v>43528</v>
      </c>
      <c r="B995" s="29">
        <f>Cours_Hist_figé!B1059/Cours_Hist_figé!B995 - 1</f>
        <v>5.0096331602905275E-2</v>
      </c>
      <c r="C995" s="29">
        <f>Cours_Hist_figé!C1059/Cours_Hist_figé!C995 - 1</f>
        <v>1.6476618513608932E-2</v>
      </c>
      <c r="D995" s="29">
        <f>Cours_Hist_figé!D1059/Cours_Hist_figé!D995 - 1</f>
        <v>-9.6164771371864965E-4</v>
      </c>
      <c r="E995" s="29">
        <f>Cours_Hist_figé!E1059/Cours_Hist_figé!E995 - 1</f>
        <v>-9.6164771371876068E-4</v>
      </c>
    </row>
    <row r="996" spans="1:5" x14ac:dyDescent="0.4">
      <c r="A996" s="27">
        <v>43529</v>
      </c>
      <c r="B996" s="29">
        <f>Cours_Hist_figé!B1060/Cours_Hist_figé!B996 - 1</f>
        <v>5.3367041161944018E-2</v>
      </c>
      <c r="C996" s="29">
        <f>Cours_Hist_figé!C1060/Cours_Hist_figé!C996 - 1</f>
        <v>1.6497997451925261E-2</v>
      </c>
      <c r="D996" s="29">
        <f>Cours_Hist_figé!D1060/Cours_Hist_figé!D996 - 1</f>
        <v>-9.6184934732712613E-4</v>
      </c>
      <c r="E996" s="29">
        <f>Cours_Hist_figé!E1060/Cours_Hist_figé!E996 - 1</f>
        <v>-9.6184934732712613E-4</v>
      </c>
    </row>
    <row r="997" spans="1:5" x14ac:dyDescent="0.4">
      <c r="A997" s="27">
        <v>43530</v>
      </c>
      <c r="B997" s="29">
        <f>Cours_Hist_figé!B1061/Cours_Hist_figé!B997 - 1</f>
        <v>4.2146472940858271E-2</v>
      </c>
      <c r="C997" s="29">
        <f>Cours_Hist_figé!C1061/Cours_Hist_figé!C997 - 1</f>
        <v>1.8232737737816418E-2</v>
      </c>
      <c r="D997" s="29">
        <f>Cours_Hist_figé!D1061/Cours_Hist_figé!D997 - 1</f>
        <v>-9.4306110527431208E-4</v>
      </c>
      <c r="E997" s="29">
        <f>Cours_Hist_figé!E1061/Cours_Hist_figé!E997 - 1</f>
        <v>-9.4306110527420106E-4</v>
      </c>
    </row>
    <row r="998" spans="1:5" x14ac:dyDescent="0.4">
      <c r="A998" s="27">
        <v>43531</v>
      </c>
      <c r="B998" s="29">
        <f>Cours_Hist_figé!B1062/Cours_Hist_figé!B998 - 1</f>
        <v>4.7000111927042898E-2</v>
      </c>
      <c r="C998" s="29">
        <f>Cours_Hist_figé!C1062/Cours_Hist_figé!C998 - 1</f>
        <v>2.1095257840089809E-2</v>
      </c>
      <c r="D998" s="29">
        <f>Cours_Hist_figé!D1062/Cours_Hist_figé!D998 - 1</f>
        <v>-9.4336216498880354E-4</v>
      </c>
      <c r="E998" s="29">
        <f>Cours_Hist_figé!E1062/Cours_Hist_figé!E998 - 1</f>
        <v>-9.4336216498869252E-4</v>
      </c>
    </row>
    <row r="999" spans="1:5" x14ac:dyDescent="0.4">
      <c r="A999" s="27">
        <v>43532</v>
      </c>
      <c r="B999" s="29">
        <f>Cours_Hist_figé!B1063/Cours_Hist_figé!B999 - 1</f>
        <v>5.0036892153743073E-2</v>
      </c>
      <c r="C999" s="29">
        <f>Cours_Hist_figé!C1063/Cours_Hist_figé!C999 - 1</f>
        <v>2.1055743124357873E-2</v>
      </c>
      <c r="D999" s="29">
        <f>Cours_Hist_figé!D1063/Cours_Hist_figé!D999 - 1</f>
        <v>-9.4326431037228264E-4</v>
      </c>
      <c r="E999" s="29">
        <f>Cours_Hist_figé!E1063/Cours_Hist_figé!E999 - 1</f>
        <v>-9.4326431037239367E-4</v>
      </c>
    </row>
    <row r="1000" spans="1:5" x14ac:dyDescent="0.4">
      <c r="A1000" s="27">
        <v>43535</v>
      </c>
      <c r="B1000" s="29">
        <f>Cours_Hist_figé!B1064/Cours_Hist_figé!B1000 - 1</f>
        <v>9.1966664396587738E-2</v>
      </c>
      <c r="C1000" s="29">
        <f>Cours_Hist_figé!C1064/Cours_Hist_figé!C1000 - 1</f>
        <v>2.0300795703722452E-2</v>
      </c>
      <c r="D1000" s="29">
        <f>Cours_Hist_figé!D1064/Cours_Hist_figé!D1000 - 1</f>
        <v>-9.6404812847505905E-4</v>
      </c>
      <c r="E1000" s="29">
        <f>Cours_Hist_figé!E1064/Cours_Hist_figé!E1000 - 1</f>
        <v>-9.6404812847517007E-4</v>
      </c>
    </row>
    <row r="1001" spans="1:5" x14ac:dyDescent="0.4">
      <c r="A1001" s="27">
        <v>43536</v>
      </c>
      <c r="B1001" s="29">
        <f>Cours_Hist_figé!B1065/Cours_Hist_figé!B1001 - 1</f>
        <v>8.4010404990841225E-2</v>
      </c>
      <c r="C1001" s="29">
        <f>Cours_Hist_figé!C1065/Cours_Hist_figé!C1001 - 1</f>
        <v>2.1069118246397789E-2</v>
      </c>
      <c r="D1001" s="29">
        <f>Cours_Hist_figé!D1065/Cours_Hist_figé!D1001 - 1</f>
        <v>-9.6434183128768503E-4</v>
      </c>
      <c r="E1001" s="29">
        <f>Cours_Hist_figé!E1065/Cours_Hist_figé!E1001 - 1</f>
        <v>-9.6434183128768503E-4</v>
      </c>
    </row>
    <row r="1002" spans="1:5" x14ac:dyDescent="0.4">
      <c r="A1002" s="27">
        <v>43537</v>
      </c>
      <c r="B1002" s="29">
        <f>Cours_Hist_figé!B1066/Cours_Hist_figé!B1002 - 1</f>
        <v>0.11156087149807759</v>
      </c>
      <c r="C1002" s="29">
        <f>Cours_Hist_figé!C1066/Cours_Hist_figé!C1002 - 1</f>
        <v>1.9924846183097644E-2</v>
      </c>
      <c r="D1002" s="29">
        <f>Cours_Hist_figé!D1066/Cours_Hist_figé!D1002 - 1</f>
        <v>-9.4466252849967347E-4</v>
      </c>
      <c r="E1002" s="29">
        <f>Cours_Hist_figé!E1066/Cours_Hist_figé!E1002 - 1</f>
        <v>-9.4466252849989552E-4</v>
      </c>
    </row>
    <row r="1003" spans="1:5" x14ac:dyDescent="0.4">
      <c r="A1003" s="27">
        <v>43538</v>
      </c>
      <c r="B1003" s="29">
        <f>Cours_Hist_figé!B1067/Cours_Hist_figé!B1003 - 1</f>
        <v>0.10350023109856976</v>
      </c>
      <c r="C1003" s="29">
        <f>Cours_Hist_figé!C1067/Cours_Hist_figé!C1003 - 1</f>
        <v>2.0338488403504051E-2</v>
      </c>
      <c r="D1003" s="29">
        <f>Cours_Hist_figé!D1067/Cours_Hist_figé!D1003 - 1</f>
        <v>-9.4496362510787524E-4</v>
      </c>
      <c r="E1003" s="29">
        <f>Cours_Hist_figé!E1067/Cours_Hist_figé!E1003 - 1</f>
        <v>-9.4496362510787524E-4</v>
      </c>
    </row>
    <row r="1004" spans="1:5" x14ac:dyDescent="0.4">
      <c r="A1004" s="27">
        <v>43539</v>
      </c>
      <c r="B1004" s="29">
        <f>Cours_Hist_figé!B1068/Cours_Hist_figé!B1004 - 1</f>
        <v>9.2658532962634821E-2</v>
      </c>
      <c r="C1004" s="29">
        <f>Cours_Hist_figé!C1068/Cours_Hist_figé!C1004 - 1</f>
        <v>2.0343676031490121E-2</v>
      </c>
      <c r="D1004" s="29">
        <f>Cours_Hist_figé!D1068/Cours_Hist_figé!D1004 - 1</f>
        <v>-9.4516501254737761E-4</v>
      </c>
      <c r="E1004" s="29">
        <f>Cours_Hist_figé!E1068/Cours_Hist_figé!E1004 - 1</f>
        <v>-9.4516501254748864E-4</v>
      </c>
    </row>
    <row r="1005" spans="1:5" x14ac:dyDescent="0.4">
      <c r="A1005" s="27">
        <v>43542</v>
      </c>
      <c r="B1005" s="29">
        <f>Cours_Hist_figé!B1069/Cours_Hist_figé!B1005 - 1</f>
        <v>9.7542849156992073E-2</v>
      </c>
      <c r="C1005" s="29">
        <f>Cours_Hist_figé!C1069/Cours_Hist_figé!C1005 - 1</f>
        <v>2.1808655730803039E-2</v>
      </c>
      <c r="D1005" s="29">
        <f>Cours_Hist_figé!D1069/Cours_Hist_figé!D1005 - 1</f>
        <v>-9.6564329274029248E-4</v>
      </c>
      <c r="E1005" s="29">
        <f>Cours_Hist_figé!E1069/Cours_Hist_figé!E1005 - 1</f>
        <v>-9.6564329274029248E-4</v>
      </c>
    </row>
    <row r="1006" spans="1:5" x14ac:dyDescent="0.4">
      <c r="A1006" s="27">
        <v>43543</v>
      </c>
      <c r="B1006" s="29">
        <f>Cours_Hist_figé!B1070/Cours_Hist_figé!B1006 - 1</f>
        <v>0.11094162254634332</v>
      </c>
      <c r="C1006" s="29">
        <f>Cours_Hist_figé!C1070/Cours_Hist_figé!C1006 - 1</f>
        <v>2.0075697358300504E-2</v>
      </c>
      <c r="D1006" s="29">
        <f>Cours_Hist_figé!D1070/Cours_Hist_figé!D1006 - 1</f>
        <v>-9.6584489093221038E-4</v>
      </c>
      <c r="E1006" s="29">
        <f>Cours_Hist_figé!E1070/Cours_Hist_figé!E1006 - 1</f>
        <v>-9.6584489093221038E-4</v>
      </c>
    </row>
    <row r="1007" spans="1:5" x14ac:dyDescent="0.4">
      <c r="A1007" s="27">
        <v>43544</v>
      </c>
      <c r="B1007" s="29">
        <f>Cours_Hist_figé!B1071/Cours_Hist_figé!B1007 - 1</f>
        <v>0.11341782184254035</v>
      </c>
      <c r="C1007" s="29">
        <f>Cours_Hist_figé!C1071/Cours_Hist_figé!C1007 - 1</f>
        <v>2.0639656280115659E-2</v>
      </c>
      <c r="D1007" s="29">
        <f>Cours_Hist_figé!D1071/Cours_Hist_figé!D1007 - 1</f>
        <v>-9.4585742128794337E-4</v>
      </c>
      <c r="E1007" s="29">
        <f>Cours_Hist_figé!E1071/Cours_Hist_figé!E1007 - 1</f>
        <v>-9.4585742128794337E-4</v>
      </c>
    </row>
    <row r="1008" spans="1:5" x14ac:dyDescent="0.4">
      <c r="A1008" s="27">
        <v>43545</v>
      </c>
      <c r="B1008" s="29">
        <f>Cours_Hist_figé!B1072/Cours_Hist_figé!B1008 - 1</f>
        <v>0.12307585903038576</v>
      </c>
      <c r="C1008" s="29">
        <f>Cours_Hist_figé!C1072/Cours_Hist_figé!C1008 - 1</f>
        <v>2.2687642685476073E-2</v>
      </c>
      <c r="D1008" s="29">
        <f>Cours_Hist_figé!D1072/Cours_Hist_figé!D1008 - 1</f>
        <v>-9.4606660233342854E-4</v>
      </c>
      <c r="E1008" s="29">
        <f>Cours_Hist_figé!E1072/Cours_Hist_figé!E1008 - 1</f>
        <v>-9.4606660233331752E-4</v>
      </c>
    </row>
    <row r="1009" spans="1:5" x14ac:dyDescent="0.4">
      <c r="A1009" s="27">
        <v>43546</v>
      </c>
      <c r="B1009" s="29">
        <f>Cours_Hist_figé!B1073/Cours_Hist_figé!B1009 - 1</f>
        <v>0.10626317983424061</v>
      </c>
      <c r="C1009" s="29">
        <f>Cours_Hist_figé!C1073/Cours_Hist_figé!C1009 - 1</f>
        <v>2.4649583556096699E-2</v>
      </c>
      <c r="D1009" s="29">
        <f>Cours_Hist_figé!D1073/Cours_Hist_figé!D1009 - 1</f>
        <v>-9.4616071642383837E-4</v>
      </c>
      <c r="E1009" s="29">
        <f>Cours_Hist_figé!E1073/Cours_Hist_figé!E1009 - 1</f>
        <v>-9.461607164235053E-4</v>
      </c>
    </row>
    <row r="1010" spans="1:5" x14ac:dyDescent="0.4">
      <c r="A1010" s="27">
        <v>43549</v>
      </c>
      <c r="B1010" s="29">
        <f>Cours_Hist_figé!B1074/Cours_Hist_figé!B1010 - 1</f>
        <v>0.11709294347608901</v>
      </c>
      <c r="C1010" s="29">
        <f>Cours_Hist_figé!C1074/Cours_Hist_figé!C1010 - 1</f>
        <v>2.2519652263012224E-2</v>
      </c>
      <c r="D1010" s="29">
        <f>Cours_Hist_figé!D1074/Cours_Hist_figé!D1010 - 1</f>
        <v>-9.6664063604645634E-4</v>
      </c>
      <c r="E1010" s="29">
        <f>Cours_Hist_figé!E1074/Cours_Hist_figé!E1010 - 1</f>
        <v>-9.6664063604656736E-4</v>
      </c>
    </row>
    <row r="1011" spans="1:5" x14ac:dyDescent="0.4">
      <c r="A1011" s="27">
        <v>43550</v>
      </c>
      <c r="B1011" s="29">
        <f>Cours_Hist_figé!B1075/Cours_Hist_figé!B1011 - 1</f>
        <v>0.12551713702991307</v>
      </c>
      <c r="C1011" s="29">
        <f>Cours_Hist_figé!C1075/Cours_Hist_figé!C1011 - 1</f>
        <v>2.4165323970532837E-2</v>
      </c>
      <c r="D1011" s="29">
        <f>Cours_Hist_figé!D1075/Cours_Hist_figé!D1011 - 1</f>
        <v>-9.6674254385664682E-4</v>
      </c>
      <c r="E1011" s="29">
        <f>Cours_Hist_figé!E1075/Cours_Hist_figé!E1011 - 1</f>
        <v>-9.6674254385675784E-4</v>
      </c>
    </row>
    <row r="1012" spans="1:5" x14ac:dyDescent="0.4">
      <c r="A1012" s="27">
        <v>43551</v>
      </c>
      <c r="B1012" s="29">
        <f>Cours_Hist_figé!B1076/Cours_Hist_figé!B1012 - 1</f>
        <v>0.13075511332918088</v>
      </c>
      <c r="C1012" s="29">
        <f>Cours_Hist_figé!C1076/Cours_Hist_figé!C1012 - 1</f>
        <v>2.7740631666012705E-2</v>
      </c>
      <c r="D1012" s="29">
        <f>Cours_Hist_figé!D1076/Cours_Hist_figé!D1012 - 1</f>
        <v>-9.4576408583735283E-4</v>
      </c>
      <c r="E1012" s="29">
        <f>Cours_Hist_figé!E1076/Cours_Hist_figé!E1012 - 1</f>
        <v>-9.4576408583735283E-4</v>
      </c>
    </row>
    <row r="1013" spans="1:5" x14ac:dyDescent="0.4">
      <c r="A1013" s="27">
        <v>43552</v>
      </c>
      <c r="B1013" s="29">
        <f>Cours_Hist_figé!B1077/Cours_Hist_figé!B1013 - 1</f>
        <v>0.14857481236250991</v>
      </c>
      <c r="C1013" s="29">
        <f>Cours_Hist_figé!C1077/Cours_Hist_figé!C1013 - 1</f>
        <v>2.4778429584287665E-2</v>
      </c>
      <c r="D1013" s="29">
        <f>Cours_Hist_figé!D1077/Cours_Hist_figé!D1013 - 1</f>
        <v>-9.2538280552134644E-4</v>
      </c>
      <c r="E1013" s="29">
        <f>Cours_Hist_figé!E1077/Cours_Hist_figé!E1013 - 1</f>
        <v>-9.2538280552134644E-4</v>
      </c>
    </row>
    <row r="1014" spans="1:5" x14ac:dyDescent="0.4">
      <c r="A1014" s="27">
        <v>43553</v>
      </c>
      <c r="B1014" s="29">
        <f>Cours_Hist_figé!B1078/Cours_Hist_figé!B1014 - 1</f>
        <v>0.13318378694412281</v>
      </c>
      <c r="C1014" s="29">
        <f>Cours_Hist_figé!C1078/Cours_Hist_figé!C1014 - 1</f>
        <v>2.5260107086896744E-2</v>
      </c>
      <c r="D1014" s="29">
        <f>Cours_Hist_figé!D1078/Cours_Hist_figé!D1014 - 1</f>
        <v>-9.2628216269996511E-4</v>
      </c>
      <c r="E1014" s="29">
        <f>Cours_Hist_figé!E1078/Cours_Hist_figé!E1014 - 1</f>
        <v>-9.2628216269985408E-4</v>
      </c>
    </row>
    <row r="1015" spans="1:5" x14ac:dyDescent="0.4">
      <c r="A1015" s="27">
        <v>43556</v>
      </c>
      <c r="B1015" s="29">
        <f>Cours_Hist_figé!B1079/Cours_Hist_figé!B1015 - 1</f>
        <v>0.14208533303025761</v>
      </c>
      <c r="C1015" s="29">
        <f>Cours_Hist_figé!C1079/Cours_Hist_figé!C1015 - 1</f>
        <v>2.2820217501694051E-2</v>
      </c>
      <c r="D1015" s="29">
        <f>Cours_Hist_figé!D1079/Cours_Hist_figé!D1015 - 1</f>
        <v>-9.2637869555678432E-4</v>
      </c>
      <c r="E1015" s="29">
        <f>Cours_Hist_figé!E1079/Cours_Hist_figé!E1015 - 1</f>
        <v>-9.2637869555667329E-4</v>
      </c>
    </row>
    <row r="1016" spans="1:5" x14ac:dyDescent="0.4">
      <c r="A1016" s="27">
        <v>43557</v>
      </c>
      <c r="B1016" s="29">
        <f>Cours_Hist_figé!B1080/Cours_Hist_figé!B1016 - 1</f>
        <v>0.14769122531116463</v>
      </c>
      <c r="C1016" s="29">
        <f>Cours_Hist_figé!C1080/Cours_Hist_figé!C1016 - 1</f>
        <v>2.1342403345585348E-2</v>
      </c>
      <c r="D1016" s="29">
        <f>Cours_Hist_figé!D1080/Cours_Hist_figé!D1016 - 1</f>
        <v>-9.16790262040168E-4</v>
      </c>
      <c r="E1016" s="29">
        <f>Cours_Hist_figé!E1080/Cours_Hist_figé!E1016 - 1</f>
        <v>-9.1679026204005698E-4</v>
      </c>
    </row>
    <row r="1017" spans="1:5" x14ac:dyDescent="0.4">
      <c r="A1017" s="27">
        <v>43558</v>
      </c>
      <c r="B1017" s="29">
        <f>Cours_Hist_figé!B1081/Cours_Hist_figé!B1017 - 1</f>
        <v>0.16932202487290504</v>
      </c>
      <c r="C1017" s="29">
        <f>Cours_Hist_figé!C1081/Cours_Hist_figé!C1017 - 1</f>
        <v>2.0801286603283398E-2</v>
      </c>
      <c r="D1017" s="29">
        <f>Cours_Hist_figé!D1081/Cours_Hist_figé!D1017 - 1</f>
        <v>-9.167842599669962E-4</v>
      </c>
      <c r="E1017" s="29">
        <f>Cours_Hist_figé!E1081/Cours_Hist_figé!E1017 - 1</f>
        <v>-9.167842599669962E-4</v>
      </c>
    </row>
    <row r="1018" spans="1:5" x14ac:dyDescent="0.4">
      <c r="A1018" s="27">
        <v>43559</v>
      </c>
      <c r="B1018" s="29">
        <f>Cours_Hist_figé!B1082/Cours_Hist_figé!B1018 - 1</f>
        <v>0.13492253674148658</v>
      </c>
      <c r="C1018" s="29">
        <f>Cours_Hist_figé!C1082/Cours_Hist_figé!C1018 - 1</f>
        <v>2.4650892662328561E-2</v>
      </c>
      <c r="D1018" s="29">
        <f>Cours_Hist_figé!D1082/Cours_Hist_figé!D1018 - 1</f>
        <v>-9.1678593016253362E-4</v>
      </c>
      <c r="E1018" s="29">
        <f>Cours_Hist_figé!E1082/Cours_Hist_figé!E1018 - 1</f>
        <v>-9.1678593016253362E-4</v>
      </c>
    </row>
    <row r="1019" spans="1:5" x14ac:dyDescent="0.4">
      <c r="A1019" s="27">
        <v>43560</v>
      </c>
      <c r="B1019" s="29">
        <f>Cours_Hist_figé!B1083/Cours_Hist_figé!B1019 - 1</f>
        <v>0.13914134808289913</v>
      </c>
      <c r="C1019" s="29">
        <f>Cours_Hist_figé!C1083/Cours_Hist_figé!C1019 - 1</f>
        <v>2.6074718885701342E-2</v>
      </c>
      <c r="D1019" s="29">
        <f>Cours_Hist_figé!D1083/Cours_Hist_figé!D1019 - 1</f>
        <v>-8.9660859762019651E-4</v>
      </c>
      <c r="E1019" s="29">
        <f>Cours_Hist_figé!E1083/Cours_Hist_figé!E1019 - 1</f>
        <v>-8.9660859762019651E-4</v>
      </c>
    </row>
    <row r="1020" spans="1:5" x14ac:dyDescent="0.4">
      <c r="A1020" s="27">
        <v>43563</v>
      </c>
      <c r="B1020" s="29">
        <f>Cours_Hist_figé!B1084/Cours_Hist_figé!B1020 - 1</f>
        <v>0.12826625265110936</v>
      </c>
      <c r="C1020" s="29">
        <f>Cours_Hist_figé!C1084/Cours_Hist_figé!C1020 - 1</f>
        <v>2.7541244326982905E-2</v>
      </c>
      <c r="D1020" s="29">
        <f>Cours_Hist_figé!D1084/Cours_Hist_figé!D1020 - 1</f>
        <v>-9.1718401062479415E-4</v>
      </c>
      <c r="E1020" s="29">
        <f>Cours_Hist_figé!E1084/Cours_Hist_figé!E1020 - 1</f>
        <v>-9.1718401062490518E-4</v>
      </c>
    </row>
    <row r="1021" spans="1:5" x14ac:dyDescent="0.4">
      <c r="A1021" s="27">
        <v>43564</v>
      </c>
      <c r="B1021" s="29">
        <f>Cours_Hist_figé!B1085/Cours_Hist_figé!B1021 - 1</f>
        <v>0.11712280310641754</v>
      </c>
      <c r="C1021" s="29">
        <f>Cours_Hist_figé!C1085/Cours_Hist_figé!C1021 - 1</f>
        <v>2.6912085207887237E-2</v>
      </c>
      <c r="D1021" s="29">
        <f>Cours_Hist_figé!D1085/Cours_Hist_figé!D1021 - 1</f>
        <v>-9.1738526874352022E-4</v>
      </c>
      <c r="E1021" s="29">
        <f>Cours_Hist_figé!E1085/Cours_Hist_figé!E1021 - 1</f>
        <v>-9.1738526874363124E-4</v>
      </c>
    </row>
    <row r="1022" spans="1:5" x14ac:dyDescent="0.4">
      <c r="A1022" s="27">
        <v>43565</v>
      </c>
      <c r="B1022" s="29">
        <f>Cours_Hist_figé!B1086/Cours_Hist_figé!B1022 - 1</f>
        <v>0.11619342741419048</v>
      </c>
      <c r="C1022" s="29">
        <f>Cours_Hist_figé!C1086/Cours_Hist_figé!C1022 - 1</f>
        <v>2.8026807797494113E-2</v>
      </c>
      <c r="D1022" s="29">
        <f>Cours_Hist_figé!D1086/Cours_Hist_figé!D1022 - 1</f>
        <v>-9.1748669225344415E-4</v>
      </c>
      <c r="E1022" s="29">
        <f>Cours_Hist_figé!E1086/Cours_Hist_figé!E1022 - 1</f>
        <v>-9.1748669225355517E-4</v>
      </c>
    </row>
    <row r="1023" spans="1:5" x14ac:dyDescent="0.4">
      <c r="A1023" s="27">
        <v>43566</v>
      </c>
      <c r="B1023" s="29">
        <f>Cours_Hist_figé!B1087/Cours_Hist_figé!B1023 - 1</f>
        <v>0.11667980774855513</v>
      </c>
      <c r="C1023" s="29">
        <f>Cours_Hist_figé!C1087/Cours_Hist_figé!C1023 - 1</f>
        <v>2.6777961345521684E-2</v>
      </c>
      <c r="D1023" s="29">
        <f>Cours_Hist_figé!D1087/Cours_Hist_figé!D1023 - 1</f>
        <v>-9.1748836973182257E-4</v>
      </c>
      <c r="E1023" s="29">
        <f>Cours_Hist_figé!E1087/Cours_Hist_figé!E1023 - 1</f>
        <v>-9.1748836973182257E-4</v>
      </c>
    </row>
    <row r="1024" spans="1:5" x14ac:dyDescent="0.4">
      <c r="A1024" s="27">
        <v>43567</v>
      </c>
      <c r="B1024" s="29">
        <f>Cours_Hist_figé!B1088/Cours_Hist_figé!B1024 - 1</f>
        <v>0.12385646210358248</v>
      </c>
      <c r="C1024" s="29">
        <f>Cours_Hist_figé!C1088/Cours_Hist_figé!C1024 - 1</f>
        <v>2.2253899104505592E-2</v>
      </c>
      <c r="D1024" s="29">
        <f>Cours_Hist_figé!D1088/Cours_Hist_figé!D1024 - 1</f>
        <v>-8.9720987474783964E-4</v>
      </c>
      <c r="E1024" s="29">
        <f>Cours_Hist_figé!E1088/Cours_Hist_figé!E1024 - 1</f>
        <v>-8.9720987474783964E-4</v>
      </c>
    </row>
    <row r="1025" spans="1:5" x14ac:dyDescent="0.4">
      <c r="A1025" s="27">
        <v>43570</v>
      </c>
      <c r="B1025" s="29">
        <f>Cours_Hist_figé!B1089/Cours_Hist_figé!B1025 - 1</f>
        <v>0.12196052207444308</v>
      </c>
      <c r="C1025" s="29">
        <f>Cours_Hist_figé!C1089/Cours_Hist_figé!C1025 - 1</f>
        <v>2.0712779643914159E-2</v>
      </c>
      <c r="D1025" s="29">
        <f>Cours_Hist_figé!D1089/Cours_Hist_figé!D1025 - 1</f>
        <v>-9.1728762762677274E-4</v>
      </c>
      <c r="E1025" s="29">
        <f>Cours_Hist_figé!E1089/Cours_Hist_figé!E1025 - 1</f>
        <v>-9.1728762762688376E-4</v>
      </c>
    </row>
    <row r="1026" spans="1:5" x14ac:dyDescent="0.4">
      <c r="A1026" s="27">
        <v>43571</v>
      </c>
      <c r="B1026" s="29">
        <f>Cours_Hist_figé!B1090/Cours_Hist_figé!B1026 - 1</f>
        <v>0.12004005969093234</v>
      </c>
      <c r="C1026" s="29">
        <f>Cours_Hist_figé!C1090/Cours_Hist_figé!C1026 - 1</f>
        <v>1.9943106475934558E-2</v>
      </c>
      <c r="D1026" s="29">
        <f>Cours_Hist_figé!D1090/Cours_Hist_figé!D1026 - 1</f>
        <v>-9.1728162279292036E-4</v>
      </c>
      <c r="E1026" s="29">
        <f>Cours_Hist_figé!E1090/Cours_Hist_figé!E1026 - 1</f>
        <v>-9.1728162279292036E-4</v>
      </c>
    </row>
    <row r="1027" spans="1:5" x14ac:dyDescent="0.4">
      <c r="A1027" s="27">
        <v>43572</v>
      </c>
      <c r="B1027" s="29">
        <f>Cours_Hist_figé!B1091/Cours_Hist_figé!B1027 - 1</f>
        <v>0.12132299471846064</v>
      </c>
      <c r="C1027" s="29">
        <f>Cours_Hist_figé!C1091/Cours_Hist_figé!C1027 - 1</f>
        <v>1.9424144875812344E-2</v>
      </c>
      <c r="D1027" s="29">
        <f>Cours_Hist_figé!D1091/Cours_Hist_figé!D1027 - 1</f>
        <v>-9.1718354406611358E-4</v>
      </c>
      <c r="E1027" s="29">
        <f>Cours_Hist_figé!E1091/Cours_Hist_figé!E1027 - 1</f>
        <v>-9.1718354406611358E-4</v>
      </c>
    </row>
    <row r="1028" spans="1:5" x14ac:dyDescent="0.4">
      <c r="A1028" s="27">
        <v>43573</v>
      </c>
      <c r="B1028" s="29">
        <f>Cours_Hist_figé!B1092/Cours_Hist_figé!B1028 - 1</f>
        <v>0.10369390081618812</v>
      </c>
      <c r="C1028" s="29">
        <f>Cours_Hist_figé!C1092/Cours_Hist_figé!C1028 - 1</f>
        <v>2.2441593207992883E-2</v>
      </c>
      <c r="D1028" s="29">
        <f>Cours_Hist_figé!D1092/Cours_Hist_figé!D1028 - 1</f>
        <v>-9.171852185720919E-4</v>
      </c>
      <c r="E1028" s="29">
        <f>Cours_Hist_figé!E1092/Cours_Hist_figé!E1028 - 1</f>
        <v>-9.171852185720919E-4</v>
      </c>
    </row>
    <row r="1029" spans="1:5" x14ac:dyDescent="0.4">
      <c r="A1029" s="27">
        <v>43578</v>
      </c>
      <c r="B1029" s="29">
        <f>Cours_Hist_figé!B1093/Cours_Hist_figé!B1029 - 1</f>
        <v>0.10904280732221339</v>
      </c>
      <c r="C1029" s="29">
        <f>Cours_Hist_figé!C1093/Cours_Hist_figé!C1029 - 1</f>
        <v>2.0855124059200314E-2</v>
      </c>
      <c r="D1029" s="29">
        <f>Cours_Hist_figé!D1093/Cours_Hist_figé!D1029 - 1</f>
        <v>-9.37068329172841E-4</v>
      </c>
      <c r="E1029" s="29">
        <f>Cours_Hist_figé!E1093/Cours_Hist_figé!E1029 - 1</f>
        <v>-9.3706832917272997E-4</v>
      </c>
    </row>
    <row r="1030" spans="1:5" x14ac:dyDescent="0.4">
      <c r="A1030" s="27">
        <v>43579</v>
      </c>
      <c r="B1030" s="29">
        <f>Cours_Hist_figé!B1094/Cours_Hist_figé!B1030 - 1</f>
        <v>0.1122341265798863</v>
      </c>
      <c r="C1030" s="29">
        <f>Cours_Hist_figé!C1094/Cours_Hist_figé!C1030 - 1</f>
        <v>2.2782076688810493E-2</v>
      </c>
      <c r="D1030" s="29">
        <f>Cours_Hist_figé!D1094/Cours_Hist_figé!D1030 - 1</f>
        <v>-9.3707020657540774E-4</v>
      </c>
      <c r="E1030" s="29">
        <f>Cours_Hist_figé!E1094/Cours_Hist_figé!E1030 - 1</f>
        <v>-9.3707020657562978E-4</v>
      </c>
    </row>
    <row r="1031" spans="1:5" x14ac:dyDescent="0.4">
      <c r="A1031" s="27">
        <v>43580</v>
      </c>
      <c r="B1031" s="29">
        <f>Cours_Hist_figé!B1095/Cours_Hist_figé!B1031 - 1</f>
        <v>0.1115270600182916</v>
      </c>
      <c r="C1031" s="29">
        <f>Cours_Hist_figé!C1095/Cours_Hist_figé!C1031 - 1</f>
        <v>2.1185003188925577E-2</v>
      </c>
      <c r="D1031" s="29">
        <f>Cours_Hist_figé!D1095/Cours_Hist_figé!D1031 - 1</f>
        <v>-9.3707208401649922E-4</v>
      </c>
      <c r="E1031" s="29">
        <f>Cours_Hist_figé!E1095/Cours_Hist_figé!E1031 - 1</f>
        <v>-9.3707208401649922E-4</v>
      </c>
    </row>
    <row r="1032" spans="1:5" x14ac:dyDescent="0.4">
      <c r="A1032" s="27">
        <v>43581</v>
      </c>
      <c r="B1032" s="29">
        <f>Cours_Hist_figé!B1096/Cours_Hist_figé!B1032 - 1</f>
        <v>0.11136899386747823</v>
      </c>
      <c r="C1032" s="29">
        <f>Cours_Hist_figé!C1096/Cours_Hist_figé!C1032 - 1</f>
        <v>1.9702652070459292E-2</v>
      </c>
      <c r="D1032" s="29">
        <f>Cours_Hist_figé!D1096/Cours_Hist_figé!D1032 - 1</f>
        <v>-9.3706628049883278E-4</v>
      </c>
      <c r="E1032" s="29">
        <f>Cours_Hist_figé!E1096/Cours_Hist_figé!E1032 - 1</f>
        <v>-9.3706628049872176E-4</v>
      </c>
    </row>
    <row r="1033" spans="1:5" x14ac:dyDescent="0.4">
      <c r="A1033" s="27">
        <v>43584</v>
      </c>
      <c r="B1033" s="29">
        <f>Cours_Hist_figé!B1097/Cours_Hist_figé!B1033 - 1</f>
        <v>0.10613270666190022</v>
      </c>
      <c r="C1033" s="29">
        <f>Cours_Hist_figé!C1097/Cours_Hist_figé!C1033 - 1</f>
        <v>1.9462897695178061E-2</v>
      </c>
      <c r="D1033" s="29">
        <f>Cours_Hist_figé!D1097/Cours_Hist_figé!D1033 - 1</f>
        <v>-9.5764575898671378E-4</v>
      </c>
      <c r="E1033" s="29">
        <f>Cours_Hist_figé!E1097/Cours_Hist_figé!E1033 - 1</f>
        <v>-9.576457589868248E-4</v>
      </c>
    </row>
    <row r="1034" spans="1:5" x14ac:dyDescent="0.4">
      <c r="A1034" s="27">
        <v>43585</v>
      </c>
      <c r="B1034" s="29">
        <f>Cours_Hist_figé!B1098/Cours_Hist_figé!B1034 - 1</f>
        <v>0.11778005487385146</v>
      </c>
      <c r="C1034" s="29">
        <f>Cours_Hist_figé!C1098/Cours_Hist_figé!C1034 - 1</f>
        <v>1.9978133742373672E-2</v>
      </c>
      <c r="D1034" s="29">
        <f>Cours_Hist_figé!D1098/Cours_Hist_figé!D1034 - 1</f>
        <v>-9.3716605979443646E-4</v>
      </c>
      <c r="E1034" s="29">
        <f>Cours_Hist_figé!E1098/Cours_Hist_figé!E1034 - 1</f>
        <v>-9.3716605979443646E-4</v>
      </c>
    </row>
    <row r="1035" spans="1:5" x14ac:dyDescent="0.4">
      <c r="A1035" s="27">
        <v>43586</v>
      </c>
      <c r="B1035" s="29">
        <f>Cours_Hist_figé!B1099/Cours_Hist_figé!B1035 - 1</f>
        <v>0.10769014026632706</v>
      </c>
      <c r="C1035" s="29">
        <f>Cours_Hist_figé!C1099/Cours_Hist_figé!C1035 - 1</f>
        <v>1.945906511839568E-2</v>
      </c>
      <c r="D1035" s="29">
        <f>Cours_Hist_figé!D1099/Cours_Hist_figé!D1035 - 1</f>
        <v>-9.4685417061590726E-4</v>
      </c>
      <c r="E1035" s="29">
        <f>Cours_Hist_figé!E1099/Cours_Hist_figé!E1035 - 1</f>
        <v>-9.4685417061579624E-4</v>
      </c>
    </row>
    <row r="1036" spans="1:5" x14ac:dyDescent="0.4">
      <c r="A1036" s="27">
        <v>43587</v>
      </c>
      <c r="B1036" s="29">
        <f>Cours_Hist_figé!B1100/Cours_Hist_figé!B1036 - 1</f>
        <v>9.8515397947979366E-2</v>
      </c>
      <c r="C1036" s="29">
        <f>Cours_Hist_figé!C1100/Cours_Hist_figé!C1036 - 1</f>
        <v>1.9103316940129789E-2</v>
      </c>
      <c r="D1036" s="29">
        <f>Cours_Hist_figé!D1100/Cours_Hist_figé!D1036 - 1</f>
        <v>-9.3667051428836245E-4</v>
      </c>
      <c r="E1036" s="29">
        <f>Cours_Hist_figé!E1100/Cours_Hist_figé!E1036 - 1</f>
        <v>-9.3667051428836245E-4</v>
      </c>
    </row>
    <row r="1037" spans="1:5" x14ac:dyDescent="0.4">
      <c r="A1037" s="27">
        <v>43588</v>
      </c>
      <c r="B1037" s="29">
        <f>Cours_Hist_figé!B1101/Cours_Hist_figé!B1037 - 1</f>
        <v>0.10145103098802033</v>
      </c>
      <c r="C1037" s="29">
        <f>Cours_Hist_figé!C1101/Cours_Hist_figé!C1037 - 1</f>
        <v>1.7052421051880096E-2</v>
      </c>
      <c r="D1037" s="29">
        <f>Cours_Hist_figé!D1101/Cours_Hist_figé!D1037 - 1</f>
        <v>-9.3657252770396049E-4</v>
      </c>
      <c r="E1037" s="29">
        <f>Cours_Hist_figé!E1101/Cours_Hist_figé!E1037 - 1</f>
        <v>-9.3657252770396049E-4</v>
      </c>
    </row>
    <row r="1038" spans="1:5" x14ac:dyDescent="0.4">
      <c r="A1038" s="27">
        <v>43592</v>
      </c>
      <c r="B1038" s="29">
        <f>Cours_Hist_figé!B1102/Cours_Hist_figé!B1038 - 1</f>
        <v>7.4187368441474222E-2</v>
      </c>
      <c r="C1038" s="29">
        <f>Cours_Hist_figé!C1102/Cours_Hist_figé!C1038 - 1</f>
        <v>2.033101172670948E-2</v>
      </c>
      <c r="D1038" s="29">
        <f>Cours_Hist_figé!D1102/Cours_Hist_figé!D1038 - 1</f>
        <v>-9.663404061460712E-4</v>
      </c>
      <c r="E1038" s="29">
        <f>Cours_Hist_figé!E1102/Cours_Hist_figé!E1038 - 1</f>
        <v>-9.663404061460712E-4</v>
      </c>
    </row>
    <row r="1039" spans="1:5" x14ac:dyDescent="0.4">
      <c r="A1039" s="27">
        <v>43593</v>
      </c>
      <c r="B1039" s="29">
        <f>Cours_Hist_figé!B1103/Cours_Hist_figé!B1039 - 1</f>
        <v>7.5446356081518173E-2</v>
      </c>
      <c r="C1039" s="29">
        <f>Cours_Hist_figé!C1103/Cours_Hist_figé!C1039 - 1</f>
        <v>2.0834956860562359E-2</v>
      </c>
      <c r="D1039" s="29">
        <f>Cours_Hist_figé!D1103/Cours_Hist_figé!D1039 - 1</f>
        <v>-9.4605896057908812E-4</v>
      </c>
      <c r="E1039" s="29">
        <f>Cours_Hist_figé!E1103/Cours_Hist_figé!E1039 - 1</f>
        <v>-9.4605896057919914E-4</v>
      </c>
    </row>
    <row r="1040" spans="1:5" x14ac:dyDescent="0.4">
      <c r="A1040" s="27">
        <v>43594</v>
      </c>
      <c r="B1040" s="29">
        <f>Cours_Hist_figé!B1104/Cours_Hist_figé!B1040 - 1</f>
        <v>4.4361332970861866E-2</v>
      </c>
      <c r="C1040" s="29">
        <f>Cours_Hist_figé!C1104/Cours_Hist_figé!C1040 - 1</f>
        <v>1.9259947680295708E-2</v>
      </c>
      <c r="D1040" s="29">
        <f>Cours_Hist_figé!D1104/Cours_Hist_figé!D1040 - 1</f>
        <v>-9.4616069335673458E-4</v>
      </c>
      <c r="E1040" s="29">
        <f>Cours_Hist_figé!E1104/Cours_Hist_figé!E1040 - 1</f>
        <v>-9.4616069335662356E-4</v>
      </c>
    </row>
    <row r="1041" spans="1:5" x14ac:dyDescent="0.4">
      <c r="A1041" s="27">
        <v>43595</v>
      </c>
      <c r="B1041" s="29">
        <f>Cours_Hist_figé!B1105/Cours_Hist_figé!B1041 - 1</f>
        <v>4.5635498962655952E-2</v>
      </c>
      <c r="C1041" s="29">
        <f>Cours_Hist_figé!C1105/Cours_Hist_figé!C1041 - 1</f>
        <v>1.9108589146054289E-2</v>
      </c>
      <c r="D1041" s="29">
        <f>Cours_Hist_figé!D1105/Cours_Hist_figé!D1041 - 1</f>
        <v>-9.4616256931367992E-4</v>
      </c>
      <c r="E1041" s="29">
        <f>Cours_Hist_figé!E1105/Cours_Hist_figé!E1041 - 1</f>
        <v>-9.4616256931379095E-4</v>
      </c>
    </row>
    <row r="1042" spans="1:5" x14ac:dyDescent="0.4">
      <c r="A1042" s="27">
        <v>43598</v>
      </c>
      <c r="B1042" s="29">
        <f>Cours_Hist_figé!B1106/Cours_Hist_figé!B1042 - 1</f>
        <v>4.8867127775050312E-2</v>
      </c>
      <c r="C1042" s="29">
        <f>Cours_Hist_figé!C1106/Cours_Hist_figé!C1042 - 1</f>
        <v>1.8791094347896165E-2</v>
      </c>
      <c r="D1042" s="29">
        <f>Cours_Hist_figé!D1106/Cours_Hist_figé!D1042 - 1</f>
        <v>-9.6644515927479802E-4</v>
      </c>
      <c r="E1042" s="29">
        <f>Cours_Hist_figé!E1106/Cours_Hist_figé!E1042 - 1</f>
        <v>-9.6644515927502006E-4</v>
      </c>
    </row>
    <row r="1043" spans="1:5" x14ac:dyDescent="0.4">
      <c r="A1043" s="27">
        <v>43599</v>
      </c>
      <c r="B1043" s="29">
        <f>Cours_Hist_figé!B1107/Cours_Hist_figé!B1043 - 1</f>
        <v>6.5551846954652326E-2</v>
      </c>
      <c r="C1043" s="29">
        <f>Cours_Hist_figé!C1107/Cours_Hist_figé!C1043 - 1</f>
        <v>1.887236019664984E-2</v>
      </c>
      <c r="D1043" s="29">
        <f>Cours_Hist_figé!D1107/Cours_Hist_figé!D1043 - 1</f>
        <v>-9.6653942617908051E-4</v>
      </c>
      <c r="E1043" s="29">
        <f>Cours_Hist_figé!E1107/Cours_Hist_figé!E1043 - 1</f>
        <v>-9.6653942617896949E-4</v>
      </c>
    </row>
    <row r="1044" spans="1:5" x14ac:dyDescent="0.4">
      <c r="A1044" s="27">
        <v>43600</v>
      </c>
      <c r="B1044" s="29">
        <f>Cours_Hist_figé!B1108/Cours_Hist_figé!B1044 - 1</f>
        <v>6.195453674332696E-2</v>
      </c>
      <c r="C1044" s="29">
        <f>Cours_Hist_figé!C1108/Cours_Hist_figé!C1044 - 1</f>
        <v>2.0209033491196182E-2</v>
      </c>
      <c r="D1044" s="29">
        <f>Cours_Hist_figé!D1108/Cours_Hist_figé!D1044 - 1</f>
        <v>-9.465636502133945E-4</v>
      </c>
      <c r="E1044" s="29">
        <f>Cours_Hist_figé!E1108/Cours_Hist_figé!E1044 - 1</f>
        <v>-9.465636502133945E-4</v>
      </c>
    </row>
    <row r="1045" spans="1:5" x14ac:dyDescent="0.4">
      <c r="A1045" s="27">
        <v>43601</v>
      </c>
      <c r="B1045" s="29">
        <f>Cours_Hist_figé!B1109/Cours_Hist_figé!B1045 - 1</f>
        <v>7.0974580852436908E-2</v>
      </c>
      <c r="C1045" s="29">
        <f>Cours_Hist_figé!C1109/Cours_Hist_figé!C1045 - 1</f>
        <v>2.1143480084923505E-2</v>
      </c>
      <c r="D1045" s="29">
        <f>Cours_Hist_figé!D1109/Cours_Hist_figé!D1045 - 1</f>
        <v>-9.465579424139392E-4</v>
      </c>
      <c r="E1045" s="29">
        <f>Cours_Hist_figé!E1109/Cours_Hist_figé!E1045 - 1</f>
        <v>-9.465579424139392E-4</v>
      </c>
    </row>
    <row r="1046" spans="1:5" x14ac:dyDescent="0.4">
      <c r="A1046" s="27">
        <v>43602</v>
      </c>
      <c r="B1046" s="29">
        <f>Cours_Hist_figé!B1110/Cours_Hist_figé!B1046 - 1</f>
        <v>6.1141120025679951E-2</v>
      </c>
      <c r="C1046" s="29">
        <f>Cours_Hist_figé!C1110/Cours_Hist_figé!C1046 - 1</f>
        <v>2.0913647795546719E-2</v>
      </c>
      <c r="D1046" s="29">
        <f>Cours_Hist_figé!D1110/Cours_Hist_figé!D1046 - 1</f>
        <v>-9.4665978299501852E-4</v>
      </c>
      <c r="E1046" s="29">
        <f>Cours_Hist_figé!E1110/Cours_Hist_figé!E1046 - 1</f>
        <v>-9.4665978299479647E-4</v>
      </c>
    </row>
    <row r="1047" spans="1:5" x14ac:dyDescent="0.4">
      <c r="A1047" s="27">
        <v>43605</v>
      </c>
      <c r="B1047" s="29">
        <f>Cours_Hist_figé!B1111/Cours_Hist_figé!B1047 - 1</f>
        <v>5.4048889631725716E-2</v>
      </c>
      <c r="C1047" s="29">
        <f>Cours_Hist_figé!C1111/Cours_Hist_figé!C1047 - 1</f>
        <v>1.8731171974103011E-2</v>
      </c>
      <c r="D1047" s="29">
        <f>Cours_Hist_figé!D1111/Cours_Hist_figé!D1047 - 1</f>
        <v>-9.6724353332200419E-4</v>
      </c>
      <c r="E1047" s="29">
        <f>Cours_Hist_figé!E1111/Cours_Hist_figé!E1047 - 1</f>
        <v>-9.6724353332200419E-4</v>
      </c>
    </row>
    <row r="1048" spans="1:5" x14ac:dyDescent="0.4">
      <c r="A1048" s="27">
        <v>43606</v>
      </c>
      <c r="B1048" s="29">
        <f>Cours_Hist_figé!B1112/Cours_Hist_figé!B1048 - 1</f>
        <v>4.5170640759973235E-2</v>
      </c>
      <c r="C1048" s="29">
        <f>Cours_Hist_figé!C1112/Cours_Hist_figé!C1048 - 1</f>
        <v>1.8453163198236311E-2</v>
      </c>
      <c r="D1048" s="29">
        <f>Cours_Hist_figé!D1112/Cours_Hist_figé!D1048 - 1</f>
        <v>-9.6723813294052885E-4</v>
      </c>
      <c r="E1048" s="29">
        <f>Cours_Hist_figé!E1112/Cours_Hist_figé!E1048 - 1</f>
        <v>-9.6723813294063987E-4</v>
      </c>
    </row>
    <row r="1049" spans="1:5" x14ac:dyDescent="0.4">
      <c r="A1049" s="27">
        <v>43607</v>
      </c>
      <c r="B1049" s="29">
        <f>Cours_Hist_figé!B1113/Cours_Hist_figé!B1049 - 1</f>
        <v>4.1923136203529721E-2</v>
      </c>
      <c r="C1049" s="29">
        <f>Cours_Hist_figé!C1113/Cours_Hist_figé!C1049 - 1</f>
        <v>1.8617222685455515E-2</v>
      </c>
      <c r="D1049" s="29">
        <f>Cours_Hist_figé!D1113/Cours_Hist_figé!D1049 - 1</f>
        <v>-9.4685423447926631E-4</v>
      </c>
      <c r="E1049" s="29">
        <f>Cours_Hist_figé!E1113/Cours_Hist_figé!E1049 - 1</f>
        <v>-9.4685423447926631E-4</v>
      </c>
    </row>
    <row r="1050" spans="1:5" x14ac:dyDescent="0.4">
      <c r="A1050" s="27">
        <v>43608</v>
      </c>
      <c r="B1050" s="29">
        <f>Cours_Hist_figé!B1114/Cours_Hist_figé!B1050 - 1</f>
        <v>2.946041730121296E-2</v>
      </c>
      <c r="C1050" s="29">
        <f>Cours_Hist_figé!C1114/Cours_Hist_figé!C1050 - 1</f>
        <v>1.8919034600943352E-2</v>
      </c>
      <c r="D1050" s="29">
        <f>Cours_Hist_figé!D1114/Cours_Hist_figé!D1050 - 1</f>
        <v>-9.4686398258669868E-4</v>
      </c>
      <c r="E1050" s="29">
        <f>Cours_Hist_figé!E1114/Cours_Hist_figé!E1050 - 1</f>
        <v>-9.4686398258692073E-4</v>
      </c>
    </row>
    <row r="1051" spans="1:5" x14ac:dyDescent="0.4">
      <c r="A1051" s="27">
        <v>43609</v>
      </c>
      <c r="B1051" s="29">
        <f>Cours_Hist_figé!B1115/Cours_Hist_figé!B1051 - 1</f>
        <v>2.8322583156925818E-2</v>
      </c>
      <c r="C1051" s="29">
        <f>Cours_Hist_figé!C1115/Cours_Hist_figé!C1051 - 1</f>
        <v>2.0112888037767673E-2</v>
      </c>
      <c r="D1051" s="29">
        <f>Cours_Hist_figé!D1115/Cours_Hist_figé!D1051 - 1</f>
        <v>-9.4685827738416606E-4</v>
      </c>
      <c r="E1051" s="29">
        <f>Cours_Hist_figé!E1115/Cours_Hist_figé!E1051 - 1</f>
        <v>-9.4685827738394401E-4</v>
      </c>
    </row>
    <row r="1052" spans="1:5" x14ac:dyDescent="0.4">
      <c r="A1052" s="27">
        <v>43613</v>
      </c>
      <c r="B1052" s="29">
        <f>Cours_Hist_figé!B1116/Cours_Hist_figé!B1052 - 1</f>
        <v>3.0983031534889793E-2</v>
      </c>
      <c r="C1052" s="29">
        <f>Cours_Hist_figé!C1116/Cours_Hist_figé!C1052 - 1</f>
        <v>2.1971804609722589E-2</v>
      </c>
      <c r="D1052" s="29">
        <f>Cours_Hist_figé!D1116/Cours_Hist_figé!D1052 - 1</f>
        <v>-9.7723197251686766E-4</v>
      </c>
      <c r="E1052" s="29">
        <f>Cours_Hist_figé!E1116/Cours_Hist_figé!E1052 - 1</f>
        <v>-9.7723197251697869E-4</v>
      </c>
    </row>
    <row r="1053" spans="1:5" x14ac:dyDescent="0.4">
      <c r="A1053" s="27">
        <v>43614</v>
      </c>
      <c r="B1053" s="29">
        <f>Cours_Hist_figé!B1117/Cours_Hist_figé!B1053 - 1</f>
        <v>1.4486751278249832E-2</v>
      </c>
      <c r="C1053" s="29">
        <f>Cours_Hist_figé!C1117/Cours_Hist_figé!C1053 - 1</f>
        <v>2.2471233302317151E-2</v>
      </c>
      <c r="D1053" s="29">
        <f>Cours_Hist_figé!D1117/Cours_Hist_figé!D1053 - 1</f>
        <v>-9.7723435792507196E-4</v>
      </c>
      <c r="E1053" s="29">
        <f>Cours_Hist_figé!E1117/Cours_Hist_figé!E1053 - 1</f>
        <v>-9.7723435792529401E-4</v>
      </c>
    </row>
    <row r="1054" spans="1:5" x14ac:dyDescent="0.4">
      <c r="A1054" s="27">
        <v>43615</v>
      </c>
      <c r="B1054" s="29">
        <f>Cours_Hist_figé!B1118/Cours_Hist_figé!B1054 - 1</f>
        <v>1.6354862525767899E-2</v>
      </c>
      <c r="C1054" s="29">
        <f>Cours_Hist_figé!C1118/Cours_Hist_figé!C1054 - 1</f>
        <v>2.1471770600233642E-2</v>
      </c>
      <c r="D1054" s="29">
        <f>Cours_Hist_figé!D1118/Cours_Hist_figé!D1054 - 1</f>
        <v>-9.5684930276973557E-4</v>
      </c>
      <c r="E1054" s="29">
        <f>Cours_Hist_figé!E1118/Cours_Hist_figé!E1054 - 1</f>
        <v>-9.5684930276962454E-4</v>
      </c>
    </row>
    <row r="1055" spans="1:5" x14ac:dyDescent="0.4">
      <c r="A1055" s="27">
        <v>43616</v>
      </c>
      <c r="B1055" s="29">
        <f>Cours_Hist_figé!B1119/Cours_Hist_figé!B1055 - 1</f>
        <v>4.6587137809714907E-3</v>
      </c>
      <c r="C1055" s="29">
        <f>Cours_Hist_figé!C1119/Cours_Hist_figé!C1055 - 1</f>
        <v>2.2890532012534326E-2</v>
      </c>
      <c r="D1055" s="29">
        <f>Cours_Hist_figé!D1119/Cours_Hist_figé!D1055 - 1</f>
        <v>-9.5685147090729394E-4</v>
      </c>
      <c r="E1055" s="29">
        <f>Cours_Hist_figé!E1119/Cours_Hist_figé!E1055 - 1</f>
        <v>-9.5685147090729394E-4</v>
      </c>
    </row>
    <row r="1056" spans="1:5" x14ac:dyDescent="0.4">
      <c r="A1056" s="27">
        <v>43619</v>
      </c>
      <c r="B1056" s="29">
        <f>Cours_Hist_figé!B1120/Cours_Hist_figé!B1056 - 1</f>
        <v>1.1717119205313598E-2</v>
      </c>
      <c r="C1056" s="29">
        <f>Cours_Hist_figé!C1120/Cours_Hist_figé!C1056 - 1</f>
        <v>2.6271431915847687E-2</v>
      </c>
      <c r="D1056" s="29">
        <f>Cours_Hist_figé!D1120/Cours_Hist_figé!D1056 - 1</f>
        <v>-9.7643160768112747E-4</v>
      </c>
      <c r="E1056" s="29">
        <f>Cours_Hist_figé!E1120/Cours_Hist_figé!E1056 - 1</f>
        <v>-9.7643160768112747E-4</v>
      </c>
    </row>
    <row r="1057" spans="1:5" x14ac:dyDescent="0.4">
      <c r="A1057" s="27">
        <v>43620</v>
      </c>
      <c r="B1057" s="29">
        <f>Cours_Hist_figé!B1121/Cours_Hist_figé!B1057 - 1</f>
        <v>1.6615690458262611E-2</v>
      </c>
      <c r="C1057" s="29">
        <f>Cours_Hist_figé!C1121/Cours_Hist_figé!C1057 - 1</f>
        <v>2.8356040396341653E-2</v>
      </c>
      <c r="D1057" s="29">
        <f>Cours_Hist_figé!D1121/Cours_Hist_figé!D1057 - 1</f>
        <v>-9.7623420031522912E-4</v>
      </c>
      <c r="E1057" s="29">
        <f>Cours_Hist_figé!E1121/Cours_Hist_figé!E1057 - 1</f>
        <v>-9.7623420031511809E-4</v>
      </c>
    </row>
    <row r="1058" spans="1:5" x14ac:dyDescent="0.4">
      <c r="A1058" s="27">
        <v>43621</v>
      </c>
      <c r="B1058" s="29">
        <f>Cours_Hist_figé!B1122/Cours_Hist_figé!B1058 - 1</f>
        <v>1.6380717661578226E-2</v>
      </c>
      <c r="C1058" s="29">
        <f>Cours_Hist_figé!C1122/Cours_Hist_figé!C1058 - 1</f>
        <v>3.0413486639218279E-2</v>
      </c>
      <c r="D1058" s="29">
        <f>Cours_Hist_figé!D1122/Cours_Hist_figé!D1058 - 1</f>
        <v>-9.7622869676694535E-4</v>
      </c>
      <c r="E1058" s="29">
        <f>Cours_Hist_figé!E1122/Cours_Hist_figé!E1058 - 1</f>
        <v>-9.7622869676694535E-4</v>
      </c>
    </row>
    <row r="1059" spans="1:5" x14ac:dyDescent="0.4">
      <c r="A1059" s="27">
        <v>43622</v>
      </c>
      <c r="B1059" s="29">
        <f>Cours_Hist_figé!B1123/Cours_Hist_figé!B1059 - 1</f>
        <v>1.3469457073413738E-2</v>
      </c>
      <c r="C1059" s="29">
        <f>Cours_Hist_figé!C1123/Cours_Hist_figé!C1059 - 1</f>
        <v>3.0519657969145353E-2</v>
      </c>
      <c r="D1059" s="29">
        <f>Cours_Hist_figé!D1123/Cours_Hist_figé!D1059 - 1</f>
        <v>-9.5574993301428268E-4</v>
      </c>
      <c r="E1059" s="29">
        <f>Cours_Hist_figé!E1123/Cours_Hist_figé!E1059 - 1</f>
        <v>-9.5574993301428268E-4</v>
      </c>
    </row>
    <row r="1060" spans="1:5" x14ac:dyDescent="0.4">
      <c r="A1060" s="27">
        <v>43623</v>
      </c>
      <c r="B1060" s="29">
        <f>Cours_Hist_figé!B1124/Cours_Hist_figé!B1060 - 1</f>
        <v>2.1297504364489628E-2</v>
      </c>
      <c r="C1060" s="29">
        <f>Cours_Hist_figé!C1124/Cours_Hist_figé!C1060 - 1</f>
        <v>3.3746731789016771E-2</v>
      </c>
      <c r="D1060" s="29">
        <f>Cours_Hist_figé!D1124/Cours_Hist_figé!D1060 - 1</f>
        <v>-9.5565220364068892E-4</v>
      </c>
      <c r="E1060" s="29">
        <f>Cours_Hist_figé!E1124/Cours_Hist_figé!E1060 - 1</f>
        <v>-9.5565220364068892E-4</v>
      </c>
    </row>
    <row r="1061" spans="1:5" x14ac:dyDescent="0.4">
      <c r="A1061" s="27">
        <v>43626</v>
      </c>
      <c r="B1061" s="29">
        <f>Cours_Hist_figé!B1125/Cours_Hist_figé!B1061 - 1</f>
        <v>2.4007953521032022E-2</v>
      </c>
      <c r="C1061" s="29">
        <f>Cours_Hist_figé!C1125/Cours_Hist_figé!C1061 - 1</f>
        <v>2.8458660920590351E-2</v>
      </c>
      <c r="D1061" s="29">
        <f>Cours_Hist_figé!D1125/Cours_Hist_figé!D1061 - 1</f>
        <v>-9.6634309460730261E-4</v>
      </c>
      <c r="E1061" s="29">
        <f>Cours_Hist_figé!E1125/Cours_Hist_figé!E1061 - 1</f>
        <v>-9.6634309460730261E-4</v>
      </c>
    </row>
    <row r="1062" spans="1:5" x14ac:dyDescent="0.4">
      <c r="A1062" s="27">
        <v>43627</v>
      </c>
      <c r="B1062" s="29">
        <f>Cours_Hist_figé!B1126/Cours_Hist_figé!B1062 - 1</f>
        <v>3.3881619769731808E-2</v>
      </c>
      <c r="C1062" s="29">
        <f>Cours_Hist_figé!C1126/Cours_Hist_figé!C1062 - 1</f>
        <v>2.5654447374805933E-2</v>
      </c>
      <c r="D1062" s="29">
        <f>Cours_Hist_figé!D1126/Cours_Hist_figé!D1062 - 1</f>
        <v>-9.6634526416816691E-4</v>
      </c>
      <c r="E1062" s="29">
        <f>Cours_Hist_figé!E1126/Cours_Hist_figé!E1062 - 1</f>
        <v>-9.6634526416816691E-4</v>
      </c>
    </row>
    <row r="1063" spans="1:5" x14ac:dyDescent="0.4">
      <c r="A1063" s="27">
        <v>43628</v>
      </c>
      <c r="B1063" s="29">
        <f>Cours_Hist_figé!B1127/Cours_Hist_figé!B1063 - 1</f>
        <v>4.0061843609407788E-2</v>
      </c>
      <c r="C1063" s="29">
        <f>Cours_Hist_figé!C1127/Cours_Hist_figé!C1063 - 1</f>
        <v>2.5153514386434761E-2</v>
      </c>
      <c r="D1063" s="29">
        <f>Cours_Hist_figé!D1127/Cours_Hist_figé!D1063 - 1</f>
        <v>-9.6653945379387984E-4</v>
      </c>
      <c r="E1063" s="29">
        <f>Cours_Hist_figé!E1127/Cours_Hist_figé!E1063 - 1</f>
        <v>-9.6653945379376882E-4</v>
      </c>
    </row>
    <row r="1064" spans="1:5" x14ac:dyDescent="0.4">
      <c r="A1064" s="27">
        <v>43629</v>
      </c>
      <c r="B1064" s="29">
        <f>Cours_Hist_figé!B1128/Cours_Hist_figé!B1064 - 1</f>
        <v>3.3644049889648198E-2</v>
      </c>
      <c r="C1064" s="29">
        <f>Cours_Hist_figé!C1128/Cours_Hist_figé!C1064 - 1</f>
        <v>2.6022776429948546E-2</v>
      </c>
      <c r="D1064" s="29">
        <f>Cours_Hist_figé!D1128/Cours_Hist_figé!D1064 - 1</f>
        <v>-9.4605892619747944E-4</v>
      </c>
      <c r="E1064" s="29">
        <f>Cours_Hist_figé!E1128/Cours_Hist_figé!E1064 - 1</f>
        <v>-9.460589261972574E-4</v>
      </c>
    </row>
    <row r="1065" spans="1:5" x14ac:dyDescent="0.4">
      <c r="A1065" s="27">
        <v>43630</v>
      </c>
      <c r="B1065" s="29">
        <f>Cours_Hist_figé!B1129/Cours_Hist_figé!B1065 - 1</f>
        <v>3.0222945926786426E-2</v>
      </c>
      <c r="C1065" s="29">
        <f>Cours_Hist_figé!C1129/Cours_Hist_figé!C1065 - 1</f>
        <v>2.830276404184473E-2</v>
      </c>
      <c r="D1065" s="29">
        <f>Cours_Hist_figé!D1129/Cours_Hist_figé!D1065 - 1</f>
        <v>-9.4576128100287704E-4</v>
      </c>
      <c r="E1065" s="29">
        <f>Cours_Hist_figé!E1129/Cours_Hist_figé!E1065 - 1</f>
        <v>-9.4576128100276602E-4</v>
      </c>
    </row>
    <row r="1066" spans="1:5" x14ac:dyDescent="0.4">
      <c r="A1066" s="27">
        <v>43633</v>
      </c>
      <c r="B1066" s="29">
        <f>Cours_Hist_figé!B1130/Cours_Hist_figé!B1066 - 1</f>
        <v>2.2989154862490535E-2</v>
      </c>
      <c r="C1066" s="29">
        <f>Cours_Hist_figé!C1130/Cours_Hist_figé!C1066 - 1</f>
        <v>2.7920615308215879E-2</v>
      </c>
      <c r="D1066" s="29">
        <f>Cours_Hist_figé!D1130/Cours_Hist_figé!D1066 - 1</f>
        <v>-9.662354451439592E-4</v>
      </c>
      <c r="E1066" s="29">
        <f>Cours_Hist_figé!E1130/Cours_Hist_figé!E1066 - 1</f>
        <v>-9.662354451439592E-4</v>
      </c>
    </row>
    <row r="1067" spans="1:5" x14ac:dyDescent="0.4">
      <c r="A1067" s="27">
        <v>43634</v>
      </c>
      <c r="B1067" s="29">
        <f>Cours_Hist_figé!B1131/Cours_Hist_figé!B1067 - 1</f>
        <v>3.238711698169694E-2</v>
      </c>
      <c r="C1067" s="29">
        <f>Cours_Hist_figé!C1131/Cours_Hist_figé!C1067 - 1</f>
        <v>3.5119568930161549E-2</v>
      </c>
      <c r="D1067" s="29">
        <f>Cours_Hist_figé!D1131/Cours_Hist_figé!D1067 - 1</f>
        <v>-9.6624529859923314E-4</v>
      </c>
      <c r="E1067" s="29">
        <f>Cours_Hist_figé!E1131/Cours_Hist_figé!E1067 - 1</f>
        <v>-9.6624529859923314E-4</v>
      </c>
    </row>
    <row r="1068" spans="1:5" x14ac:dyDescent="0.4">
      <c r="A1068" s="27">
        <v>43635</v>
      </c>
      <c r="B1068" s="29">
        <f>Cours_Hist_figé!B1132/Cours_Hist_figé!B1068 - 1</f>
        <v>2.5868954654290732E-2</v>
      </c>
      <c r="C1068" s="29">
        <f>Cours_Hist_figé!C1132/Cours_Hist_figé!C1068 - 1</f>
        <v>3.283480628102331E-2</v>
      </c>
      <c r="D1068" s="29">
        <f>Cours_Hist_figé!D1132/Cours_Hist_figé!D1068 - 1</f>
        <v>-9.6624746734008671E-4</v>
      </c>
      <c r="E1068" s="29">
        <f>Cours_Hist_figé!E1132/Cours_Hist_figé!E1068 - 1</f>
        <v>-9.6624746733997569E-4</v>
      </c>
    </row>
    <row r="1069" spans="1:5" x14ac:dyDescent="0.4">
      <c r="A1069" s="27">
        <v>43636</v>
      </c>
      <c r="B1069" s="29">
        <f>Cours_Hist_figé!B1133/Cours_Hist_figé!B1069 - 1</f>
        <v>2.6512855330970808E-2</v>
      </c>
      <c r="C1069" s="29">
        <f>Cours_Hist_figé!C1133/Cours_Hist_figé!C1069 - 1</f>
        <v>3.3627701365976703E-2</v>
      </c>
      <c r="D1069" s="29">
        <f>Cours_Hist_figé!D1133/Cours_Hist_figé!D1069 - 1</f>
        <v>-9.4626481008108776E-4</v>
      </c>
      <c r="E1069" s="29">
        <f>Cours_Hist_figé!E1133/Cours_Hist_figé!E1069 - 1</f>
        <v>-9.4626481008108776E-4</v>
      </c>
    </row>
    <row r="1070" spans="1:5" x14ac:dyDescent="0.4">
      <c r="A1070" s="27">
        <v>43637</v>
      </c>
      <c r="B1070" s="29">
        <f>Cours_Hist_figé!B1134/Cours_Hist_figé!B1070 - 1</f>
        <v>1.6820407652101022E-2</v>
      </c>
      <c r="C1070" s="29">
        <f>Cours_Hist_figé!C1134/Cours_Hist_figé!C1070 - 1</f>
        <v>3.2041180961676075E-2</v>
      </c>
      <c r="D1070" s="29">
        <f>Cours_Hist_figé!D1134/Cours_Hist_figé!D1070 - 1</f>
        <v>-9.4645890584765802E-4</v>
      </c>
      <c r="E1070" s="29">
        <f>Cours_Hist_figé!E1134/Cours_Hist_figé!E1070 - 1</f>
        <v>-9.4645890584765802E-4</v>
      </c>
    </row>
    <row r="1071" spans="1:5" x14ac:dyDescent="0.4">
      <c r="A1071" s="27">
        <v>43640</v>
      </c>
      <c r="B1071" s="29">
        <f>Cours_Hist_figé!B1135/Cours_Hist_figé!B1071 - 1</f>
        <v>2.3809100105541381E-2</v>
      </c>
      <c r="C1071" s="29">
        <f>Cours_Hist_figé!C1135/Cours_Hist_figé!C1071 - 1</f>
        <v>3.3616715077222858E-2</v>
      </c>
      <c r="D1071" s="29">
        <f>Cours_Hist_figé!D1135/Cours_Hist_figé!D1071 - 1</f>
        <v>-9.6694221487925169E-4</v>
      </c>
      <c r="E1071" s="29">
        <f>Cours_Hist_figé!E1135/Cours_Hist_figé!E1071 - 1</f>
        <v>-9.6694221487925169E-4</v>
      </c>
    </row>
    <row r="1072" spans="1:5" x14ac:dyDescent="0.4">
      <c r="A1072" s="27">
        <v>43641</v>
      </c>
      <c r="B1072" s="29">
        <f>Cours_Hist_figé!B1136/Cours_Hist_figé!B1072 - 1</f>
        <v>2.242417579510092E-2</v>
      </c>
      <c r="C1072" s="29">
        <f>Cours_Hist_figé!C1136/Cours_Hist_figé!C1072 - 1</f>
        <v>3.2228602276418661E-2</v>
      </c>
      <c r="D1072" s="29">
        <f>Cours_Hist_figé!D1136/Cours_Hist_figé!D1072 - 1</f>
        <v>-9.6663707946853528E-4</v>
      </c>
      <c r="E1072" s="29">
        <f>Cours_Hist_figé!E1136/Cours_Hist_figé!E1072 - 1</f>
        <v>-9.6663707946853528E-4</v>
      </c>
    </row>
    <row r="1073" spans="1:5" x14ac:dyDescent="0.4">
      <c r="A1073" s="27">
        <v>43642</v>
      </c>
      <c r="B1073" s="29">
        <f>Cours_Hist_figé!B1137/Cours_Hist_figé!B1073 - 1</f>
        <v>3.1924915148576538E-2</v>
      </c>
      <c r="C1073" s="29">
        <f>Cours_Hist_figé!C1137/Cours_Hist_figé!C1073 - 1</f>
        <v>2.8278872709479819E-2</v>
      </c>
      <c r="D1073" s="29">
        <f>Cours_Hist_figé!D1137/Cours_Hist_figé!D1073 - 1</f>
        <v>-9.6663934893781445E-4</v>
      </c>
      <c r="E1073" s="29">
        <f>Cours_Hist_figé!E1137/Cours_Hist_figé!E1073 - 1</f>
        <v>-9.6663934893814751E-4</v>
      </c>
    </row>
    <row r="1074" spans="1:5" x14ac:dyDescent="0.4">
      <c r="A1074" s="27">
        <v>43643</v>
      </c>
      <c r="B1074" s="29">
        <f>Cours_Hist_figé!B1138/Cours_Hist_figé!B1074 - 1</f>
        <v>3.6924604187058341E-2</v>
      </c>
      <c r="C1074" s="29">
        <f>Cours_Hist_figé!C1138/Cours_Hist_figé!C1074 - 1</f>
        <v>2.9356042813570626E-2</v>
      </c>
      <c r="D1074" s="29">
        <f>Cours_Hist_figé!D1138/Cours_Hist_figé!D1074 - 1</f>
        <v>-9.4626348586868136E-4</v>
      </c>
      <c r="E1074" s="29">
        <f>Cours_Hist_figé!E1138/Cours_Hist_figé!E1074 - 1</f>
        <v>-9.4626348586868136E-4</v>
      </c>
    </row>
    <row r="1075" spans="1:5" x14ac:dyDescent="0.4">
      <c r="A1075" s="27">
        <v>43644</v>
      </c>
      <c r="B1075" s="29">
        <f>Cours_Hist_figé!B1139/Cours_Hist_figé!B1075 - 1</f>
        <v>3.5948852853892488E-2</v>
      </c>
      <c r="C1075" s="29">
        <f>Cours_Hist_figé!C1139/Cours_Hist_figé!C1075 - 1</f>
        <v>3.0052377985592127E-2</v>
      </c>
      <c r="D1075" s="29">
        <f>Cours_Hist_figé!D1139/Cours_Hist_figé!D1075 - 1</f>
        <v>-9.4615785742102609E-4</v>
      </c>
      <c r="E1075" s="29">
        <f>Cours_Hist_figé!E1139/Cours_Hist_figé!E1075 - 1</f>
        <v>-9.4615785742102609E-4</v>
      </c>
    </row>
    <row r="1076" spans="1:5" x14ac:dyDescent="0.4">
      <c r="A1076" s="27">
        <v>43647</v>
      </c>
      <c r="B1076" s="29">
        <f>Cours_Hist_figé!B1140/Cours_Hist_figé!B1076 - 1</f>
        <v>4.327278165732884E-2</v>
      </c>
      <c r="C1076" s="29">
        <f>Cours_Hist_figé!C1140/Cours_Hist_figé!C1076 - 1</f>
        <v>2.978954038114745E-2</v>
      </c>
      <c r="D1076" s="29">
        <f>Cours_Hist_figé!D1140/Cours_Hist_figé!D1076 - 1</f>
        <v>-9.659432191739814E-4</v>
      </c>
      <c r="E1076" s="29">
        <f>Cours_Hist_figé!E1140/Cours_Hist_figé!E1076 - 1</f>
        <v>-9.6594321917387038E-4</v>
      </c>
    </row>
    <row r="1077" spans="1:5" x14ac:dyDescent="0.4">
      <c r="A1077" s="27">
        <v>43648</v>
      </c>
      <c r="B1077" s="29">
        <f>Cours_Hist_figé!B1141/Cours_Hist_figé!B1077 - 1</f>
        <v>4.8552367261937679E-2</v>
      </c>
      <c r="C1077" s="29">
        <f>Cours_Hist_figé!C1141/Cours_Hist_figé!C1077 - 1</f>
        <v>3.2169822925391944E-2</v>
      </c>
      <c r="D1077" s="29">
        <f>Cours_Hist_figé!D1141/Cours_Hist_figé!D1077 - 1</f>
        <v>-9.6583787852100311E-4</v>
      </c>
      <c r="E1077" s="29">
        <f>Cours_Hist_figé!E1141/Cours_Hist_figé!E1077 - 1</f>
        <v>-9.6583787852089209E-4</v>
      </c>
    </row>
    <row r="1078" spans="1:5" x14ac:dyDescent="0.4">
      <c r="A1078" s="27">
        <v>43649</v>
      </c>
      <c r="B1078" s="29">
        <f>Cours_Hist_figé!B1142/Cours_Hist_figé!B1078 - 1</f>
        <v>5.0444231717416743E-2</v>
      </c>
      <c r="C1078" s="29">
        <f>Cours_Hist_figé!C1142/Cours_Hist_figé!C1078 - 1</f>
        <v>3.7380895641337064E-2</v>
      </c>
      <c r="D1078" s="29">
        <f>Cours_Hist_figé!D1142/Cours_Hist_figé!D1078 - 1</f>
        <v>-9.6584004341659924E-4</v>
      </c>
      <c r="E1078" s="29">
        <f>Cours_Hist_figé!E1142/Cours_Hist_figé!E1078 - 1</f>
        <v>-9.6584004341659924E-4</v>
      </c>
    </row>
    <row r="1079" spans="1:5" x14ac:dyDescent="0.4">
      <c r="A1079" s="27">
        <v>43650</v>
      </c>
      <c r="B1079" s="29">
        <f>Cours_Hist_figé!B1143/Cours_Hist_figé!B1079 - 1</f>
        <v>3.9007194856397032E-2</v>
      </c>
      <c r="C1079" s="29">
        <f>Cours_Hist_figé!C1143/Cours_Hist_figé!C1079 - 1</f>
        <v>4.0258912448689843E-2</v>
      </c>
      <c r="D1079" s="29">
        <f>Cours_Hist_figé!D1143/Cours_Hist_figé!D1079 - 1</f>
        <v>-9.4636104256384801E-4</v>
      </c>
      <c r="E1079" s="29">
        <f>Cours_Hist_figé!E1143/Cours_Hist_figé!E1079 - 1</f>
        <v>-9.4636104256384801E-4</v>
      </c>
    </row>
    <row r="1080" spans="1:5" x14ac:dyDescent="0.4">
      <c r="A1080" s="27">
        <v>43651</v>
      </c>
      <c r="B1080" s="29">
        <f>Cours_Hist_figé!B1144/Cours_Hist_figé!B1080 - 1</f>
        <v>2.7932583175723336E-2</v>
      </c>
      <c r="C1080" s="29">
        <f>Cours_Hist_figé!C1144/Cours_Hist_figé!C1080 - 1</f>
        <v>3.5598953517060883E-2</v>
      </c>
      <c r="D1080" s="29">
        <f>Cours_Hist_figé!D1144/Cours_Hist_figé!D1080 - 1</f>
        <v>-9.463630088871744E-4</v>
      </c>
      <c r="E1080" s="29">
        <f>Cours_Hist_figé!E1144/Cours_Hist_figé!E1080 - 1</f>
        <v>-9.4636300888750746E-4</v>
      </c>
    </row>
    <row r="1081" spans="1:5" x14ac:dyDescent="0.4">
      <c r="A1081" s="27">
        <v>43654</v>
      </c>
      <c r="B1081" s="29">
        <f>Cours_Hist_figé!B1145/Cours_Hist_figé!B1081 - 1</f>
        <v>1.7553086523376393E-2</v>
      </c>
      <c r="C1081" s="29">
        <f>Cours_Hist_figé!C1145/Cours_Hist_figé!C1081 - 1</f>
        <v>3.8155275121492416E-2</v>
      </c>
      <c r="D1081" s="29">
        <f>Cours_Hist_figé!D1145/Cours_Hist_figé!D1081 - 1</f>
        <v>-9.6674162239229755E-4</v>
      </c>
      <c r="E1081" s="29">
        <f>Cours_Hist_figé!E1145/Cours_Hist_figé!E1081 - 1</f>
        <v>-9.6674162239240857E-4</v>
      </c>
    </row>
    <row r="1082" spans="1:5" x14ac:dyDescent="0.4">
      <c r="A1082" s="27">
        <v>43655</v>
      </c>
      <c r="B1082" s="29">
        <f>Cours_Hist_figé!B1146/Cours_Hist_figé!B1082 - 1</f>
        <v>1.4681055314641256E-2</v>
      </c>
      <c r="C1082" s="29">
        <f>Cours_Hist_figé!C1146/Cours_Hist_figé!C1082 - 1</f>
        <v>3.559472903804628E-2</v>
      </c>
      <c r="D1082" s="29">
        <f>Cours_Hist_figé!D1146/Cours_Hist_figé!D1082 - 1</f>
        <v>-9.6674379663708176E-4</v>
      </c>
      <c r="E1082" s="29">
        <f>Cours_Hist_figé!E1146/Cours_Hist_figé!E1082 - 1</f>
        <v>-9.6674379663697074E-4</v>
      </c>
    </row>
    <row r="1083" spans="1:5" x14ac:dyDescent="0.4">
      <c r="A1083" s="27">
        <v>43656</v>
      </c>
      <c r="B1083" s="29">
        <f>Cours_Hist_figé!B1147/Cours_Hist_figé!B1083 - 1</f>
        <v>1.1395742825332844E-2</v>
      </c>
      <c r="C1083" s="29">
        <f>Cours_Hist_figé!C1147/Cours_Hist_figé!C1083 - 1</f>
        <v>3.3335094258405862E-2</v>
      </c>
      <c r="D1083" s="29">
        <f>Cours_Hist_figé!D1147/Cours_Hist_figé!D1083 - 1</f>
        <v>-9.6674597092594183E-4</v>
      </c>
      <c r="E1083" s="29">
        <f>Cours_Hist_figé!E1147/Cours_Hist_figé!E1083 - 1</f>
        <v>-9.6674597092605286E-4</v>
      </c>
    </row>
    <row r="1084" spans="1:5" x14ac:dyDescent="0.4">
      <c r="A1084" s="27">
        <v>43657</v>
      </c>
      <c r="B1084" s="29">
        <f>Cours_Hist_figé!B1148/Cours_Hist_figé!B1084 - 1</f>
        <v>1.1325626640386277E-2</v>
      </c>
      <c r="C1084" s="29">
        <f>Cours_Hist_figé!C1148/Cours_Hist_figé!C1084 - 1</f>
        <v>3.0592267424118136E-2</v>
      </c>
      <c r="D1084" s="29">
        <f>Cours_Hist_figé!D1148/Cours_Hist_figé!D1084 - 1</f>
        <v>-9.4625960034344647E-4</v>
      </c>
      <c r="E1084" s="29">
        <f>Cours_Hist_figé!E1148/Cours_Hist_figé!E1084 - 1</f>
        <v>-9.4625960034355749E-4</v>
      </c>
    </row>
    <row r="1085" spans="1:5" x14ac:dyDescent="0.4">
      <c r="A1085" s="27">
        <v>43658</v>
      </c>
      <c r="B1085" s="29">
        <f>Cours_Hist_figé!B1149/Cours_Hist_figé!B1085 - 1</f>
        <v>1.6304228132445697E-2</v>
      </c>
      <c r="C1085" s="29">
        <f>Cours_Hist_figé!C1149/Cours_Hist_figé!C1085 - 1</f>
        <v>2.798587688559695E-2</v>
      </c>
      <c r="D1085" s="29">
        <f>Cours_Hist_figé!D1149/Cours_Hist_figé!D1085 - 1</f>
        <v>-9.461617309926007E-4</v>
      </c>
      <c r="E1085" s="29">
        <f>Cours_Hist_figé!E1149/Cours_Hist_figé!E1085 - 1</f>
        <v>-9.461617309926007E-4</v>
      </c>
    </row>
    <row r="1086" spans="1:5" x14ac:dyDescent="0.4">
      <c r="A1086" s="27">
        <v>43661</v>
      </c>
      <c r="B1086" s="29">
        <f>Cours_Hist_figé!B1150/Cours_Hist_figé!B1086 - 1</f>
        <v>1.5534482750892975E-2</v>
      </c>
      <c r="C1086" s="29">
        <f>Cours_Hist_figé!C1150/Cours_Hist_figé!C1086 - 1</f>
        <v>2.9495367900995717E-2</v>
      </c>
      <c r="D1086" s="29">
        <f>Cours_Hist_figé!D1150/Cours_Hist_figé!D1086 - 1</f>
        <v>-9.6644187127525871E-4</v>
      </c>
      <c r="E1086" s="29">
        <f>Cours_Hist_figé!E1150/Cours_Hist_figé!E1086 - 1</f>
        <v>-9.6644187127514769E-4</v>
      </c>
    </row>
    <row r="1087" spans="1:5" x14ac:dyDescent="0.4">
      <c r="A1087" s="27">
        <v>43662</v>
      </c>
      <c r="B1087" s="29">
        <f>Cours_Hist_figé!B1151/Cours_Hist_figé!B1087 - 1</f>
        <v>1.806972950925001E-2</v>
      </c>
      <c r="C1087" s="29">
        <f>Cours_Hist_figé!C1151/Cours_Hist_figé!C1087 - 1</f>
        <v>3.097535770817017E-2</v>
      </c>
      <c r="D1087" s="29">
        <f>Cours_Hist_figé!D1151/Cours_Hist_figé!D1087 - 1</f>
        <v>-9.664440426176979E-4</v>
      </c>
      <c r="E1087" s="29">
        <f>Cours_Hist_figé!E1151/Cours_Hist_figé!E1087 - 1</f>
        <v>-9.6644404261780892E-4</v>
      </c>
    </row>
    <row r="1088" spans="1:5" x14ac:dyDescent="0.4">
      <c r="A1088" s="27">
        <v>43663</v>
      </c>
      <c r="B1088" s="29">
        <f>Cours_Hist_figé!B1152/Cours_Hist_figé!B1088 - 1</f>
        <v>1.245663574742939E-2</v>
      </c>
      <c r="C1088" s="29">
        <f>Cours_Hist_figé!C1152/Cours_Hist_figé!C1088 - 1</f>
        <v>3.6376099453033328E-2</v>
      </c>
      <c r="D1088" s="29">
        <f>Cours_Hist_figé!D1152/Cours_Hist_figé!D1088 - 1</f>
        <v>-9.6653845929439708E-4</v>
      </c>
      <c r="E1088" s="29">
        <f>Cours_Hist_figé!E1152/Cours_Hist_figé!E1088 - 1</f>
        <v>-9.665384592945081E-4</v>
      </c>
    </row>
    <row r="1089" spans="1:5" x14ac:dyDescent="0.4">
      <c r="A1089" s="27">
        <v>43664</v>
      </c>
      <c r="B1089" s="29">
        <f>Cours_Hist_figé!B1153/Cours_Hist_figé!B1089 - 1</f>
        <v>8.4022666579821603E-3</v>
      </c>
      <c r="C1089" s="29">
        <f>Cours_Hist_figé!C1153/Cours_Hist_figé!C1089 - 1</f>
        <v>3.8261104572257842E-2</v>
      </c>
      <c r="D1089" s="29">
        <f>Cours_Hist_figé!D1153/Cours_Hist_figé!D1089 - 1</f>
        <v>-9.4655760165307523E-4</v>
      </c>
      <c r="E1089" s="29">
        <f>Cours_Hist_figé!E1153/Cours_Hist_figé!E1089 - 1</f>
        <v>-9.4655760165307523E-4</v>
      </c>
    </row>
    <row r="1090" spans="1:5" x14ac:dyDescent="0.4">
      <c r="A1090" s="27">
        <v>43665</v>
      </c>
      <c r="B1090" s="29">
        <f>Cours_Hist_figé!B1154/Cours_Hist_figé!B1090 - 1</f>
        <v>6.5504825336777373E-3</v>
      </c>
      <c r="C1090" s="29">
        <f>Cours_Hist_figé!C1154/Cours_Hist_figé!C1090 - 1</f>
        <v>3.8772863344983755E-2</v>
      </c>
      <c r="D1090" s="29">
        <f>Cours_Hist_figé!D1154/Cours_Hist_figé!D1090 - 1</f>
        <v>-9.4656725040442868E-4</v>
      </c>
      <c r="E1090" s="29">
        <f>Cours_Hist_figé!E1154/Cours_Hist_figé!E1090 - 1</f>
        <v>-9.4656725040442868E-4</v>
      </c>
    </row>
    <row r="1091" spans="1:5" x14ac:dyDescent="0.4">
      <c r="A1091" s="27">
        <v>43668</v>
      </c>
      <c r="B1091" s="29">
        <f>Cours_Hist_figé!B1155/Cours_Hist_figé!B1091 - 1</f>
        <v>6.4499536719118122E-3</v>
      </c>
      <c r="C1091" s="29">
        <f>Cours_Hist_figé!C1155/Cours_Hist_figé!C1091 - 1</f>
        <v>4.0285284973158531E-2</v>
      </c>
      <c r="D1091" s="29">
        <f>Cours_Hist_figé!D1155/Cours_Hist_figé!D1091 - 1</f>
        <v>-9.6704102420575033E-4</v>
      </c>
      <c r="E1091" s="29">
        <f>Cours_Hist_figé!E1155/Cours_Hist_figé!E1091 - 1</f>
        <v>-9.6704102420563931E-4</v>
      </c>
    </row>
    <row r="1092" spans="1:5" x14ac:dyDescent="0.4">
      <c r="A1092" s="27">
        <v>43669</v>
      </c>
      <c r="B1092" s="29">
        <f>Cours_Hist_figé!B1156/Cours_Hist_figé!B1092 - 1</f>
        <v>1.4083358701369342E-2</v>
      </c>
      <c r="C1092" s="29">
        <f>Cours_Hist_figé!C1156/Cours_Hist_figé!C1092 - 1</f>
        <v>3.8021041469039618E-2</v>
      </c>
      <c r="D1092" s="29">
        <f>Cours_Hist_figé!D1156/Cours_Hist_figé!D1092 - 1</f>
        <v>-9.6704320181484338E-4</v>
      </c>
      <c r="E1092" s="29">
        <f>Cours_Hist_figé!E1156/Cours_Hist_figé!E1092 - 1</f>
        <v>-9.6704320181484338E-4</v>
      </c>
    </row>
    <row r="1093" spans="1:5" x14ac:dyDescent="0.4">
      <c r="A1093" s="27">
        <v>43670</v>
      </c>
      <c r="B1093" s="29">
        <f>Cours_Hist_figé!B1157/Cours_Hist_figé!B1093 - 1</f>
        <v>1.157038596230775E-2</v>
      </c>
      <c r="C1093" s="29">
        <f>Cours_Hist_figé!C1157/Cours_Hist_figé!C1093 - 1</f>
        <v>4.2612399068785223E-2</v>
      </c>
      <c r="D1093" s="29">
        <f>Cours_Hist_figé!D1157/Cours_Hist_figé!D1093 - 1</f>
        <v>-9.264768042951399E-4</v>
      </c>
      <c r="E1093" s="29">
        <f>Cours_Hist_figé!E1157/Cours_Hist_figé!E1093 - 1</f>
        <v>-9.2647680429502888E-4</v>
      </c>
    </row>
    <row r="1094" spans="1:5" x14ac:dyDescent="0.4">
      <c r="A1094" s="27">
        <v>43671</v>
      </c>
      <c r="B1094" s="29">
        <f>Cours_Hist_figé!B1158/Cours_Hist_figé!B1094 - 1</f>
        <v>7.2789072303252045E-3</v>
      </c>
      <c r="C1094" s="29">
        <f>Cours_Hist_figé!C1158/Cours_Hist_figé!C1094 - 1</f>
        <v>3.8349191625322687E-2</v>
      </c>
      <c r="D1094" s="29">
        <f>Cours_Hist_figé!D1158/Cours_Hist_figé!D1094 - 1</f>
        <v>-9.2637862361955037E-4</v>
      </c>
      <c r="E1094" s="29">
        <f>Cours_Hist_figé!E1158/Cours_Hist_figé!E1094 - 1</f>
        <v>-9.2637862361943935E-4</v>
      </c>
    </row>
    <row r="1095" spans="1:5" x14ac:dyDescent="0.4">
      <c r="A1095" s="27">
        <v>43672</v>
      </c>
      <c r="B1095" s="29">
        <f>Cours_Hist_figé!B1159/Cours_Hist_figé!B1095 - 1</f>
        <v>1.1869045704266723E-2</v>
      </c>
      <c r="C1095" s="29">
        <f>Cours_Hist_figé!C1159/Cours_Hist_figé!C1095 - 1</f>
        <v>3.9785416078786051E-2</v>
      </c>
      <c r="D1095" s="29">
        <f>Cours_Hist_figé!D1159/Cours_Hist_figé!D1095 - 1</f>
        <v>-9.2617280721807305E-4</v>
      </c>
      <c r="E1095" s="29">
        <f>Cours_Hist_figé!E1159/Cours_Hist_figé!E1095 - 1</f>
        <v>-9.2617280721796202E-4</v>
      </c>
    </row>
    <row r="1096" spans="1:5" x14ac:dyDescent="0.4">
      <c r="A1096" s="27">
        <v>43675</v>
      </c>
      <c r="B1096" s="29">
        <f>Cours_Hist_figé!B1160/Cours_Hist_figé!B1096 - 1</f>
        <v>1.042989209816203E-2</v>
      </c>
      <c r="C1096" s="29">
        <f>Cours_Hist_figé!C1160/Cours_Hist_figé!C1096 - 1</f>
        <v>3.9011823750968455E-2</v>
      </c>
      <c r="D1096" s="29">
        <f>Cours_Hist_figé!D1160/Cours_Hist_figé!D1096 - 1</f>
        <v>-9.4646372449402882E-4</v>
      </c>
      <c r="E1096" s="29">
        <f>Cours_Hist_figé!E1160/Cours_Hist_figé!E1096 - 1</f>
        <v>-9.464637244939178E-4</v>
      </c>
    </row>
    <row r="1097" spans="1:5" x14ac:dyDescent="0.4">
      <c r="A1097" s="27">
        <v>43676</v>
      </c>
      <c r="B1097" s="29">
        <f>Cours_Hist_figé!B1161/Cours_Hist_figé!B1097 - 1</f>
        <v>-5.2817569888466975E-3</v>
      </c>
      <c r="C1097" s="29">
        <f>Cours_Hist_figé!C1161/Cours_Hist_figé!C1097 - 1</f>
        <v>3.9197561092669808E-2</v>
      </c>
      <c r="D1097" s="29">
        <f>Cours_Hist_figé!D1161/Cours_Hist_figé!D1097 - 1</f>
        <v>-9.2588017259964683E-4</v>
      </c>
      <c r="E1097" s="29">
        <f>Cours_Hist_figé!E1161/Cours_Hist_figé!E1097 - 1</f>
        <v>-9.2588017259975786E-4</v>
      </c>
    </row>
    <row r="1098" spans="1:5" x14ac:dyDescent="0.4">
      <c r="A1098" s="27">
        <v>43677</v>
      </c>
      <c r="B1098" s="29">
        <f>Cours_Hist_figé!B1162/Cours_Hist_figé!B1098 - 1</f>
        <v>-4.3493547876211069E-3</v>
      </c>
      <c r="C1098" s="29">
        <f>Cours_Hist_figé!C1162/Cours_Hist_figé!C1098 - 1</f>
        <v>4.2108787342312493E-2</v>
      </c>
      <c r="D1098" s="29">
        <f>Cours_Hist_figé!D1162/Cours_Hist_figé!D1098 - 1</f>
        <v>-9.2578197980830446E-4</v>
      </c>
      <c r="E1098" s="29">
        <f>Cours_Hist_figé!E1162/Cours_Hist_figé!E1098 - 1</f>
        <v>-9.2578197980830446E-4</v>
      </c>
    </row>
    <row r="1099" spans="1:5" x14ac:dyDescent="0.4">
      <c r="A1099" s="27">
        <v>43678</v>
      </c>
      <c r="B1099" s="29">
        <f>Cours_Hist_figé!B1163/Cours_Hist_figé!B1099 - 1</f>
        <v>9.0575869987641333E-4</v>
      </c>
      <c r="C1099" s="29">
        <f>Cours_Hist_figé!C1163/Cours_Hist_figé!C1099 - 1</f>
        <v>4.3243435173866196E-2</v>
      </c>
      <c r="D1099" s="29">
        <f>Cours_Hist_figé!D1163/Cours_Hist_figé!D1099 - 1</f>
        <v>-9.1578975338979518E-4</v>
      </c>
      <c r="E1099" s="29">
        <f>Cours_Hist_figé!E1163/Cours_Hist_figé!E1099 - 1</f>
        <v>-9.1578975338968416E-4</v>
      </c>
    </row>
    <row r="1100" spans="1:5" x14ac:dyDescent="0.4">
      <c r="A1100" s="27">
        <v>43679</v>
      </c>
      <c r="B1100" s="29">
        <f>Cours_Hist_figé!B1164/Cours_Hist_figé!B1100 - 1</f>
        <v>-1.9807196239178149E-2</v>
      </c>
      <c r="C1100" s="29">
        <f>Cours_Hist_figé!C1164/Cours_Hist_figé!C1100 - 1</f>
        <v>4.5003745143017859E-2</v>
      </c>
      <c r="D1100" s="29">
        <f>Cours_Hist_figé!D1164/Cours_Hist_figé!D1100 - 1</f>
        <v>-9.2578502393536599E-4</v>
      </c>
      <c r="E1100" s="29">
        <f>Cours_Hist_figé!E1164/Cours_Hist_figé!E1100 - 1</f>
        <v>-9.2578502393547701E-4</v>
      </c>
    </row>
    <row r="1101" spans="1:5" x14ac:dyDescent="0.4">
      <c r="A1101" s="27">
        <v>43682</v>
      </c>
      <c r="B1101" s="29">
        <f>Cours_Hist_figé!B1165/Cours_Hist_figé!B1101 - 1</f>
        <v>-4.6695349943485787E-2</v>
      </c>
      <c r="C1101" s="29">
        <f>Cours_Hist_figé!C1165/Cours_Hist_figé!C1101 - 1</f>
        <v>4.5781948377132231E-2</v>
      </c>
      <c r="D1101" s="29">
        <f>Cours_Hist_figé!D1165/Cours_Hist_figé!D1101 - 1</f>
        <v>-9.4536223910735018E-4</v>
      </c>
      <c r="E1101" s="29">
        <f>Cours_Hist_figé!E1165/Cours_Hist_figé!E1101 - 1</f>
        <v>-9.4536223910723916E-4</v>
      </c>
    </row>
    <row r="1102" spans="1:5" x14ac:dyDescent="0.4">
      <c r="A1102" s="27">
        <v>43683</v>
      </c>
      <c r="B1102" s="29">
        <f>Cours_Hist_figé!B1166/Cours_Hist_figé!B1102 - 1</f>
        <v>-2.9839970633665391E-2</v>
      </c>
      <c r="C1102" s="29">
        <f>Cours_Hist_figé!C1166/Cours_Hist_figé!C1102 - 1</f>
        <v>4.5813287099454758E-2</v>
      </c>
      <c r="D1102" s="29">
        <f>Cours_Hist_figé!D1166/Cours_Hist_figé!D1102 - 1</f>
        <v>-9.1558931186330739E-4</v>
      </c>
      <c r="E1102" s="29">
        <f>Cours_Hist_figé!E1166/Cours_Hist_figé!E1102 - 1</f>
        <v>-9.1558931186341841E-4</v>
      </c>
    </row>
    <row r="1103" spans="1:5" x14ac:dyDescent="0.4">
      <c r="A1103" s="27">
        <v>43684</v>
      </c>
      <c r="B1103" s="29">
        <f>Cours_Hist_figé!B1167/Cours_Hist_figé!B1103 - 1</f>
        <v>-2.9323744742530522E-2</v>
      </c>
      <c r="C1103" s="29">
        <f>Cours_Hist_figé!C1167/Cours_Hist_figé!C1103 - 1</f>
        <v>5.0938616600882947E-2</v>
      </c>
      <c r="D1103" s="29">
        <f>Cours_Hist_figé!D1167/Cours_Hist_figé!D1103 - 1</f>
        <v>-9.1549091471199162E-4</v>
      </c>
      <c r="E1103" s="29">
        <f>Cours_Hist_figé!E1167/Cours_Hist_figé!E1103 - 1</f>
        <v>-9.1549091471210264E-4</v>
      </c>
    </row>
    <row r="1104" spans="1:5" x14ac:dyDescent="0.4">
      <c r="A1104" s="27">
        <v>43685</v>
      </c>
      <c r="B1104" s="29">
        <f>Cours_Hist_figé!B1168/Cours_Hist_figé!B1104 - 1</f>
        <v>2.9553193231679487E-3</v>
      </c>
      <c r="C1104" s="29">
        <f>Cours_Hist_figé!C1168/Cours_Hist_figé!C1104 - 1</f>
        <v>4.8541830220592441E-2</v>
      </c>
      <c r="D1104" s="29">
        <f>Cours_Hist_figé!D1168/Cours_Hist_figé!D1104 - 1</f>
        <v>-9.1529264032386148E-4</v>
      </c>
      <c r="E1104" s="29">
        <f>Cours_Hist_figé!E1168/Cours_Hist_figé!E1104 - 1</f>
        <v>-9.1529264032397251E-4</v>
      </c>
    </row>
    <row r="1105" spans="1:5" x14ac:dyDescent="0.4">
      <c r="A1105" s="27">
        <v>43686</v>
      </c>
      <c r="B1105" s="29">
        <f>Cours_Hist_figé!B1169/Cours_Hist_figé!B1105 - 1</f>
        <v>-8.0410387242737524E-3</v>
      </c>
      <c r="C1105" s="29">
        <f>Cours_Hist_figé!C1169/Cours_Hist_figé!C1105 - 1</f>
        <v>4.591133443016604E-2</v>
      </c>
      <c r="D1105" s="29">
        <f>Cours_Hist_figé!D1169/Cours_Hist_figé!D1105 - 1</f>
        <v>-9.1498662744693426E-4</v>
      </c>
      <c r="E1105" s="29">
        <f>Cours_Hist_figé!E1169/Cours_Hist_figé!E1105 - 1</f>
        <v>-9.1498662744682324E-4</v>
      </c>
    </row>
    <row r="1106" spans="1:5" x14ac:dyDescent="0.4">
      <c r="A1106" s="27">
        <v>43689</v>
      </c>
      <c r="B1106" s="29">
        <f>Cours_Hist_figé!B1170/Cours_Hist_figé!B1106 - 1</f>
        <v>4.9067781393108412E-4</v>
      </c>
      <c r="C1106" s="29">
        <f>Cours_Hist_figé!C1170/Cours_Hist_figé!C1106 - 1</f>
        <v>4.7336989744997338E-2</v>
      </c>
      <c r="D1106" s="29">
        <f>Cours_Hist_figé!D1170/Cours_Hist_figé!D1106 - 1</f>
        <v>-9.1438390638176603E-4</v>
      </c>
      <c r="E1106" s="29">
        <f>Cours_Hist_figé!E1170/Cours_Hist_figé!E1106 - 1</f>
        <v>-9.1438390638176603E-4</v>
      </c>
    </row>
    <row r="1107" spans="1:5" x14ac:dyDescent="0.4">
      <c r="A1107" s="27">
        <v>43690</v>
      </c>
      <c r="B1107" s="29">
        <f>Cours_Hist_figé!B1171/Cours_Hist_figé!B1107 - 1</f>
        <v>-4.1914660216663124E-3</v>
      </c>
      <c r="C1107" s="29">
        <f>Cours_Hist_figé!C1171/Cours_Hist_figé!C1107 - 1</f>
        <v>4.9623027441980883E-2</v>
      </c>
      <c r="D1107" s="29">
        <f>Cours_Hist_figé!D1171/Cours_Hist_figé!D1107 - 1</f>
        <v>-9.1419330025122036E-4</v>
      </c>
      <c r="E1107" s="29">
        <f>Cours_Hist_figé!E1171/Cours_Hist_figé!E1107 - 1</f>
        <v>-9.1419330025122036E-4</v>
      </c>
    </row>
    <row r="1108" spans="1:5" x14ac:dyDescent="0.4">
      <c r="A1108" s="27">
        <v>43691</v>
      </c>
      <c r="B1108" s="29">
        <f>Cours_Hist_figé!B1172/Cours_Hist_figé!B1108 - 1</f>
        <v>-2.552527230154289E-2</v>
      </c>
      <c r="C1108" s="29">
        <f>Cours_Hist_figé!C1172/Cours_Hist_figé!C1108 - 1</f>
        <v>5.2286093055579963E-2</v>
      </c>
      <c r="D1108" s="29">
        <f>Cours_Hist_figé!D1172/Cours_Hist_figé!D1108 - 1</f>
        <v>-9.1398731790803822E-4</v>
      </c>
      <c r="E1108" s="29">
        <f>Cours_Hist_figé!E1172/Cours_Hist_figé!E1108 - 1</f>
        <v>-9.1398731790814924E-4</v>
      </c>
    </row>
    <row r="1109" spans="1:5" x14ac:dyDescent="0.4">
      <c r="A1109" s="27">
        <v>43692</v>
      </c>
      <c r="B1109" s="29">
        <f>Cours_Hist_figé!B1173/Cours_Hist_figé!B1109 - 1</f>
        <v>-4.0170999994615819E-2</v>
      </c>
      <c r="C1109" s="29">
        <f>Cours_Hist_figé!C1173/Cours_Hist_figé!C1109 - 1</f>
        <v>5.7584538506669114E-2</v>
      </c>
      <c r="D1109" s="29">
        <f>Cours_Hist_figé!D1173/Cours_Hist_figé!D1109 - 1</f>
        <v>-9.1378901408933899E-4</v>
      </c>
      <c r="E1109" s="29">
        <f>Cours_Hist_figé!E1173/Cours_Hist_figé!E1109 - 1</f>
        <v>-9.1378901408933899E-4</v>
      </c>
    </row>
    <row r="1110" spans="1:5" x14ac:dyDescent="0.4">
      <c r="A1110" s="27">
        <v>43693</v>
      </c>
      <c r="B1110" s="29">
        <f>Cours_Hist_figé!B1174/Cours_Hist_figé!B1110 - 1</f>
        <v>-2.4863962604571466E-2</v>
      </c>
      <c r="C1110" s="29">
        <f>Cours_Hist_figé!C1174/Cours_Hist_figé!C1110 - 1</f>
        <v>5.4467989475693646E-2</v>
      </c>
      <c r="D1110" s="29">
        <f>Cours_Hist_figé!D1174/Cours_Hist_figé!D1110 - 1</f>
        <v>-9.13590797556596E-4</v>
      </c>
      <c r="E1110" s="29">
        <f>Cours_Hist_figé!E1174/Cours_Hist_figé!E1110 - 1</f>
        <v>-9.13590797556596E-4</v>
      </c>
    </row>
    <row r="1111" spans="1:5" x14ac:dyDescent="0.4">
      <c r="A1111" s="27">
        <v>43696</v>
      </c>
      <c r="B1111" s="29">
        <f>Cours_Hist_figé!B1175/Cours_Hist_figé!B1111 - 1</f>
        <v>-4.6443581180853899E-3</v>
      </c>
      <c r="C1111" s="29">
        <f>Cours_Hist_figé!C1175/Cours_Hist_figé!C1111 - 1</f>
        <v>5.239004217858878E-2</v>
      </c>
      <c r="D1111" s="29">
        <f>Cours_Hist_figé!D1175/Cours_Hist_figé!D1111 - 1</f>
        <v>-9.1308832709191545E-4</v>
      </c>
      <c r="E1111" s="29">
        <f>Cours_Hist_figé!E1175/Cours_Hist_figé!E1111 - 1</f>
        <v>-9.1308832709202647E-4</v>
      </c>
    </row>
    <row r="1112" spans="1:5" x14ac:dyDescent="0.4">
      <c r="A1112" s="27">
        <v>43697</v>
      </c>
      <c r="B1112" s="29">
        <f>Cours_Hist_figé!B1176/Cours_Hist_figé!B1112 - 1</f>
        <v>-1.7155258067620638E-2</v>
      </c>
      <c r="C1112" s="29">
        <f>Cours_Hist_figé!C1176/Cours_Hist_figé!C1112 - 1</f>
        <v>5.5977864823210988E-2</v>
      </c>
      <c r="D1112" s="29">
        <f>Cours_Hist_figé!D1176/Cours_Hist_figé!D1112 - 1</f>
        <v>-9.128900951966834E-4</v>
      </c>
      <c r="E1112" s="29">
        <f>Cours_Hist_figé!E1176/Cours_Hist_figé!E1112 - 1</f>
        <v>-9.1289009519646136E-4</v>
      </c>
    </row>
    <row r="1113" spans="1:5" x14ac:dyDescent="0.4">
      <c r="A1113" s="27">
        <v>43698</v>
      </c>
      <c r="B1113" s="29">
        <f>Cours_Hist_figé!B1177/Cours_Hist_figé!B1113 - 1</f>
        <v>-3.9519737476030325E-3</v>
      </c>
      <c r="C1113" s="29">
        <f>Cours_Hist_figé!C1177/Cours_Hist_figé!C1113 - 1</f>
        <v>5.4473932712151729E-2</v>
      </c>
      <c r="D1113" s="29">
        <f>Cours_Hist_figé!D1177/Cours_Hist_figé!D1113 - 1</f>
        <v>-9.1269185921882823E-4</v>
      </c>
      <c r="E1113" s="29">
        <f>Cours_Hist_figé!E1177/Cours_Hist_figé!E1113 - 1</f>
        <v>-9.1269185921882823E-4</v>
      </c>
    </row>
    <row r="1114" spans="1:5" x14ac:dyDescent="0.4">
      <c r="A1114" s="27">
        <v>43699</v>
      </c>
      <c r="B1114" s="29">
        <f>Cours_Hist_figé!B1178/Cours_Hist_figé!B1114 - 1</f>
        <v>6.2654756192770389E-3</v>
      </c>
      <c r="C1114" s="29">
        <f>Cours_Hist_figé!C1178/Cours_Hist_figé!C1114 - 1</f>
        <v>5.0885213050518407E-2</v>
      </c>
      <c r="D1114" s="29">
        <f>Cours_Hist_figé!D1178/Cours_Hist_figé!D1114 - 1</f>
        <v>-9.1259360019391167E-4</v>
      </c>
      <c r="E1114" s="29">
        <f>Cours_Hist_figé!E1178/Cours_Hist_figé!E1114 - 1</f>
        <v>-9.1259360019368962E-4</v>
      </c>
    </row>
    <row r="1115" spans="1:5" x14ac:dyDescent="0.4">
      <c r="A1115" s="27">
        <v>43700</v>
      </c>
      <c r="B1115" s="29">
        <f>Cours_Hist_figé!B1179/Cours_Hist_figé!B1115 - 1</f>
        <v>-7.4775895823715466E-3</v>
      </c>
      <c r="C1115" s="29">
        <f>Cours_Hist_figé!C1179/Cours_Hist_figé!C1115 - 1</f>
        <v>5.1212588244481383E-2</v>
      </c>
      <c r="D1115" s="29">
        <f>Cours_Hist_figé!D1179/Cours_Hist_figé!D1115 - 1</f>
        <v>-9.1239526586206487E-4</v>
      </c>
      <c r="E1115" s="29">
        <f>Cours_Hist_figé!E1179/Cours_Hist_figé!E1115 - 1</f>
        <v>-9.1239526586206487E-4</v>
      </c>
    </row>
    <row r="1116" spans="1:5" x14ac:dyDescent="0.4">
      <c r="A1116" s="27">
        <v>43704</v>
      </c>
      <c r="B1116" s="29">
        <f>Cours_Hist_figé!B1180/Cours_Hist_figé!B1116 - 1</f>
        <v>-1.8752821130093578E-3</v>
      </c>
      <c r="C1116" s="29">
        <f>Cours_Hist_figé!C1180/Cours_Hist_figé!C1116 - 1</f>
        <v>5.4950520034630079E-2</v>
      </c>
      <c r="D1116" s="29">
        <f>Cours_Hist_figé!D1180/Cours_Hist_figé!D1116 - 1</f>
        <v>-9.1189405057179318E-4</v>
      </c>
      <c r="E1116" s="29">
        <f>Cours_Hist_figé!E1180/Cours_Hist_figé!E1116 - 1</f>
        <v>-9.1189405057201522E-4</v>
      </c>
    </row>
    <row r="1117" spans="1:5" x14ac:dyDescent="0.4">
      <c r="A1117" s="27">
        <v>43705</v>
      </c>
      <c r="B1117" s="29">
        <f>Cours_Hist_figé!B1181/Cours_Hist_figé!B1117 - 1</f>
        <v>1.075591462030423E-2</v>
      </c>
      <c r="C1117" s="29">
        <f>Cours_Hist_figé!C1181/Cours_Hist_figé!C1117 - 1</f>
        <v>5.6551121115860248E-2</v>
      </c>
      <c r="D1117" s="29">
        <f>Cours_Hist_figé!D1181/Cours_Hist_figé!D1117 - 1</f>
        <v>-9.1168810639430387E-4</v>
      </c>
      <c r="E1117" s="29">
        <f>Cours_Hist_figé!E1181/Cours_Hist_figé!E1117 - 1</f>
        <v>-9.1168810639430387E-4</v>
      </c>
    </row>
    <row r="1118" spans="1:5" x14ac:dyDescent="0.4">
      <c r="A1118" s="27">
        <v>43706</v>
      </c>
      <c r="B1118" s="29">
        <f>Cours_Hist_figé!B1182/Cours_Hist_figé!B1118 - 1</f>
        <v>1.7013288207624822E-2</v>
      </c>
      <c r="C1118" s="29">
        <f>Cours_Hist_figé!C1182/Cours_Hist_figé!C1118 - 1</f>
        <v>5.5842373761323394E-2</v>
      </c>
      <c r="D1118" s="29">
        <f>Cours_Hist_figé!D1182/Cours_Hist_figé!D1118 - 1</f>
        <v>-9.1158982298777946E-4</v>
      </c>
      <c r="E1118" s="29">
        <f>Cours_Hist_figé!E1182/Cours_Hist_figé!E1118 - 1</f>
        <v>-9.1158982298789049E-4</v>
      </c>
    </row>
    <row r="1119" spans="1:5" x14ac:dyDescent="0.4">
      <c r="A1119" s="27">
        <v>43707</v>
      </c>
      <c r="B1119" s="29">
        <f>Cours_Hist_figé!B1183/Cours_Hist_figé!B1119 - 1</f>
        <v>3.2314981970400725E-2</v>
      </c>
      <c r="C1119" s="29">
        <f>Cours_Hist_figé!C1183/Cours_Hist_figé!C1119 - 1</f>
        <v>5.3578817916095867E-2</v>
      </c>
      <c r="D1119" s="29">
        <f>Cours_Hist_figé!D1183/Cours_Hist_figé!D1119 - 1</f>
        <v>-9.1139155536046346E-4</v>
      </c>
      <c r="E1119" s="29">
        <f>Cours_Hist_figé!E1183/Cours_Hist_figé!E1119 - 1</f>
        <v>-9.1139155536046346E-4</v>
      </c>
    </row>
    <row r="1120" spans="1:5" x14ac:dyDescent="0.4">
      <c r="A1120" s="27">
        <v>43710</v>
      </c>
      <c r="B1120" s="29">
        <f>Cours_Hist_figé!B1184/Cours_Hist_figé!B1120 - 1</f>
        <v>3.1443530015202725E-2</v>
      </c>
      <c r="C1120" s="29">
        <f>Cours_Hist_figé!C1184/Cours_Hist_figé!C1120 - 1</f>
        <v>5.1550824138116402E-2</v>
      </c>
      <c r="D1120" s="29">
        <f>Cours_Hist_figé!D1184/Cours_Hist_figé!D1120 - 1</f>
        <v>-9.1139573543652652E-4</v>
      </c>
      <c r="E1120" s="29">
        <f>Cours_Hist_figé!E1184/Cours_Hist_figé!E1120 - 1</f>
        <v>-9.1139573543652652E-4</v>
      </c>
    </row>
    <row r="1121" spans="1:5" x14ac:dyDescent="0.4">
      <c r="A1121" s="27">
        <v>43711</v>
      </c>
      <c r="B1121" s="29">
        <f>Cours_Hist_figé!B1185/Cours_Hist_figé!B1121 - 1</f>
        <v>2.3371652790796116E-2</v>
      </c>
      <c r="C1121" s="29">
        <f>Cours_Hist_figé!C1185/Cours_Hist_figé!C1121 - 1</f>
        <v>5.2361926600192232E-2</v>
      </c>
      <c r="D1121" s="29">
        <f>Cours_Hist_figé!D1185/Cours_Hist_figé!D1121 - 1</f>
        <v>-9.1139724801680977E-4</v>
      </c>
      <c r="E1121" s="29">
        <f>Cours_Hist_figé!E1185/Cours_Hist_figé!E1121 - 1</f>
        <v>-9.1139724801669875E-4</v>
      </c>
    </row>
    <row r="1122" spans="1:5" x14ac:dyDescent="0.4">
      <c r="A1122" s="27">
        <v>43712</v>
      </c>
      <c r="B1122" s="29">
        <f>Cours_Hist_figé!B1186/Cours_Hist_figé!B1122 - 1</f>
        <v>2.902199015781548E-2</v>
      </c>
      <c r="C1122" s="29">
        <f>Cours_Hist_figé!C1186/Cours_Hist_figé!C1122 - 1</f>
        <v>4.8189097894475674E-2</v>
      </c>
      <c r="D1122" s="29">
        <f>Cours_Hist_figé!D1186/Cours_Hist_figé!D1122 - 1</f>
        <v>-9.1139876062795722E-4</v>
      </c>
      <c r="E1122" s="29">
        <f>Cours_Hist_figé!E1186/Cours_Hist_figé!E1122 - 1</f>
        <v>-9.1139876062806824E-4</v>
      </c>
    </row>
    <row r="1123" spans="1:5" x14ac:dyDescent="0.4">
      <c r="A1123" s="27">
        <v>43713</v>
      </c>
      <c r="B1123" s="29">
        <f>Cours_Hist_figé!B1187/Cours_Hist_figé!B1123 - 1</f>
        <v>3.687699336027328E-2</v>
      </c>
      <c r="C1123" s="29">
        <f>Cours_Hist_figé!C1187/Cours_Hist_figé!C1123 - 1</f>
        <v>4.0191021467592236E-2</v>
      </c>
      <c r="D1123" s="29">
        <f>Cours_Hist_figé!D1187/Cours_Hist_figé!D1123 - 1</f>
        <v>-9.11300376173374E-4</v>
      </c>
      <c r="E1123" s="29">
        <f>Cours_Hist_figé!E1187/Cours_Hist_figé!E1123 - 1</f>
        <v>-9.11300376173374E-4</v>
      </c>
    </row>
    <row r="1124" spans="1:5" x14ac:dyDescent="0.4">
      <c r="A1124" s="27">
        <v>43714</v>
      </c>
      <c r="B1124" s="29">
        <f>Cours_Hist_figé!B1188/Cours_Hist_figé!B1124 - 1</f>
        <v>3.045100587716254E-2</v>
      </c>
      <c r="C1124" s="29">
        <f>Cours_Hist_figé!C1188/Cours_Hist_figé!C1124 - 1</f>
        <v>4.0074687434314971E-2</v>
      </c>
      <c r="D1124" s="29">
        <f>Cours_Hist_figé!D1188/Cours_Hist_figé!D1124 - 1</f>
        <v>-9.1108662451389044E-4</v>
      </c>
      <c r="E1124" s="29">
        <f>Cours_Hist_figé!E1188/Cours_Hist_figé!E1124 - 1</f>
        <v>-9.1108662451389044E-4</v>
      </c>
    </row>
    <row r="1125" spans="1:5" x14ac:dyDescent="0.4">
      <c r="A1125" s="27">
        <v>43717</v>
      </c>
      <c r="B1125" s="29">
        <f>Cours_Hist_figé!B1189/Cours_Hist_figé!B1125 - 1</f>
        <v>2.5392731652494227E-2</v>
      </c>
      <c r="C1125" s="29">
        <f>Cours_Hist_figé!C1189/Cours_Hist_figé!C1125 - 1</f>
        <v>3.7742756857223725E-2</v>
      </c>
      <c r="D1125" s="29">
        <f>Cours_Hist_figé!D1189/Cours_Hist_figé!D1125 - 1</f>
        <v>-9.2028188452497606E-4</v>
      </c>
      <c r="E1125" s="29">
        <f>Cours_Hist_figé!E1189/Cours_Hist_figé!E1125 - 1</f>
        <v>-9.2028188452497606E-4</v>
      </c>
    </row>
    <row r="1126" spans="1:5" x14ac:dyDescent="0.4">
      <c r="A1126" s="27">
        <v>43718</v>
      </c>
      <c r="B1126" s="29">
        <f>Cours_Hist_figé!B1190/Cours_Hist_figé!B1126 - 1</f>
        <v>2.031750769987406E-2</v>
      </c>
      <c r="C1126" s="29">
        <f>Cours_Hist_figé!C1190/Cours_Hist_figé!C1126 - 1</f>
        <v>3.4289387654944825E-2</v>
      </c>
      <c r="D1126" s="29">
        <f>Cours_Hist_figé!D1190/Cours_Hist_figé!D1126 - 1</f>
        <v>-9.2018358659784472E-4</v>
      </c>
      <c r="E1126" s="29">
        <f>Cours_Hist_figé!E1190/Cours_Hist_figé!E1126 - 1</f>
        <v>-9.2018358659784472E-4</v>
      </c>
    </row>
    <row r="1127" spans="1:5" x14ac:dyDescent="0.4">
      <c r="A1127" s="27">
        <v>43719</v>
      </c>
      <c r="B1127" s="29">
        <f>Cours_Hist_figé!B1191/Cours_Hist_figé!B1127 - 1</f>
        <v>3.1864927202090554E-2</v>
      </c>
      <c r="C1127" s="29">
        <f>Cours_Hist_figé!C1191/Cours_Hist_figé!C1127 - 1</f>
        <v>3.6019750175874332E-2</v>
      </c>
      <c r="D1127" s="29">
        <f>Cours_Hist_figé!D1191/Cours_Hist_figé!D1127 - 1</f>
        <v>-9.1998538527304774E-4</v>
      </c>
      <c r="E1127" s="29">
        <f>Cours_Hist_figé!E1191/Cours_Hist_figé!E1127 - 1</f>
        <v>-9.1998538527326978E-4</v>
      </c>
    </row>
    <row r="1128" spans="1:5" x14ac:dyDescent="0.4">
      <c r="A1128" s="27">
        <v>43720</v>
      </c>
      <c r="B1128" s="29">
        <f>Cours_Hist_figé!B1192/Cours_Hist_figé!B1128 - 1</f>
        <v>3.2009992484923533E-2</v>
      </c>
      <c r="C1128" s="29">
        <f>Cours_Hist_figé!C1192/Cours_Hist_figé!C1128 - 1</f>
        <v>3.6090066774437712E-2</v>
      </c>
      <c r="D1128" s="29">
        <f>Cours_Hist_figé!D1192/Cours_Hist_figé!D1128 - 1</f>
        <v>-9.199870767219176E-4</v>
      </c>
      <c r="E1128" s="29">
        <f>Cours_Hist_figé!E1192/Cours_Hist_figé!E1128 - 1</f>
        <v>-9.199870767219176E-4</v>
      </c>
    </row>
    <row r="1129" spans="1:5" x14ac:dyDescent="0.4">
      <c r="A1129" s="27">
        <v>43721</v>
      </c>
      <c r="B1129" s="29">
        <f>Cours_Hist_figé!B1193/Cours_Hist_figé!B1129 - 1</f>
        <v>3.9078316679220126E-2</v>
      </c>
      <c r="C1129" s="29">
        <f>Cours_Hist_figé!C1193/Cours_Hist_figé!C1129 - 1</f>
        <v>2.8047564144271231E-2</v>
      </c>
      <c r="D1129" s="29">
        <f>Cours_Hist_figé!D1193/Cours_Hist_figé!D1129 - 1</f>
        <v>-9.2018857504538865E-4</v>
      </c>
      <c r="E1129" s="29">
        <f>Cours_Hist_figé!E1193/Cours_Hist_figé!E1129 - 1</f>
        <v>-9.2018857504538865E-4</v>
      </c>
    </row>
    <row r="1130" spans="1:5" x14ac:dyDescent="0.4">
      <c r="A1130" s="27">
        <v>43724</v>
      </c>
      <c r="B1130" s="29">
        <f>Cours_Hist_figé!B1194/Cours_Hist_figé!B1130 - 1</f>
        <v>3.4117395260696126E-2</v>
      </c>
      <c r="C1130" s="29">
        <f>Cours_Hist_figé!C1194/Cours_Hist_figé!C1130 - 1</f>
        <v>3.1438510766621075E-2</v>
      </c>
      <c r="D1130" s="29">
        <f>Cours_Hist_figé!D1194/Cours_Hist_figé!D1130 - 1</f>
        <v>-9.2018605564214706E-4</v>
      </c>
      <c r="E1130" s="29">
        <f>Cours_Hist_figé!E1194/Cours_Hist_figé!E1130 - 1</f>
        <v>-9.2018605564203604E-4</v>
      </c>
    </row>
    <row r="1131" spans="1:5" x14ac:dyDescent="0.4">
      <c r="A1131" s="27">
        <v>43725</v>
      </c>
      <c r="B1131" s="29">
        <f>Cours_Hist_figé!B1195/Cours_Hist_figé!B1131 - 1</f>
        <v>1.6052553261246105E-2</v>
      </c>
      <c r="C1131" s="29">
        <f>Cours_Hist_figé!C1195/Cours_Hist_figé!C1131 - 1</f>
        <v>2.2505647250022243E-2</v>
      </c>
      <c r="D1131" s="29">
        <f>Cours_Hist_figé!D1195/Cours_Hist_figé!D1131 - 1</f>
        <v>-9.2018006403238317E-4</v>
      </c>
      <c r="E1131" s="29">
        <f>Cours_Hist_figé!E1195/Cours_Hist_figé!E1131 - 1</f>
        <v>-9.2018006403227215E-4</v>
      </c>
    </row>
    <row r="1132" spans="1:5" x14ac:dyDescent="0.4">
      <c r="A1132" s="27">
        <v>43726</v>
      </c>
      <c r="B1132" s="29">
        <f>Cours_Hist_figé!B1196/Cours_Hist_figé!B1132 - 1</f>
        <v>1.5614654724304566E-2</v>
      </c>
      <c r="C1132" s="29">
        <f>Cours_Hist_figé!C1196/Cours_Hist_figé!C1132 - 1</f>
        <v>2.7318303480691863E-2</v>
      </c>
      <c r="D1132" s="29">
        <f>Cours_Hist_figé!D1196/Cours_Hist_figé!D1132 - 1</f>
        <v>-9.2018175757024867E-4</v>
      </c>
      <c r="E1132" s="29">
        <f>Cours_Hist_figé!E1196/Cours_Hist_figé!E1132 - 1</f>
        <v>-9.2018175757035969E-4</v>
      </c>
    </row>
    <row r="1133" spans="1:5" x14ac:dyDescent="0.4">
      <c r="A1133" s="27">
        <v>43727</v>
      </c>
      <c r="B1133" s="29">
        <f>Cours_Hist_figé!B1197/Cours_Hist_figé!B1133 - 1</f>
        <v>1.8327875417760708E-2</v>
      </c>
      <c r="C1133" s="29">
        <f>Cours_Hist_figé!C1197/Cours_Hist_figé!C1133 - 1</f>
        <v>2.4129147250672389E-2</v>
      </c>
      <c r="D1133" s="29">
        <f>Cours_Hist_figé!D1197/Cours_Hist_figé!D1133 - 1</f>
        <v>-9.2237606943235129E-4</v>
      </c>
      <c r="E1133" s="29">
        <f>Cours_Hist_figé!E1197/Cours_Hist_figé!E1133 - 1</f>
        <v>-9.2237606943224026E-4</v>
      </c>
    </row>
    <row r="1134" spans="1:5" x14ac:dyDescent="0.4">
      <c r="A1134" s="27">
        <v>43728</v>
      </c>
      <c r="B1134" s="29">
        <f>Cours_Hist_figé!B1198/Cours_Hist_figé!B1134 - 1</f>
        <v>2.5048898619456139E-2</v>
      </c>
      <c r="C1134" s="29">
        <f>Cours_Hist_figé!C1198/Cours_Hist_figé!C1134 - 1</f>
        <v>2.7247219718151028E-2</v>
      </c>
      <c r="D1134" s="29">
        <f>Cours_Hist_figé!D1198/Cours_Hist_figé!D1134 - 1</f>
        <v>-9.2468571543646849E-4</v>
      </c>
      <c r="E1134" s="29">
        <f>Cours_Hist_figé!E1198/Cours_Hist_figé!E1134 - 1</f>
        <v>-9.2468571543646849E-4</v>
      </c>
    </row>
    <row r="1135" spans="1:5" x14ac:dyDescent="0.4">
      <c r="A1135" s="27">
        <v>43731</v>
      </c>
      <c r="B1135" s="29">
        <f>Cours_Hist_figé!B1199/Cours_Hist_figé!B1135 - 1</f>
        <v>1.9953327842491264E-2</v>
      </c>
      <c r="C1135" s="29">
        <f>Cours_Hist_figé!C1199/Cours_Hist_figé!C1135 - 1</f>
        <v>3.0585997210769378E-2</v>
      </c>
      <c r="D1135" s="29">
        <f>Cours_Hist_figé!D1199/Cours_Hist_figé!D1135 - 1</f>
        <v>-9.3217606754736337E-4</v>
      </c>
      <c r="E1135" s="29">
        <f>Cours_Hist_figé!E1199/Cours_Hist_figé!E1135 - 1</f>
        <v>-9.3217606754736337E-4</v>
      </c>
    </row>
    <row r="1136" spans="1:5" x14ac:dyDescent="0.4">
      <c r="A1136" s="27">
        <v>43732</v>
      </c>
      <c r="B1136" s="29">
        <f>Cours_Hist_figé!B1200/Cours_Hist_figé!B1136 - 1</f>
        <v>2.0632668540579102E-2</v>
      </c>
      <c r="C1136" s="29">
        <f>Cours_Hist_figé!C1200/Cours_Hist_figé!C1136 - 1</f>
        <v>3.0227314880975742E-2</v>
      </c>
      <c r="D1136" s="29">
        <f>Cours_Hist_figé!D1200/Cours_Hist_figé!D1136 - 1</f>
        <v>-9.3487787760571095E-4</v>
      </c>
      <c r="E1136" s="29">
        <f>Cours_Hist_figé!E1200/Cours_Hist_figé!E1136 - 1</f>
        <v>-9.3487787760593299E-4</v>
      </c>
    </row>
    <row r="1137" spans="1:5" x14ac:dyDescent="0.4">
      <c r="A1137" s="27">
        <v>43733</v>
      </c>
      <c r="B1137" s="29">
        <f>Cours_Hist_figé!B1201/Cours_Hist_figé!B1137 - 1</f>
        <v>1.80150670004946E-2</v>
      </c>
      <c r="C1137" s="29">
        <f>Cours_Hist_figé!C1201/Cours_Hist_figé!C1137 - 1</f>
        <v>3.01223402697397E-2</v>
      </c>
      <c r="D1137" s="29">
        <f>Cours_Hist_figé!D1201/Cours_Hist_figé!D1137 - 1</f>
        <v>-9.3717229923839795E-4</v>
      </c>
      <c r="E1137" s="29">
        <f>Cours_Hist_figé!E1201/Cours_Hist_figé!E1137 - 1</f>
        <v>-9.3717229923817591E-4</v>
      </c>
    </row>
    <row r="1138" spans="1:5" x14ac:dyDescent="0.4">
      <c r="A1138" s="27">
        <v>43734</v>
      </c>
      <c r="B1138" s="29">
        <f>Cours_Hist_figé!B1202/Cours_Hist_figé!B1138 - 1</f>
        <v>2.4013013088246327E-2</v>
      </c>
      <c r="C1138" s="29">
        <f>Cours_Hist_figé!C1202/Cours_Hist_figé!C1138 - 1</f>
        <v>2.9745978628740843E-2</v>
      </c>
      <c r="D1138" s="29">
        <f>Cours_Hist_figé!D1202/Cours_Hist_figé!D1138 - 1</f>
        <v>-9.394667681401625E-4</v>
      </c>
      <c r="E1138" s="29">
        <f>Cours_Hist_figé!E1202/Cours_Hist_figé!E1138 - 1</f>
        <v>-9.394667681401625E-4</v>
      </c>
    </row>
    <row r="1139" spans="1:5" x14ac:dyDescent="0.4">
      <c r="A1139" s="27">
        <v>43735</v>
      </c>
      <c r="B1139" s="29">
        <f>Cours_Hist_figé!B1203/Cours_Hist_figé!B1139 - 1</f>
        <v>2.2202766902056359E-2</v>
      </c>
      <c r="C1139" s="29">
        <f>Cours_Hist_figé!C1203/Cours_Hist_figé!C1139 - 1</f>
        <v>2.8349994529008438E-2</v>
      </c>
      <c r="D1139" s="29">
        <f>Cours_Hist_figé!D1203/Cours_Hist_figé!D1139 - 1</f>
        <v>-9.4206881826697231E-4</v>
      </c>
      <c r="E1139" s="29">
        <f>Cours_Hist_figé!E1203/Cours_Hist_figé!E1139 - 1</f>
        <v>-9.4206881826708333E-4</v>
      </c>
    </row>
    <row r="1140" spans="1:5" x14ac:dyDescent="0.4">
      <c r="A1140" s="27">
        <v>43738</v>
      </c>
      <c r="B1140" s="29">
        <f>Cours_Hist_figé!B1204/Cours_Hist_figé!B1140 - 1</f>
        <v>1.8089109041907969E-2</v>
      </c>
      <c r="C1140" s="29">
        <f>Cours_Hist_figé!C1204/Cours_Hist_figé!C1140 - 1</f>
        <v>2.5086102966122459E-2</v>
      </c>
      <c r="D1140" s="29">
        <f>Cours_Hist_figé!D1204/Cours_Hist_figé!D1140 - 1</f>
        <v>-9.49751906433427E-4</v>
      </c>
      <c r="E1140" s="29">
        <f>Cours_Hist_figé!E1204/Cours_Hist_figé!E1140 - 1</f>
        <v>-9.49751906433427E-4</v>
      </c>
    </row>
    <row r="1141" spans="1:5" x14ac:dyDescent="0.4">
      <c r="A1141" s="27">
        <v>43739</v>
      </c>
      <c r="B1141" s="29">
        <f>Cours_Hist_figé!B1205/Cours_Hist_figé!B1141 - 1</f>
        <v>8.520005975869438E-4</v>
      </c>
      <c r="C1141" s="29">
        <f>Cours_Hist_figé!C1205/Cours_Hist_figé!C1141 - 1</f>
        <v>2.3446890375742546E-2</v>
      </c>
      <c r="D1141" s="29">
        <f>Cours_Hist_figé!D1205/Cours_Hist_figé!D1141 - 1</f>
        <v>-9.5206190477281627E-4</v>
      </c>
      <c r="E1141" s="29">
        <f>Cours_Hist_figé!E1205/Cours_Hist_figé!E1141 - 1</f>
        <v>-9.5206190477281627E-4</v>
      </c>
    </row>
    <row r="1142" spans="1:5" x14ac:dyDescent="0.4">
      <c r="A1142" s="27">
        <v>43740</v>
      </c>
      <c r="B1142" s="29">
        <f>Cours_Hist_figé!B1206/Cours_Hist_figé!B1142 - 1</f>
        <v>-3.4136551435594353E-2</v>
      </c>
      <c r="C1142" s="29">
        <f>Cours_Hist_figé!C1206/Cours_Hist_figé!C1142 - 1</f>
        <v>1.6753690101170671E-2</v>
      </c>
      <c r="D1142" s="29">
        <f>Cours_Hist_figé!D1206/Cours_Hist_figé!D1142 - 1</f>
        <v>-9.5475662984234599E-4</v>
      </c>
      <c r="E1142" s="29">
        <f>Cours_Hist_figé!E1206/Cours_Hist_figé!E1142 - 1</f>
        <v>-9.5710574452656516E-4</v>
      </c>
    </row>
    <row r="1143" spans="1:5" x14ac:dyDescent="0.4">
      <c r="A1143" s="27">
        <v>43741</v>
      </c>
      <c r="B1143" s="29">
        <f>Cours_Hist_figé!B1207/Cours_Hist_figé!B1143 - 1</f>
        <v>-3.5017268318719319E-2</v>
      </c>
      <c r="C1143" s="29">
        <f>Cours_Hist_figé!C1207/Cours_Hist_figé!C1143 - 1</f>
        <v>1.8868663084536275E-2</v>
      </c>
      <c r="D1143" s="29">
        <f>Cours_Hist_figé!D1207/Cours_Hist_figé!D1143 - 1</f>
        <v>-9.5745140989289546E-4</v>
      </c>
      <c r="E1143" s="29">
        <f>Cours_Hist_figé!E1207/Cours_Hist_figé!E1143 - 1</f>
        <v>-9.6220963129001191E-4</v>
      </c>
    </row>
    <row r="1144" spans="1:5" x14ac:dyDescent="0.4">
      <c r="A1144" s="27">
        <v>43742</v>
      </c>
      <c r="B1144" s="29">
        <f>Cours_Hist_figé!B1208/Cours_Hist_figé!B1144 - 1</f>
        <v>-2.1208703606097945E-2</v>
      </c>
      <c r="C1144" s="29">
        <f>Cours_Hist_figé!C1208/Cours_Hist_figé!C1144 - 1</f>
        <v>2.2017213856263096E-2</v>
      </c>
      <c r="D1144" s="29">
        <f>Cours_Hist_figé!D1208/Cours_Hist_figé!D1144 - 1</f>
        <v>-9.6034627859964417E-4</v>
      </c>
      <c r="E1144" s="29">
        <f>Cours_Hist_figé!E1208/Cours_Hist_figé!E1144 - 1</f>
        <v>-9.6741353004148323E-4</v>
      </c>
    </row>
    <row r="1145" spans="1:5" x14ac:dyDescent="0.4">
      <c r="A1145" s="27">
        <v>43745</v>
      </c>
      <c r="B1145" s="29">
        <f>Cours_Hist_figé!B1209/Cours_Hist_figé!B1145 - 1</f>
        <v>-1.3549788298269139E-2</v>
      </c>
      <c r="C1145" s="29">
        <f>Cours_Hist_figé!C1209/Cours_Hist_figé!C1145 - 1</f>
        <v>2.0947867405926246E-2</v>
      </c>
      <c r="D1145" s="29">
        <f>Cours_Hist_figé!D1209/Cours_Hist_figé!D1145 - 1</f>
        <v>-9.6873886581394508E-4</v>
      </c>
      <c r="E1145" s="29">
        <f>Cours_Hist_figé!E1209/Cours_Hist_figé!E1145 - 1</f>
        <v>-9.8288368329302322E-4</v>
      </c>
    </row>
    <row r="1146" spans="1:5" x14ac:dyDescent="0.4">
      <c r="A1146" s="27">
        <v>43746</v>
      </c>
      <c r="B1146" s="29">
        <f>Cours_Hist_figé!B1210/Cours_Hist_figé!B1146 - 1</f>
        <v>-1.9777937957531799E-2</v>
      </c>
      <c r="C1146" s="29">
        <f>Cours_Hist_figé!C1210/Cours_Hist_figé!C1146 - 1</f>
        <v>2.3345475465195165E-2</v>
      </c>
      <c r="D1146" s="29">
        <f>Cours_Hist_figé!D1210/Cours_Hist_figé!D1146 - 1</f>
        <v>-9.7153394687243821E-4</v>
      </c>
      <c r="E1146" s="29">
        <f>Cours_Hist_figé!E1210/Cours_Hist_figé!E1146 - 1</f>
        <v>-9.8806802290229978E-4</v>
      </c>
    </row>
    <row r="1147" spans="1:5" x14ac:dyDescent="0.4">
      <c r="A1147" s="27">
        <v>43747</v>
      </c>
      <c r="B1147" s="29">
        <f>Cours_Hist_figé!B1211/Cours_Hist_figé!B1147 - 1</f>
        <v>-1.3643879160649797E-2</v>
      </c>
      <c r="C1147" s="29">
        <f>Cours_Hist_figé!C1211/Cours_Hist_figé!C1147 - 1</f>
        <v>2.2873809673483514E-2</v>
      </c>
      <c r="D1147" s="29">
        <f>Cours_Hist_figé!D1211/Cours_Hist_figé!D1147 - 1</f>
        <v>-9.743290849629771E-4</v>
      </c>
      <c r="E1147" s="29">
        <f>Cours_Hist_figé!E1211/Cours_Hist_figé!E1147 - 1</f>
        <v>-9.9319252052643137E-4</v>
      </c>
    </row>
    <row r="1148" spans="1:5" x14ac:dyDescent="0.4">
      <c r="A1148" s="27">
        <v>43748</v>
      </c>
      <c r="B1148" s="29">
        <f>Cours_Hist_figé!B1212/Cours_Hist_figé!B1148 - 1</f>
        <v>-5.8526379114340887E-3</v>
      </c>
      <c r="C1148" s="29">
        <f>Cours_Hist_figé!C1212/Cours_Hist_figé!C1148 - 1</f>
        <v>2.1085503687742202E-2</v>
      </c>
      <c r="D1148" s="29">
        <f>Cours_Hist_figé!D1212/Cours_Hist_figé!D1148 - 1</f>
        <v>-9.7713196664317437E-4</v>
      </c>
      <c r="E1148" s="29">
        <f>Cours_Hist_figé!E1212/Cours_Hist_figé!E1148 - 1</f>
        <v>-9.9832480910722055E-4</v>
      </c>
    </row>
    <row r="1149" spans="1:5" x14ac:dyDescent="0.4">
      <c r="A1149" s="27">
        <v>43749</v>
      </c>
      <c r="B1149" s="29">
        <f>Cours_Hist_figé!B1213/Cours_Hist_figé!B1149 - 1</f>
        <v>1.625317646975577E-2</v>
      </c>
      <c r="C1149" s="29">
        <f>Cours_Hist_figé!C1213/Cours_Hist_figé!C1149 - 1</f>
        <v>2.1317155866942716E-2</v>
      </c>
      <c r="D1149" s="29">
        <f>Cours_Hist_figé!D1213/Cours_Hist_figé!D1149 - 1</f>
        <v>-9.7992721886042133E-4</v>
      </c>
      <c r="E1149" s="29">
        <f>Cours_Hist_figé!E1213/Cours_Hist_figé!E1149 - 1</f>
        <v>-1.0034495159016998E-3</v>
      </c>
    </row>
    <row r="1150" spans="1:5" x14ac:dyDescent="0.4">
      <c r="A1150" s="27">
        <v>43752</v>
      </c>
      <c r="B1150" s="29">
        <f>Cours_Hist_figé!B1214/Cours_Hist_figé!B1150 - 1</f>
        <v>9.3663936162702299E-3</v>
      </c>
      <c r="C1150" s="29">
        <f>Cours_Hist_figé!C1214/Cours_Hist_figé!C1150 - 1</f>
        <v>1.9006090651021212E-2</v>
      </c>
      <c r="D1150" s="29">
        <f>Cours_Hist_figé!D1214/Cours_Hist_figé!D1150 - 1</f>
        <v>-9.8812085160981944E-4</v>
      </c>
      <c r="E1150" s="29">
        <f>Cours_Hist_figé!E1214/Cours_Hist_figé!E1150 - 1</f>
        <v>-1.0187720065326644E-3</v>
      </c>
    </row>
    <row r="1151" spans="1:5" x14ac:dyDescent="0.4">
      <c r="A1151" s="27">
        <v>43753</v>
      </c>
      <c r="B1151" s="29">
        <f>Cours_Hist_figé!B1215/Cours_Hist_figé!B1151 - 1</f>
        <v>1.6436678941181393E-2</v>
      </c>
      <c r="C1151" s="29">
        <f>Cours_Hist_figé!C1215/Cours_Hist_figé!C1151 - 1</f>
        <v>1.5479999212656859E-2</v>
      </c>
      <c r="D1151" s="29">
        <f>Cours_Hist_figé!D1215/Cours_Hist_figé!D1151 - 1</f>
        <v>-9.9081630167274781E-4</v>
      </c>
      <c r="E1151" s="29">
        <f>Cours_Hist_figé!E1215/Cours_Hist_figé!E1151 - 1</f>
        <v>-1.0238171952997588E-3</v>
      </c>
    </row>
    <row r="1152" spans="1:5" x14ac:dyDescent="0.4">
      <c r="A1152" s="27">
        <v>43754</v>
      </c>
      <c r="B1152" s="29">
        <f>Cours_Hist_figé!B1216/Cours_Hist_figé!B1152 - 1</f>
        <v>1.871926749195385E-2</v>
      </c>
      <c r="C1152" s="29">
        <f>Cours_Hist_figé!C1216/Cours_Hist_figé!C1152 - 1</f>
        <v>1.2649143131700846E-2</v>
      </c>
      <c r="D1152" s="29">
        <f>Cours_Hist_figé!D1216/Cours_Hist_figé!D1152 - 1</f>
        <v>-9.9341956393972364E-4</v>
      </c>
      <c r="E1152" s="29">
        <f>Cours_Hist_figé!E1216/Cours_Hist_figé!E1152 - 1</f>
        <v>-1.0288202075239283E-3</v>
      </c>
    </row>
    <row r="1153" spans="1:5" x14ac:dyDescent="0.4">
      <c r="A1153" s="27">
        <v>43755</v>
      </c>
      <c r="B1153" s="29">
        <f>Cours_Hist_figé!B1217/Cours_Hist_figé!B1153 - 1</f>
        <v>2.014447179490797E-2</v>
      </c>
      <c r="C1153" s="29">
        <f>Cours_Hist_figé!C1217/Cours_Hist_figé!C1153 - 1</f>
        <v>1.1845480609627534E-2</v>
      </c>
      <c r="D1153" s="29">
        <f>Cours_Hist_figé!D1217/Cours_Hist_figé!D1153 - 1</f>
        <v>-9.9601519285019702E-4</v>
      </c>
      <c r="E1153" s="29">
        <f>Cours_Hist_figé!E1217/Cours_Hist_figé!E1153 - 1</f>
        <v>-1.0337356992072833E-3</v>
      </c>
    </row>
    <row r="1154" spans="1:5" x14ac:dyDescent="0.4">
      <c r="A1154" s="27">
        <v>43756</v>
      </c>
      <c r="B1154" s="29">
        <f>Cours_Hist_figé!B1218/Cours_Hist_figé!B1154 - 1</f>
        <v>1.5928660672812622E-2</v>
      </c>
      <c r="C1154" s="29">
        <f>Cours_Hist_figé!C1218/Cours_Hist_figé!C1154 - 1</f>
        <v>1.0570436951377715E-2</v>
      </c>
      <c r="D1154" s="29">
        <f>Cours_Hist_figé!D1218/Cours_Hist_figé!D1154 - 1</f>
        <v>-9.9871080648539223E-4</v>
      </c>
      <c r="E1154" s="29">
        <f>Cours_Hist_figé!E1218/Cours_Hist_figé!E1154 - 1</f>
        <v>-1.0387512194141024E-3</v>
      </c>
    </row>
    <row r="1155" spans="1:5" x14ac:dyDescent="0.4">
      <c r="A1155" s="27">
        <v>43759</v>
      </c>
      <c r="B1155" s="29">
        <f>Cours_Hist_figé!B1219/Cours_Hist_figé!B1155 - 1</f>
        <v>2.0836726092358093E-2</v>
      </c>
      <c r="C1155" s="29">
        <f>Cours_Hist_figé!C1219/Cours_Hist_figé!C1155 - 1</f>
        <v>7.3675622157656218E-3</v>
      </c>
      <c r="D1155" s="29">
        <f>Cours_Hist_figé!D1219/Cours_Hist_figé!D1155 - 1</f>
        <v>-1.0065056550028206E-3</v>
      </c>
      <c r="E1155" s="29">
        <f>Cours_Hist_figé!E1219/Cours_Hist_figé!E1155 - 1</f>
        <v>-1.0536239063415609E-3</v>
      </c>
    </row>
    <row r="1156" spans="1:5" x14ac:dyDescent="0.4">
      <c r="A1156" s="27">
        <v>43760</v>
      </c>
      <c r="B1156" s="29">
        <f>Cours_Hist_figé!B1220/Cours_Hist_figé!B1156 - 1</f>
        <v>1.2015415807319796E-2</v>
      </c>
      <c r="C1156" s="29">
        <f>Cours_Hist_figé!C1220/Cours_Hist_figé!C1156 - 1</f>
        <v>9.005666258077305E-3</v>
      </c>
      <c r="D1156" s="29">
        <f>Cours_Hist_figé!D1220/Cours_Hist_figé!D1156 - 1</f>
        <v>-1.0092014859262033E-3</v>
      </c>
      <c r="E1156" s="29">
        <f>Cours_Hist_figé!E1220/Cours_Hist_figé!E1156 - 1</f>
        <v>-1.0586598198528696E-3</v>
      </c>
    </row>
    <row r="1157" spans="1:5" x14ac:dyDescent="0.4">
      <c r="A1157" s="27">
        <v>43761</v>
      </c>
      <c r="B1157" s="29">
        <f>Cours_Hist_figé!B1221/Cours_Hist_figé!B1157 - 1</f>
        <v>1.2648806598921647E-2</v>
      </c>
      <c r="C1157" s="29">
        <f>Cours_Hist_figé!C1221/Cours_Hist_figé!C1157 - 1</f>
        <v>7.4390792265881522E-3</v>
      </c>
      <c r="D1157" s="29">
        <f>Cours_Hist_figé!D1221/Cours_Hist_figé!D1157 - 1</f>
        <v>-1.0119050591735901E-3</v>
      </c>
      <c r="E1157" s="29">
        <f>Cours_Hist_figé!E1221/Cours_Hist_figé!E1157 - 1</f>
        <v>-1.0636835375968934E-3</v>
      </c>
    </row>
    <row r="1158" spans="1:5" x14ac:dyDescent="0.4">
      <c r="A1158" s="27">
        <v>43762</v>
      </c>
      <c r="B1158" s="29">
        <f>Cours_Hist_figé!B1222/Cours_Hist_figé!B1158 - 1</f>
        <v>2.4680403576826659E-2</v>
      </c>
      <c r="C1158" s="29">
        <f>Cours_Hist_figé!C1222/Cours_Hist_figé!C1158 - 1</f>
        <v>8.9755664717172667E-3</v>
      </c>
      <c r="D1158" s="29">
        <f>Cours_Hist_figé!D1222/Cours_Hist_figé!D1158 - 1</f>
        <v>-1.0145932035153793E-3</v>
      </c>
      <c r="E1158" s="29">
        <f>Cours_Hist_figé!E1222/Cours_Hist_figé!E1158 - 1</f>
        <v>-1.0687696227050791E-3</v>
      </c>
    </row>
    <row r="1159" spans="1:5" x14ac:dyDescent="0.4">
      <c r="A1159" s="27">
        <v>43763</v>
      </c>
      <c r="B1159" s="29">
        <f>Cours_Hist_figé!B1223/Cours_Hist_figé!B1159 - 1</f>
        <v>2.30602899022887E-2</v>
      </c>
      <c r="C1159" s="29">
        <f>Cours_Hist_figé!C1223/Cours_Hist_figé!C1159 - 1</f>
        <v>6.567003279930983E-3</v>
      </c>
      <c r="D1159" s="29">
        <f>Cours_Hist_figé!D1223/Cours_Hist_figé!D1159 - 1</f>
        <v>-1.0174967595877327E-3</v>
      </c>
      <c r="E1159" s="29">
        <f>Cours_Hist_figé!E1223/Cours_Hist_figé!E1159 - 1</f>
        <v>-1.0739934071766211E-3</v>
      </c>
    </row>
    <row r="1160" spans="1:5" x14ac:dyDescent="0.4">
      <c r="A1160" s="27">
        <v>43766</v>
      </c>
      <c r="B1160" s="29">
        <f>Cours_Hist_figé!B1224/Cours_Hist_figé!B1160 - 1</f>
        <v>2.4435510439267061E-2</v>
      </c>
      <c r="C1160" s="29">
        <f>Cours_Hist_figé!C1224/Cours_Hist_figé!C1160 - 1</f>
        <v>2.9228665871365855E-3</v>
      </c>
      <c r="D1160" s="29">
        <f>Cours_Hist_figé!D1224/Cours_Hist_figé!D1160 - 1</f>
        <v>-1.0255849709396303E-3</v>
      </c>
      <c r="E1160" s="29">
        <f>Cours_Hist_figé!E1224/Cours_Hist_figé!E1160 - 1</f>
        <v>-1.0891403583315196E-3</v>
      </c>
    </row>
    <row r="1161" spans="1:5" x14ac:dyDescent="0.4">
      <c r="A1161" s="27">
        <v>43767</v>
      </c>
      <c r="B1161" s="29">
        <f>Cours_Hist_figé!B1225/Cours_Hist_figé!B1161 - 1</f>
        <v>3.7691028374130076E-2</v>
      </c>
      <c r="C1161" s="29">
        <f>Cours_Hist_figé!C1225/Cours_Hist_figé!C1161 - 1</f>
        <v>4.1456991140871313E-3</v>
      </c>
      <c r="D1161" s="29">
        <f>Cours_Hist_figé!D1225/Cours_Hist_figé!D1161 - 1</f>
        <v>-1.0282888756273367E-3</v>
      </c>
      <c r="E1161" s="29">
        <f>Cours_Hist_figé!E1225/Cours_Hist_figé!E1161 - 1</f>
        <v>-1.0941546989983175E-3</v>
      </c>
    </row>
    <row r="1162" spans="1:5" x14ac:dyDescent="0.4">
      <c r="A1162" s="27">
        <v>43768</v>
      </c>
      <c r="B1162" s="29">
        <f>Cours_Hist_figé!B1226/Cours_Hist_figé!B1162 - 1</f>
        <v>3.7105091288369918E-2</v>
      </c>
      <c r="C1162" s="29">
        <f>Cours_Hist_figé!C1226/Cours_Hist_figé!C1162 - 1</f>
        <v>1.2334043645441106E-3</v>
      </c>
      <c r="D1162" s="29">
        <f>Cours_Hist_figé!D1226/Cours_Hist_figé!D1162 - 1</f>
        <v>-1.0309773489654006E-3</v>
      </c>
      <c r="E1162" s="29">
        <f>Cours_Hist_figé!E1226/Cours_Hist_figé!E1162 - 1</f>
        <v>-1.0991914340887643E-3</v>
      </c>
    </row>
    <row r="1163" spans="1:5" x14ac:dyDescent="0.4">
      <c r="A1163" s="27">
        <v>43769</v>
      </c>
      <c r="B1163" s="29">
        <f>Cours_Hist_figé!B1227/Cours_Hist_figé!B1163 - 1</f>
        <v>2.7099196055859975E-2</v>
      </c>
      <c r="C1163" s="29">
        <f>Cours_Hist_figé!C1227/Cours_Hist_figé!C1163 - 1</f>
        <v>3.2950716051598494E-3</v>
      </c>
      <c r="D1163" s="29">
        <f>Cours_Hist_figé!D1227/Cours_Hist_figé!D1163 - 1</f>
        <v>-1.0338811419396965E-3</v>
      </c>
      <c r="E1163" s="29">
        <f>Cours_Hist_figé!E1227/Cours_Hist_figé!E1163 - 1</f>
        <v>-1.1044258323612555E-3</v>
      </c>
    </row>
    <row r="1164" spans="1:5" x14ac:dyDescent="0.4">
      <c r="A1164" s="27">
        <v>43770</v>
      </c>
      <c r="B1164" s="29">
        <f>Cours_Hist_figé!B1228/Cours_Hist_figé!B1164 - 1</f>
        <v>6.0499743708414933E-2</v>
      </c>
      <c r="C1164" s="29">
        <f>Cours_Hist_figé!C1228/Cours_Hist_figé!C1164 - 1</f>
        <v>-6.0552234888933132E-4</v>
      </c>
      <c r="D1164" s="29">
        <f>Cours_Hist_figé!D1228/Cours_Hist_figé!D1164 - 1</f>
        <v>-1.0365696218539444E-3</v>
      </c>
      <c r="E1164" s="29">
        <f>Cours_Hist_figé!E1228/Cours_Hist_figé!E1164 - 1</f>
        <v>-1.1094927508910057E-3</v>
      </c>
    </row>
    <row r="1165" spans="1:5" x14ac:dyDescent="0.4">
      <c r="A1165" s="27">
        <v>43773</v>
      </c>
      <c r="B1165" s="29">
        <f>Cours_Hist_figé!B1229/Cours_Hist_figé!B1165 - 1</f>
        <v>9.6986216575229545E-2</v>
      </c>
      <c r="C1165" s="29">
        <f>Cours_Hist_figé!C1229/Cours_Hist_figé!C1165 - 1</f>
        <v>-2.923512063263134E-3</v>
      </c>
      <c r="D1165" s="29">
        <f>Cours_Hist_figé!D1229/Cours_Hist_figé!D1165 - 1</f>
        <v>-1.0455662735157079E-3</v>
      </c>
      <c r="E1165" s="29">
        <f>Cours_Hist_figé!E1229/Cours_Hist_figé!E1165 - 1</f>
        <v>-1.1255289811030744E-3</v>
      </c>
    </row>
    <row r="1166" spans="1:5" x14ac:dyDescent="0.4">
      <c r="A1166" s="27">
        <v>43774</v>
      </c>
      <c r="B1166" s="29">
        <f>Cours_Hist_figé!B1230/Cours_Hist_figé!B1166 - 1</f>
        <v>0.10435511464649183</v>
      </c>
      <c r="C1166" s="29">
        <f>Cours_Hist_figé!C1230/Cours_Hist_figé!C1166 - 1</f>
        <v>-5.5014906231869443E-3</v>
      </c>
      <c r="D1166" s="29">
        <f>Cours_Hist_figé!D1230/Cours_Hist_figé!D1166 - 1</f>
        <v>-1.0481625109500792E-3</v>
      </c>
      <c r="E1166" s="29">
        <f>Cours_Hist_figé!E1230/Cours_Hist_figé!E1166 - 1</f>
        <v>-1.1305140490093235E-3</v>
      </c>
    </row>
    <row r="1167" spans="1:5" x14ac:dyDescent="0.4">
      <c r="A1167" s="27">
        <v>43775</v>
      </c>
      <c r="B1167" s="29">
        <f>Cours_Hist_figé!B1231/Cours_Hist_figé!B1167 - 1</f>
        <v>0.10412984994098506</v>
      </c>
      <c r="C1167" s="29">
        <f>Cours_Hist_figé!C1231/Cours_Hist_figé!C1167 - 1</f>
        <v>-9.8566238506133663E-3</v>
      </c>
      <c r="D1167" s="29">
        <f>Cours_Hist_figé!D1231/Cours_Hist_figé!D1167 - 1</f>
        <v>-1.0508589632799437E-3</v>
      </c>
      <c r="E1167" s="29">
        <f>Cours_Hist_figé!E1231/Cours_Hist_figé!E1167 - 1</f>
        <v>-1.1355315092479445E-3</v>
      </c>
    </row>
    <row r="1168" spans="1:5" x14ac:dyDescent="0.4">
      <c r="A1168" s="27">
        <v>43776</v>
      </c>
      <c r="B1168" s="29">
        <f>Cours_Hist_figé!B1232/Cours_Hist_figé!B1168 - 1</f>
        <v>8.8484543291236895E-2</v>
      </c>
      <c r="C1168" s="29">
        <f>Cours_Hist_figé!C1232/Cours_Hist_figé!C1168 - 1</f>
        <v>-1.1036570238789123E-2</v>
      </c>
      <c r="D1168" s="29">
        <f>Cours_Hist_figé!D1232/Cours_Hist_figé!D1168 - 1</f>
        <v>-1.0534554101691018E-3</v>
      </c>
      <c r="E1168" s="29">
        <f>Cours_Hist_figé!E1232/Cours_Hist_figé!E1168 - 1</f>
        <v>-1.140506786229234E-3</v>
      </c>
    </row>
    <row r="1169" spans="1:5" x14ac:dyDescent="0.4">
      <c r="A1169" s="27">
        <v>43777</v>
      </c>
      <c r="B1169" s="29">
        <f>Cours_Hist_figé!B1233/Cours_Hist_figé!B1169 - 1</f>
        <v>9.4533486397186062E-2</v>
      </c>
      <c r="C1169" s="29">
        <f>Cours_Hist_figé!C1233/Cours_Hist_figé!C1169 - 1</f>
        <v>-8.541271125222849E-3</v>
      </c>
      <c r="D1169" s="29">
        <f>Cours_Hist_figé!D1233/Cours_Hist_figé!D1169 - 1</f>
        <v>-1.0562594985197293E-3</v>
      </c>
      <c r="E1169" s="29">
        <f>Cours_Hist_figé!E1233/Cours_Hist_figé!E1169 - 1</f>
        <v>-1.1456220720662547E-3</v>
      </c>
    </row>
    <row r="1170" spans="1:5" x14ac:dyDescent="0.4">
      <c r="A1170" s="27">
        <v>43780</v>
      </c>
      <c r="B1170" s="29">
        <f>Cours_Hist_figé!B1234/Cours_Hist_figé!B1170 - 1</f>
        <v>9.7713261734735823E-2</v>
      </c>
      <c r="C1170" s="29">
        <f>Cours_Hist_figé!C1234/Cours_Hist_figé!C1170 - 1</f>
        <v>-1.1839588208952256E-2</v>
      </c>
      <c r="D1170" s="29">
        <f>Cours_Hist_figé!D1234/Cours_Hist_figé!D1170 - 1</f>
        <v>-1.0643492721295056E-3</v>
      </c>
      <c r="E1170" s="29">
        <f>Cours_Hist_figé!E1234/Cours_Hist_figé!E1170 - 1</f>
        <v>-1.1608009579497924E-3</v>
      </c>
    </row>
    <row r="1171" spans="1:5" x14ac:dyDescent="0.4">
      <c r="A1171" s="27">
        <v>43781</v>
      </c>
      <c r="B1171" s="29">
        <f>Cours_Hist_figé!B1235/Cours_Hist_figé!B1171 - 1</f>
        <v>9.5830853856215814E-2</v>
      </c>
      <c r="C1171" s="29">
        <f>Cours_Hist_figé!C1235/Cours_Hist_figé!C1171 - 1</f>
        <v>-1.4102372724768109E-2</v>
      </c>
      <c r="D1171" s="29">
        <f>Cours_Hist_figé!D1235/Cours_Hist_figé!D1171 - 1</f>
        <v>-1.0670383504992609E-3</v>
      </c>
      <c r="E1171" s="29">
        <f>Cours_Hist_figé!E1235/Cours_Hist_figé!E1171 - 1</f>
        <v>-1.1658190202824548E-3</v>
      </c>
    </row>
    <row r="1172" spans="1:5" x14ac:dyDescent="0.4">
      <c r="A1172" s="27">
        <v>43782</v>
      </c>
      <c r="B1172" s="29">
        <f>Cours_Hist_figé!B1236/Cours_Hist_figé!B1172 - 1</f>
        <v>0.1111681773675226</v>
      </c>
      <c r="C1172" s="29">
        <f>Cours_Hist_figé!C1236/Cours_Hist_figé!C1172 - 1</f>
        <v>-1.543940268466315E-2</v>
      </c>
      <c r="D1172" s="29">
        <f>Cours_Hist_figé!D1236/Cours_Hist_figé!D1172 - 1</f>
        <v>-1.0696351139072302E-3</v>
      </c>
      <c r="E1172" s="29">
        <f>Cours_Hist_figé!E1236/Cours_Hist_figé!E1172 - 1</f>
        <v>-1.1707349276883772E-3</v>
      </c>
    </row>
    <row r="1173" spans="1:5" x14ac:dyDescent="0.4">
      <c r="A1173" s="27">
        <v>43783</v>
      </c>
      <c r="B1173" s="29">
        <f>Cours_Hist_figé!B1237/Cours_Hist_figé!B1173 - 1</f>
        <v>0.10965109104167836</v>
      </c>
      <c r="C1173" s="29">
        <f>Cours_Hist_figé!C1237/Cours_Hist_figé!C1173 - 1</f>
        <v>-2.028202734190776E-2</v>
      </c>
      <c r="D1173" s="29">
        <f>Cours_Hist_figé!D1237/Cours_Hist_figé!D1173 - 1</f>
        <v>-1.0720395095249469E-3</v>
      </c>
      <c r="E1173" s="29">
        <f>Cours_Hist_figé!E1237/Cours_Hist_figé!E1173 - 1</f>
        <v>-1.1754810197172061E-3</v>
      </c>
    </row>
    <row r="1174" spans="1:5" x14ac:dyDescent="0.4">
      <c r="A1174" s="27">
        <v>43784</v>
      </c>
      <c r="B1174" s="29">
        <f>Cours_Hist_figé!B1238/Cours_Hist_figé!B1174 - 1</f>
        <v>0.10017015862698697</v>
      </c>
      <c r="C1174" s="29">
        <f>Cours_Hist_figé!C1238/Cours_Hist_figé!C1174 - 1</f>
        <v>-1.7805415849323825E-2</v>
      </c>
      <c r="D1174" s="29">
        <f>Cours_Hist_figé!D1238/Cours_Hist_figé!D1174 - 1</f>
        <v>-1.0744363638635068E-3</v>
      </c>
      <c r="E1174" s="29">
        <f>Cours_Hist_figé!E1238/Cours_Hist_figé!E1174 - 1</f>
        <v>-1.1802572007812984E-3</v>
      </c>
    </row>
    <row r="1175" spans="1:5" x14ac:dyDescent="0.4">
      <c r="A1175" s="27">
        <v>43787</v>
      </c>
      <c r="B1175" s="29">
        <f>Cours_Hist_figé!B1239/Cours_Hist_figé!B1175 - 1</f>
        <v>8.7515200426524942E-2</v>
      </c>
      <c r="C1175" s="29">
        <f>Cours_Hist_figé!C1239/Cours_Hist_figé!C1175 - 1</f>
        <v>-1.4361220119319396E-2</v>
      </c>
      <c r="D1175" s="29">
        <f>Cours_Hist_figé!D1239/Cours_Hist_figé!D1175 - 1</f>
        <v>-1.0821275371382111E-3</v>
      </c>
      <c r="E1175" s="29">
        <f>Cours_Hist_figé!E1239/Cours_Hist_figé!E1175 - 1</f>
        <v>-1.1950284245323406E-3</v>
      </c>
    </row>
    <row r="1176" spans="1:5" x14ac:dyDescent="0.4">
      <c r="A1176" s="27">
        <v>43788</v>
      </c>
      <c r="B1176" s="29">
        <f>Cours_Hist_figé!B1240/Cours_Hist_figé!B1176 - 1</f>
        <v>9.385072206124323E-2</v>
      </c>
      <c r="C1176" s="29">
        <f>Cours_Hist_figé!C1240/Cours_Hist_figé!C1176 - 1</f>
        <v>-1.7455979227063878E-2</v>
      </c>
      <c r="D1176" s="29">
        <f>Cours_Hist_figé!D1240/Cours_Hist_figé!D1176 - 1</f>
        <v>-1.0847247168026541E-3</v>
      </c>
      <c r="E1176" s="29">
        <f>Cours_Hist_figé!E1240/Cours_Hist_figé!E1176 - 1</f>
        <v>-1.1999449319468614E-3</v>
      </c>
    </row>
    <row r="1177" spans="1:5" x14ac:dyDescent="0.4">
      <c r="A1177" s="27">
        <v>43789</v>
      </c>
      <c r="B1177" s="29">
        <f>Cours_Hist_figé!B1241/Cours_Hist_figé!B1177 - 1</f>
        <v>7.6073040073939335E-2</v>
      </c>
      <c r="C1177" s="29">
        <f>Cours_Hist_figé!C1241/Cours_Hist_figé!C1177 - 1</f>
        <v>-1.6065898125897538E-2</v>
      </c>
      <c r="D1177" s="29">
        <f>Cours_Hist_figé!D1241/Cours_Hist_figé!D1177 - 1</f>
        <v>-1.0873219489235808E-3</v>
      </c>
      <c r="E1177" s="29">
        <f>Cours_Hist_figé!E1241/Cours_Hist_figé!E1177 - 1</f>
        <v>-1.2049015207742375E-3</v>
      </c>
    </row>
    <row r="1178" spans="1:5" x14ac:dyDescent="0.4">
      <c r="A1178" s="27">
        <v>43790</v>
      </c>
      <c r="B1178" s="29">
        <f>Cours_Hist_figé!B1242/Cours_Hist_figé!B1178 - 1</f>
        <v>7.622552025093654E-2</v>
      </c>
      <c r="C1178" s="29">
        <f>Cours_Hist_figé!C1242/Cours_Hist_figé!C1178 - 1</f>
        <v>-1.4674731945930497E-2</v>
      </c>
      <c r="D1178" s="29">
        <f>Cours_Hist_figé!D1242/Cours_Hist_figé!D1178 - 1</f>
        <v>-1.0889186975832077E-3</v>
      </c>
      <c r="E1178" s="29">
        <f>Cours_Hist_figé!E1242/Cours_Hist_figé!E1178 - 1</f>
        <v>-1.2088809576182857E-3</v>
      </c>
    </row>
    <row r="1179" spans="1:5" x14ac:dyDescent="0.4">
      <c r="A1179" s="27">
        <v>43791</v>
      </c>
      <c r="B1179" s="29">
        <f>Cours_Hist_figé!B1243/Cours_Hist_figé!B1179 - 1</f>
        <v>9.0000372261294315E-2</v>
      </c>
      <c r="C1179" s="29">
        <f>Cours_Hist_figé!C1243/Cours_Hist_figé!C1179 - 1</f>
        <v>-1.4566616009603295E-2</v>
      </c>
      <c r="D1179" s="29">
        <f>Cours_Hist_figé!D1243/Cours_Hist_figé!D1179 - 1</f>
        <v>-1.0916159819119864E-3</v>
      </c>
      <c r="E1179" s="29">
        <f>Cours_Hist_figé!E1243/Cours_Hist_figé!E1179 - 1</f>
        <v>-1.2139376822117853E-3</v>
      </c>
    </row>
    <row r="1180" spans="1:5" x14ac:dyDescent="0.4">
      <c r="A1180" s="27">
        <v>43794</v>
      </c>
      <c r="B1180" s="29">
        <f>Cours_Hist_figé!B1244/Cours_Hist_figé!B1180 - 1</f>
        <v>9.4458277775417709E-2</v>
      </c>
      <c r="C1180" s="29">
        <f>Cours_Hist_figé!C1244/Cours_Hist_figé!C1180 - 1</f>
        <v>-1.8669422311819783E-2</v>
      </c>
      <c r="D1180" s="29">
        <f>Cours_Hist_figé!D1244/Cours_Hist_figé!D1180 - 1</f>
        <v>-1.0890195441723982E-3</v>
      </c>
      <c r="E1180" s="29">
        <f>Cours_Hist_figé!E1244/Cours_Hist_figé!E1180 - 1</f>
        <v>-1.2184017211475107E-3</v>
      </c>
    </row>
    <row r="1181" spans="1:5" x14ac:dyDescent="0.4">
      <c r="A1181" s="27">
        <v>43795</v>
      </c>
      <c r="B1181" s="29">
        <f>Cours_Hist_figé!B1245/Cours_Hist_figé!B1181 - 1</f>
        <v>9.6466555391239606E-2</v>
      </c>
      <c r="C1181" s="29">
        <f>Cours_Hist_figé!C1245/Cours_Hist_figé!C1181 - 1</f>
        <v>-2.0733920857397781E-2</v>
      </c>
      <c r="D1181" s="29">
        <f>Cours_Hist_figé!D1245/Cours_Hist_figé!D1181 - 1</f>
        <v>-1.0913167886722475E-3</v>
      </c>
      <c r="E1181" s="29">
        <f>Cours_Hist_figé!E1245/Cours_Hist_figé!E1181 - 1</f>
        <v>-1.2230989437915785E-3</v>
      </c>
    </row>
    <row r="1182" spans="1:5" x14ac:dyDescent="0.4">
      <c r="A1182" s="27">
        <v>43796</v>
      </c>
      <c r="B1182" s="29">
        <f>Cours_Hist_figé!B1246/Cours_Hist_figé!B1182 - 1</f>
        <v>8.8394756615337355E-2</v>
      </c>
      <c r="C1182" s="29">
        <f>Cours_Hist_figé!C1246/Cours_Hist_figé!C1182 - 1</f>
        <v>-2.0210907926453969E-2</v>
      </c>
      <c r="D1182" s="29">
        <f>Cours_Hist_figé!D1246/Cours_Hist_figé!D1182 - 1</f>
        <v>-1.0935141166233953E-3</v>
      </c>
      <c r="E1182" s="29">
        <f>Cours_Hist_figé!E1246/Cours_Hist_figé!E1182 - 1</f>
        <v>-1.2276963117928696E-3</v>
      </c>
    </row>
    <row r="1183" spans="1:5" x14ac:dyDescent="0.4">
      <c r="A1183" s="27">
        <v>43797</v>
      </c>
      <c r="B1183" s="29">
        <f>Cours_Hist_figé!B1247/Cours_Hist_figé!B1183 - 1</f>
        <v>7.9754650871102672E-2</v>
      </c>
      <c r="C1183" s="29">
        <f>Cours_Hist_figé!C1247/Cours_Hist_figé!C1183 - 1</f>
        <v>-2.0247515767336299E-2</v>
      </c>
      <c r="D1183" s="29">
        <f>Cours_Hist_figé!D1247/Cours_Hist_figé!D1183 - 1</f>
        <v>-1.0958114531500751E-3</v>
      </c>
      <c r="E1183" s="29">
        <f>Cours_Hist_figé!E1247/Cours_Hist_figé!E1183 - 1</f>
        <v>-1.2324037200965865E-3</v>
      </c>
    </row>
    <row r="1184" spans="1:5" x14ac:dyDescent="0.4">
      <c r="A1184" s="27">
        <v>43798</v>
      </c>
      <c r="B1184" s="29">
        <f>Cours_Hist_figé!B1248/Cours_Hist_figé!B1184 - 1</f>
        <v>7.1005718340803048E-2</v>
      </c>
      <c r="C1184" s="29">
        <f>Cours_Hist_figé!C1248/Cours_Hist_figé!C1184 - 1</f>
        <v>-1.978541987623772E-2</v>
      </c>
      <c r="D1184" s="29">
        <f>Cours_Hist_figé!D1248/Cours_Hist_figé!D1184 - 1</f>
        <v>-1.0783231587201403E-3</v>
      </c>
      <c r="E1184" s="29">
        <f>Cours_Hist_figé!E1248/Cours_Hist_figé!E1184 - 1</f>
        <v>-1.2172583222644917E-3</v>
      </c>
    </row>
    <row r="1185" spans="1:5" x14ac:dyDescent="0.4">
      <c r="A1185" s="27">
        <v>43801</v>
      </c>
      <c r="B1185" s="29">
        <f>Cours_Hist_figé!B1249/Cours_Hist_figé!B1185 - 1</f>
        <v>5.6687290975155014E-2</v>
      </c>
      <c r="C1185" s="29">
        <f>Cours_Hist_figé!C1249/Cours_Hist_figé!C1185 - 1</f>
        <v>-2.7012463170992262E-2</v>
      </c>
      <c r="D1185" s="29">
        <f>Cours_Hist_figé!D1249/Cours_Hist_figé!D1185 - 1</f>
        <v>-1.10540113911195E-3</v>
      </c>
      <c r="E1185" s="29">
        <f>Cours_Hist_figé!E1249/Cours_Hist_figé!E1185 - 1</f>
        <v>-1.251456478129187E-3</v>
      </c>
    </row>
    <row r="1186" spans="1:5" x14ac:dyDescent="0.4">
      <c r="A1186" s="27">
        <v>43802</v>
      </c>
      <c r="B1186" s="29">
        <f>Cours_Hist_figé!B1250/Cours_Hist_figé!B1186 - 1</f>
        <v>4.0047983184527958E-2</v>
      </c>
      <c r="C1186" s="29">
        <f>Cours_Hist_figé!C1250/Cours_Hist_figé!C1186 - 1</f>
        <v>-2.013505985398234E-2</v>
      </c>
      <c r="D1186" s="29">
        <f>Cours_Hist_figé!D1250/Cours_Hist_figé!D1186 - 1</f>
        <v>-1.1079912477266474E-3</v>
      </c>
      <c r="E1186" s="29">
        <f>Cours_Hist_figé!E1250/Cours_Hist_figé!E1186 - 1</f>
        <v>-1.256374297961993E-3</v>
      </c>
    </row>
    <row r="1187" spans="1:5" x14ac:dyDescent="0.4">
      <c r="A1187" s="27">
        <v>43803</v>
      </c>
      <c r="B1187" s="29">
        <f>Cours_Hist_figé!B1251/Cours_Hist_figé!B1187 - 1</f>
        <v>4.4100464968405806E-2</v>
      </c>
      <c r="C1187" s="29">
        <f>Cours_Hist_figé!C1251/Cours_Hist_figé!C1187 - 1</f>
        <v>-1.5262695973016327E-2</v>
      </c>
      <c r="D1187" s="29">
        <f>Cours_Hist_figé!D1251/Cours_Hist_figé!D1187 - 1</f>
        <v>-1.1104890276534274E-3</v>
      </c>
      <c r="E1187" s="29">
        <f>Cours_Hist_figé!E1251/Cours_Hist_figé!E1187 - 1</f>
        <v>-1.2612422319513428E-3</v>
      </c>
    </row>
    <row r="1188" spans="1:5" x14ac:dyDescent="0.4">
      <c r="A1188" s="27">
        <v>43804</v>
      </c>
      <c r="B1188" s="29">
        <f>Cours_Hist_figé!B1252/Cours_Hist_figé!B1188 - 1</f>
        <v>3.9548863309175175E-2</v>
      </c>
      <c r="C1188" s="29">
        <f>Cours_Hist_figé!C1252/Cours_Hist_figé!C1188 - 1</f>
        <v>-2.0896794969191834E-2</v>
      </c>
      <c r="D1188" s="29">
        <f>Cours_Hist_figé!D1252/Cours_Hist_figé!D1188 - 1</f>
        <v>-1.1130945170029216E-3</v>
      </c>
      <c r="E1188" s="29">
        <f>Cours_Hist_figé!E1252/Cours_Hist_figé!E1188 - 1</f>
        <v>-1.2662478981508851E-3</v>
      </c>
    </row>
    <row r="1189" spans="1:5" x14ac:dyDescent="0.4">
      <c r="A1189" s="27">
        <v>43805</v>
      </c>
      <c r="B1189" s="29">
        <f>Cours_Hist_figé!B1253/Cours_Hist_figé!B1189 - 1</f>
        <v>5.4685768819572766E-2</v>
      </c>
      <c r="C1189" s="29">
        <f>Cours_Hist_figé!C1253/Cours_Hist_figé!C1189 - 1</f>
        <v>-1.6267242903185375E-2</v>
      </c>
      <c r="D1189" s="29">
        <f>Cours_Hist_figé!D1253/Cours_Hist_figé!D1189 - 1</f>
        <v>-1.0955134475396644E-3</v>
      </c>
      <c r="E1189" s="29">
        <f>Cours_Hist_figé!E1253/Cours_Hist_figé!E1189 - 1</f>
        <v>-1.2510601996743587E-3</v>
      </c>
    </row>
    <row r="1190" spans="1:5" x14ac:dyDescent="0.4">
      <c r="A1190" s="27">
        <v>43808</v>
      </c>
      <c r="B1190" s="29">
        <f>Cours_Hist_figé!B1254/Cours_Hist_figé!B1190 - 1</f>
        <v>5.0396086326066403E-2</v>
      </c>
      <c r="C1190" s="29">
        <f>Cours_Hist_figé!C1254/Cours_Hist_figé!C1190 - 1</f>
        <v>-1.2737607221900649E-2</v>
      </c>
      <c r="D1190" s="29">
        <f>Cours_Hist_figé!D1254/Cours_Hist_figé!D1190 - 1</f>
        <v>-1.1233864873954058E-3</v>
      </c>
      <c r="E1190" s="29">
        <f>Cours_Hist_figé!E1254/Cours_Hist_figé!E1190 - 1</f>
        <v>-1.2860009258434113E-3</v>
      </c>
    </row>
    <row r="1191" spans="1:5" x14ac:dyDescent="0.4">
      <c r="A1191" s="27">
        <v>43809</v>
      </c>
      <c r="B1191" s="29">
        <f>Cours_Hist_figé!B1255/Cours_Hist_figé!B1191 - 1</f>
        <v>3.9428975045085357E-2</v>
      </c>
      <c r="C1191" s="29">
        <f>Cours_Hist_figé!C1255/Cours_Hist_figé!C1191 - 1</f>
        <v>-1.3831467924612317E-2</v>
      </c>
      <c r="D1191" s="29">
        <f>Cours_Hist_figé!D1255/Cours_Hist_figé!D1191 - 1</f>
        <v>-1.1259769602781633E-3</v>
      </c>
      <c r="E1191" s="29">
        <f>Cours_Hist_figé!E1255/Cours_Hist_figé!E1191 - 1</f>
        <v>-1.2909194413071035E-3</v>
      </c>
    </row>
    <row r="1192" spans="1:5" x14ac:dyDescent="0.4">
      <c r="A1192" s="27">
        <v>43810</v>
      </c>
      <c r="B1192" s="29">
        <f>Cours_Hist_figé!B1256/Cours_Hist_figé!B1192 - 1</f>
        <v>3.999286200145824E-2</v>
      </c>
      <c r="C1192" s="29">
        <f>Cours_Hist_figé!C1256/Cours_Hist_figé!C1192 - 1</f>
        <v>-1.2897109602083456E-2</v>
      </c>
      <c r="D1192" s="29">
        <f>Cours_Hist_figé!D1256/Cours_Hist_figé!D1192 - 1</f>
        <v>-1.128475210915969E-3</v>
      </c>
      <c r="E1192" s="29">
        <f>Cours_Hist_figé!E1256/Cours_Hist_figé!E1192 - 1</f>
        <v>-1.2958280790268395E-3</v>
      </c>
    </row>
    <row r="1193" spans="1:5" x14ac:dyDescent="0.4">
      <c r="A1193" s="27">
        <v>43811</v>
      </c>
      <c r="B1193" s="29">
        <f>Cours_Hist_figé!B1257/Cours_Hist_figé!B1193 - 1</f>
        <v>4.0569080999798945E-2</v>
      </c>
      <c r="C1193" s="29">
        <f>Cours_Hist_figé!C1257/Cours_Hist_figé!C1193 - 1</f>
        <v>-1.0105930758310122E-2</v>
      </c>
      <c r="D1193" s="29">
        <f>Cours_Hist_figé!D1257/Cours_Hist_figé!D1193 - 1</f>
        <v>-1.13097351252478E-3</v>
      </c>
      <c r="E1193" s="29">
        <f>Cours_Hist_figé!E1257/Cours_Hist_figé!E1193 - 1</f>
        <v>-1.3007268190496912E-3</v>
      </c>
    </row>
    <row r="1194" spans="1:5" x14ac:dyDescent="0.4">
      <c r="A1194" s="27">
        <v>43812</v>
      </c>
      <c r="B1194" s="29">
        <f>Cours_Hist_figé!B1258/Cours_Hist_figé!B1194 - 1</f>
        <v>5.7155333934836294E-2</v>
      </c>
      <c r="C1194" s="29">
        <f>Cours_Hist_figé!C1258/Cours_Hist_figé!C1194 - 1</f>
        <v>-1.0146083680098394E-2</v>
      </c>
      <c r="D1194" s="29">
        <f>Cours_Hist_figé!D1258/Cours_Hist_figé!D1194 - 1</f>
        <v>-1.1129996237209117E-3</v>
      </c>
      <c r="E1194" s="29">
        <f>Cours_Hist_figé!E1258/Cours_Hist_figé!E1194 - 1</f>
        <v>-1.2851669441609204E-3</v>
      </c>
    </row>
    <row r="1195" spans="1:5" x14ac:dyDescent="0.4">
      <c r="A1195" s="27">
        <v>43815</v>
      </c>
      <c r="B1195" s="29">
        <f>Cours_Hist_figé!B1259/Cours_Hist_figé!B1195 - 1</f>
        <v>7.2483356056486592E-2</v>
      </c>
      <c r="C1195" s="29">
        <f>Cours_Hist_figé!C1259/Cours_Hist_figé!C1195 - 1</f>
        <v>-9.4937085801833909E-3</v>
      </c>
      <c r="D1195" s="29">
        <f>Cours_Hist_figé!D1259/Cours_Hist_figé!D1195 - 1</f>
        <v>-1.1409596347562445E-3</v>
      </c>
      <c r="E1195" s="29">
        <f>Cours_Hist_figé!E1259/Cours_Hist_figé!E1195 - 1</f>
        <v>-1.3201705188542467E-3</v>
      </c>
    </row>
    <row r="1196" spans="1:5" x14ac:dyDescent="0.4">
      <c r="A1196" s="27">
        <v>43816</v>
      </c>
      <c r="B1196" s="29">
        <f>Cours_Hist_figé!B1260/Cours_Hist_figé!B1196 - 1</f>
        <v>6.5971141347154649E-2</v>
      </c>
      <c r="C1196" s="29">
        <f>Cours_Hist_figé!C1260/Cours_Hist_figé!C1196 - 1</f>
        <v>-1.1145425794908626E-2</v>
      </c>
      <c r="D1196" s="29">
        <f>Cours_Hist_figé!D1260/Cours_Hist_figé!D1196 - 1</f>
        <v>-1.1434581913937203E-3</v>
      </c>
      <c r="E1196" s="29">
        <f>Cours_Hist_figé!E1260/Cours_Hist_figé!E1196 - 1</f>
        <v>-1.3250397624752219E-3</v>
      </c>
    </row>
    <row r="1197" spans="1:5" x14ac:dyDescent="0.4">
      <c r="A1197" s="27">
        <v>43817</v>
      </c>
      <c r="B1197" s="29">
        <f>Cours_Hist_figé!B1261/Cours_Hist_figé!B1197 - 1</f>
        <v>5.8009442962652313E-2</v>
      </c>
      <c r="C1197" s="29">
        <f>Cours_Hist_figé!C1261/Cours_Hist_figé!C1197 - 1</f>
        <v>-1.3125357938984505E-2</v>
      </c>
      <c r="D1197" s="29">
        <f>Cours_Hist_figé!D1261/Cours_Hist_figé!D1197 - 1</f>
        <v>-1.1432648220104369E-3</v>
      </c>
      <c r="E1197" s="29">
        <f>Cours_Hist_figé!E1261/Cours_Hist_figé!E1197 - 1</f>
        <v>-1.3272278039643259E-3</v>
      </c>
    </row>
    <row r="1198" spans="1:5" x14ac:dyDescent="0.4">
      <c r="A1198" s="27">
        <v>43818</v>
      </c>
      <c r="B1198" s="29">
        <f>Cours_Hist_figé!B1262/Cours_Hist_figé!B1198 - 1</f>
        <v>5.6850137743197804E-2</v>
      </c>
      <c r="C1198" s="29">
        <f>Cours_Hist_figé!C1262/Cours_Hist_figé!C1198 - 1</f>
        <v>-1.4908408006536367E-2</v>
      </c>
      <c r="D1198" s="29">
        <f>Cours_Hist_figé!D1262/Cours_Hist_figé!D1198 - 1</f>
        <v>-1.1431561524325451E-3</v>
      </c>
      <c r="E1198" s="29">
        <f>Cours_Hist_figé!E1262/Cours_Hist_figé!E1198 - 1</f>
        <v>-1.3295281949432525E-3</v>
      </c>
    </row>
    <row r="1199" spans="1:5" x14ac:dyDescent="0.4">
      <c r="A1199" s="27">
        <v>43819</v>
      </c>
      <c r="B1199" s="29">
        <f>Cours_Hist_figé!B1263/Cours_Hist_figé!B1199 - 1</f>
        <v>7.3026682036228197E-2</v>
      </c>
      <c r="C1199" s="29">
        <f>Cours_Hist_figé!C1263/Cours_Hist_figé!C1199 - 1</f>
        <v>-1.936766995185768E-2</v>
      </c>
      <c r="D1199" s="29">
        <f>Cours_Hist_figé!D1263/Cours_Hist_figé!D1199 - 1</f>
        <v>-1.1175898773858606E-3</v>
      </c>
      <c r="E1199" s="29">
        <f>Cours_Hist_figé!E1263/Cours_Hist_figé!E1199 - 1</f>
        <v>-1.3063581556221893E-3</v>
      </c>
    </row>
    <row r="1200" spans="1:5" x14ac:dyDescent="0.4">
      <c r="A1200" s="27">
        <v>43822</v>
      </c>
      <c r="B1200" s="29">
        <f>Cours_Hist_figé!B1264/Cours_Hist_figé!B1200 - 1</f>
        <v>7.3112036314929796E-2</v>
      </c>
      <c r="C1200" s="29">
        <f>Cours_Hist_figé!C1264/Cours_Hist_figé!C1200 - 1</f>
        <v>-2.09463313207362E-2</v>
      </c>
      <c r="D1200" s="29">
        <f>Cours_Hist_figé!D1264/Cours_Hist_figé!D1200 - 1</f>
        <v>-1.1427600433986385E-3</v>
      </c>
      <c r="E1200" s="29">
        <f>Cours_Hist_figé!E1264/Cours_Hist_figé!E1200 - 1</f>
        <v>-1.33860576007927E-3</v>
      </c>
    </row>
    <row r="1201" spans="1:5" x14ac:dyDescent="0.4">
      <c r="A1201" s="27">
        <v>43823</v>
      </c>
      <c r="B1201" s="29">
        <f>Cours_Hist_figé!B1265/Cours_Hist_figé!B1201 - 1</f>
        <v>8.0807738919172811E-2</v>
      </c>
      <c r="C1201" s="29">
        <f>Cours_Hist_figé!C1265/Cours_Hist_figé!C1201 - 1</f>
        <v>-2.0022007481066528E-2</v>
      </c>
      <c r="D1201" s="29">
        <f>Cours_Hist_figé!D1265/Cours_Hist_figé!D1201 - 1</f>
        <v>-1.1429592420150181E-3</v>
      </c>
      <c r="E1201" s="29">
        <f>Cours_Hist_figé!E1265/Cours_Hist_figé!E1201 - 1</f>
        <v>-1.3411440892252546E-3</v>
      </c>
    </row>
    <row r="1202" spans="1:5" x14ac:dyDescent="0.4">
      <c r="A1202" s="27">
        <v>43826</v>
      </c>
      <c r="B1202" s="29">
        <f>Cours_Hist_figé!B1266/Cours_Hist_figé!B1202 - 1</f>
        <v>7.6122210746870644E-2</v>
      </c>
      <c r="C1202" s="29">
        <f>Cours_Hist_figé!C1266/Cours_Hist_figé!C1202 - 1</f>
        <v>-1.8951425132841759E-2</v>
      </c>
      <c r="D1202" s="29">
        <f>Cours_Hist_figé!D1266/Cours_Hist_figé!D1202 - 1</f>
        <v>-1.1690311664025455E-3</v>
      </c>
      <c r="E1202" s="29">
        <f>Cours_Hist_figé!E1266/Cours_Hist_figé!E1202 - 1</f>
        <v>-1.3742605587492296E-3</v>
      </c>
    </row>
    <row r="1203" spans="1:5" x14ac:dyDescent="0.4">
      <c r="A1203" s="27">
        <v>43829</v>
      </c>
      <c r="B1203" s="29">
        <f>Cours_Hist_figé!B1267/Cours_Hist_figé!B1203 - 1</f>
        <v>6.1523913865737967E-2</v>
      </c>
      <c r="C1203" s="29">
        <f>Cours_Hist_figé!C1267/Cours_Hist_figé!C1203 - 1</f>
        <v>-2.2273387759113361E-2</v>
      </c>
      <c r="D1203" s="29">
        <f>Cours_Hist_figé!D1267/Cours_Hist_figé!D1203 - 1</f>
        <v>-1.1943954477846574E-3</v>
      </c>
      <c r="E1203" s="29">
        <f>Cours_Hist_figé!E1267/Cours_Hist_figé!E1203 - 1</f>
        <v>-1.406670240124086E-3</v>
      </c>
    </row>
    <row r="1204" spans="1:5" x14ac:dyDescent="0.4">
      <c r="A1204" s="27">
        <v>43830</v>
      </c>
      <c r="B1204" s="29">
        <f>Cours_Hist_figé!B1268/Cours_Hist_figé!B1204 - 1</f>
        <v>5.711574788139262E-2</v>
      </c>
      <c r="C1204" s="29">
        <f>Cours_Hist_figé!C1268/Cours_Hist_figé!C1204 - 1</f>
        <v>-2.2439890709373356E-2</v>
      </c>
      <c r="D1204" s="29">
        <f>Cours_Hist_figé!D1268/Cours_Hist_figé!D1204 - 1</f>
        <v>-1.1694366132097844E-3</v>
      </c>
      <c r="E1204" s="29">
        <f>Cours_Hist_figé!E1268/Cours_Hist_figé!E1204 - 1</f>
        <v>-1.3840386263279658E-3</v>
      </c>
    </row>
    <row r="1205" spans="1:5" x14ac:dyDescent="0.4">
      <c r="A1205" s="27">
        <v>43832</v>
      </c>
      <c r="B1205" s="29">
        <f>Cours_Hist_figé!B1269/Cours_Hist_figé!B1205 - 1</f>
        <v>8.1147742144801027E-2</v>
      </c>
      <c r="C1205" s="29">
        <f>Cours_Hist_figé!C1269/Cours_Hist_figé!C1205 - 1</f>
        <v>-1.9573485872629748E-2</v>
      </c>
      <c r="D1205" s="29">
        <f>Cours_Hist_figé!D1269/Cours_Hist_figé!D1205 - 1</f>
        <v>-1.1817107507676727E-3</v>
      </c>
      <c r="E1205" s="29">
        <f>Cours_Hist_figé!E1269/Cours_Hist_figé!E1205 - 1</f>
        <v>-1.4010100000000358E-3</v>
      </c>
    </row>
    <row r="1206" spans="1:5" x14ac:dyDescent="0.4">
      <c r="A1206" s="27">
        <v>43833</v>
      </c>
      <c r="B1206" s="29">
        <f>Cours_Hist_figé!B1270/Cours_Hist_figé!B1206 - 1</f>
        <v>0.10829562226755507</v>
      </c>
      <c r="C1206" s="29">
        <f>Cours_Hist_figé!C1270/Cours_Hist_figé!C1206 - 1</f>
        <v>-1.4196806329708767E-2</v>
      </c>
      <c r="D1206" s="29">
        <f>Cours_Hist_figé!D1270/Cours_Hist_figé!D1206 - 1</f>
        <v>-1.1814179615329268E-3</v>
      </c>
      <c r="E1206" s="29">
        <f>Cours_Hist_figé!E1270/Cours_Hist_figé!E1206 - 1</f>
        <v>-1.4007313611533734E-3</v>
      </c>
    </row>
    <row r="1207" spans="1:5" x14ac:dyDescent="0.4">
      <c r="A1207" s="27">
        <v>43836</v>
      </c>
      <c r="B1207" s="29">
        <f>Cours_Hist_figé!B1271/Cours_Hist_figé!B1207 - 1</f>
        <v>0.10416156300768731</v>
      </c>
      <c r="C1207" s="29">
        <f>Cours_Hist_figé!C1271/Cours_Hist_figé!C1207 - 1</f>
        <v>-1.6594976623775737E-2</v>
      </c>
      <c r="D1207" s="29">
        <f>Cours_Hist_figé!D1271/Cours_Hist_figé!D1207 - 1</f>
        <v>-1.2061838854360296E-3</v>
      </c>
      <c r="E1207" s="29">
        <f>Cours_Hist_figé!E1271/Cours_Hist_figé!E1207 - 1</f>
        <v>-1.430133704885983E-3</v>
      </c>
    </row>
    <row r="1208" spans="1:5" x14ac:dyDescent="0.4">
      <c r="A1208" s="27">
        <v>43837</v>
      </c>
      <c r="B1208" s="29">
        <f>Cours_Hist_figé!B1272/Cours_Hist_figé!B1208 - 1</f>
        <v>9.8823605307686302E-2</v>
      </c>
      <c r="C1208" s="29">
        <f>Cours_Hist_figé!C1272/Cours_Hist_figé!C1208 - 1</f>
        <v>-1.7297417910965951E-2</v>
      </c>
      <c r="D1208" s="29">
        <f>Cours_Hist_figé!D1272/Cours_Hist_figé!D1208 - 1</f>
        <v>-1.2056914198217417E-3</v>
      </c>
      <c r="E1208" s="29">
        <f>Cours_Hist_figé!E1272/Cours_Hist_figé!E1208 - 1</f>
        <v>-1.4296957231123564E-3</v>
      </c>
    </row>
    <row r="1209" spans="1:5" x14ac:dyDescent="0.4">
      <c r="A1209" s="27">
        <v>43838</v>
      </c>
      <c r="B1209" s="29">
        <f>Cours_Hist_figé!B1273/Cours_Hist_figé!B1209 - 1</f>
        <v>9.2940877155214707E-2</v>
      </c>
      <c r="C1209" s="29">
        <f>Cours_Hist_figé!C1273/Cours_Hist_figé!C1209 - 1</f>
        <v>-1.7646491131088959E-2</v>
      </c>
      <c r="D1209" s="29">
        <f>Cours_Hist_figé!D1273/Cours_Hist_figé!D1209 - 1</f>
        <v>-1.1793229862173682E-3</v>
      </c>
      <c r="E1209" s="29">
        <f>Cours_Hist_figé!E1273/Cours_Hist_figé!E1209 - 1</f>
        <v>-1.3986587465376621E-3</v>
      </c>
    </row>
    <row r="1210" spans="1:5" x14ac:dyDescent="0.4">
      <c r="A1210" s="27">
        <v>43839</v>
      </c>
      <c r="B1210" s="29">
        <f>Cours_Hist_figé!B1274/Cours_Hist_figé!B1210 - 1</f>
        <v>0.10809144278888905</v>
      </c>
      <c r="C1210" s="29">
        <f>Cours_Hist_figé!C1274/Cours_Hist_figé!C1210 - 1</f>
        <v>-2.0461170463460299E-2</v>
      </c>
      <c r="D1210" s="29">
        <f>Cours_Hist_figé!D1274/Cours_Hist_figé!D1210 - 1</f>
        <v>-1.1788223236445239E-3</v>
      </c>
      <c r="E1210" s="29">
        <f>Cours_Hist_figé!E1274/Cours_Hist_figé!E1210 - 1</f>
        <v>-1.3981502172593085E-3</v>
      </c>
    </row>
    <row r="1211" spans="1:5" x14ac:dyDescent="0.4">
      <c r="A1211" s="27">
        <v>43840</v>
      </c>
      <c r="B1211" s="29">
        <f>Cours_Hist_figé!B1275/Cours_Hist_figé!B1211 - 1</f>
        <v>0.10196640082546926</v>
      </c>
      <c r="C1211" s="29">
        <f>Cours_Hist_figé!C1275/Cours_Hist_figé!C1211 - 1</f>
        <v>-1.7155091475063333E-2</v>
      </c>
      <c r="D1211" s="29">
        <f>Cours_Hist_figé!D1275/Cours_Hist_figé!D1211 - 1</f>
        <v>-1.1784217675413489E-3</v>
      </c>
      <c r="E1211" s="29">
        <f>Cours_Hist_figé!E1275/Cours_Hist_figé!E1211 - 1</f>
        <v>-1.3977916068755869E-3</v>
      </c>
    </row>
    <row r="1212" spans="1:5" x14ac:dyDescent="0.4">
      <c r="A1212" s="27">
        <v>43843</v>
      </c>
      <c r="B1212" s="29">
        <f>Cours_Hist_figé!B1276/Cours_Hist_figé!B1212 - 1</f>
        <v>9.2853751725837874E-2</v>
      </c>
      <c r="C1212" s="29">
        <f>Cours_Hist_figé!C1276/Cours_Hist_figé!C1212 - 1</f>
        <v>-1.5687774800960952E-2</v>
      </c>
      <c r="D1212" s="29">
        <f>Cours_Hist_figé!D1276/Cours_Hist_figé!D1212 - 1</f>
        <v>-1.2030899062195344E-3</v>
      </c>
      <c r="E1212" s="29">
        <f>Cours_Hist_figé!E1276/Cours_Hist_figé!E1212 - 1</f>
        <v>-1.4272571042059923E-3</v>
      </c>
    </row>
    <row r="1213" spans="1:5" x14ac:dyDescent="0.4">
      <c r="A1213" s="27">
        <v>43844</v>
      </c>
      <c r="B1213" s="29">
        <f>Cours_Hist_figé!B1277/Cours_Hist_figé!B1213 - 1</f>
        <v>7.1939315264442527E-2</v>
      </c>
      <c r="C1213" s="29">
        <f>Cours_Hist_figé!C1277/Cours_Hist_figé!C1213 - 1</f>
        <v>-1.3338307785277892E-2</v>
      </c>
      <c r="D1213" s="29">
        <f>Cours_Hist_figé!D1277/Cours_Hist_figé!D1213 - 1</f>
        <v>-1.202697356890825E-3</v>
      </c>
      <c r="E1213" s="29">
        <f>Cours_Hist_figé!E1277/Cours_Hist_figé!E1213 - 1</f>
        <v>-1.426838919895479E-3</v>
      </c>
    </row>
    <row r="1214" spans="1:5" x14ac:dyDescent="0.4">
      <c r="A1214" s="27">
        <v>43845</v>
      </c>
      <c r="B1214" s="29">
        <f>Cours_Hist_figé!B1278/Cours_Hist_figé!B1214 - 1</f>
        <v>7.7449232219580111E-2</v>
      </c>
      <c r="C1214" s="29">
        <f>Cours_Hist_figé!C1278/Cours_Hist_figé!C1214 - 1</f>
        <v>-1.2914818287617646E-2</v>
      </c>
      <c r="D1214" s="29">
        <f>Cours_Hist_figé!D1278/Cours_Hist_figé!D1214 - 1</f>
        <v>-1.1766264313556318E-3</v>
      </c>
      <c r="E1214" s="29">
        <f>Cours_Hist_figé!E1278/Cours_Hist_figé!E1214 - 1</f>
        <v>-1.3959881646017358E-3</v>
      </c>
    </row>
    <row r="1215" spans="1:5" x14ac:dyDescent="0.4">
      <c r="A1215" s="27">
        <v>43846</v>
      </c>
      <c r="B1215" s="29">
        <f>Cours_Hist_figé!B1279/Cours_Hist_figé!B1215 - 1</f>
        <v>6.8515756594760058E-2</v>
      </c>
      <c r="C1215" s="29">
        <f>Cours_Hist_figé!C1279/Cours_Hist_figé!C1215 - 1</f>
        <v>-1.0753754345915967E-2</v>
      </c>
      <c r="D1215" s="29">
        <f>Cours_Hist_figé!D1279/Cours_Hist_figé!D1215 - 1</f>
        <v>-1.1763258250624409E-3</v>
      </c>
      <c r="E1215" s="29">
        <f>Cours_Hist_figé!E1279/Cours_Hist_figé!E1215 - 1</f>
        <v>-1.3956793871853224E-3</v>
      </c>
    </row>
    <row r="1216" spans="1:5" x14ac:dyDescent="0.4">
      <c r="A1216" s="27">
        <v>43847</v>
      </c>
      <c r="B1216" s="29">
        <f>Cours_Hist_figé!B1280/Cours_Hist_figé!B1216 - 1</f>
        <v>8.0333472287341667E-2</v>
      </c>
      <c r="C1216" s="29">
        <f>Cours_Hist_figé!C1280/Cours_Hist_figé!C1216 - 1</f>
        <v>-9.9441970114069189E-3</v>
      </c>
      <c r="D1216" s="29">
        <f>Cours_Hist_figé!D1280/Cours_Hist_figé!D1216 - 1</f>
        <v>-1.1759250824641132E-3</v>
      </c>
      <c r="E1216" s="29">
        <f>Cours_Hist_figé!E1280/Cours_Hist_figé!E1216 - 1</f>
        <v>-1.3952706471473952E-3</v>
      </c>
    </row>
    <row r="1217" spans="1:5" x14ac:dyDescent="0.4">
      <c r="A1217" s="27">
        <v>43850</v>
      </c>
      <c r="B1217" s="29">
        <f>Cours_Hist_figé!B1281/Cours_Hist_figé!B1217 - 1</f>
        <v>7.9764743228908808E-2</v>
      </c>
      <c r="C1217" s="29">
        <f>Cours_Hist_figé!C1281/Cours_Hist_figé!C1217 - 1</f>
        <v>-9.7740660651703948E-3</v>
      </c>
      <c r="D1217" s="29">
        <f>Cours_Hist_figé!D1281/Cours_Hist_figé!D1217 - 1</f>
        <v>-1.2006954310121998E-3</v>
      </c>
      <c r="E1217" s="29">
        <f>Cours_Hist_figé!E1281/Cours_Hist_figé!E1217 - 1</f>
        <v>-1.4247491062735484E-3</v>
      </c>
    </row>
    <row r="1218" spans="1:5" x14ac:dyDescent="0.4">
      <c r="A1218" s="27">
        <v>43851</v>
      </c>
      <c r="B1218" s="29">
        <f>Cours_Hist_figé!B1282/Cours_Hist_figé!B1218 - 1</f>
        <v>8.1424131636600228E-2</v>
      </c>
      <c r="C1218" s="29">
        <f>Cours_Hist_figé!C1282/Cours_Hist_figé!C1218 - 1</f>
        <v>-6.7097259672664888E-3</v>
      </c>
      <c r="D1218" s="29">
        <f>Cours_Hist_figé!D1282/Cours_Hist_figé!D1218 - 1</f>
        <v>-1.200387421215976E-3</v>
      </c>
      <c r="E1218" s="29">
        <f>Cours_Hist_figé!E1282/Cours_Hist_figé!E1218 - 1</f>
        <v>-1.4244707185044891E-3</v>
      </c>
    </row>
    <row r="1219" spans="1:5" x14ac:dyDescent="0.4">
      <c r="A1219" s="27">
        <v>43852</v>
      </c>
      <c r="B1219" s="29">
        <f>Cours_Hist_figé!B1283/Cours_Hist_figé!B1219 - 1</f>
        <v>7.3679200092690689E-2</v>
      </c>
      <c r="C1219" s="29">
        <f>Cours_Hist_figé!C1283/Cours_Hist_figé!C1219 - 1</f>
        <v>-3.5054454921190636E-3</v>
      </c>
      <c r="D1219" s="29">
        <f>Cours_Hist_figé!D1283/Cours_Hist_figé!D1219 - 1</f>
        <v>-1.1744216451542444E-3</v>
      </c>
      <c r="E1219" s="29">
        <f>Cours_Hist_figé!E1283/Cours_Hist_figé!E1219 - 1</f>
        <v>-1.3937962507694079E-3</v>
      </c>
    </row>
    <row r="1220" spans="1:5" x14ac:dyDescent="0.4">
      <c r="A1220" s="27">
        <v>43853</v>
      </c>
      <c r="B1220" s="29">
        <f>Cours_Hist_figé!B1284/Cours_Hist_figé!B1220 - 1</f>
        <v>6.5064000987885562E-2</v>
      </c>
      <c r="C1220" s="29">
        <f>Cours_Hist_figé!C1284/Cours_Hist_figé!C1220 - 1</f>
        <v>-2.746615823598364E-3</v>
      </c>
      <c r="D1220" s="29">
        <f>Cours_Hist_figé!D1284/Cours_Hist_figé!D1220 - 1</f>
        <v>-1.1740208470486513E-3</v>
      </c>
      <c r="E1220" s="29">
        <f>Cours_Hist_figé!E1284/Cours_Hist_figé!E1220 - 1</f>
        <v>-1.3934373770041475E-3</v>
      </c>
    </row>
    <row r="1221" spans="1:5" x14ac:dyDescent="0.4">
      <c r="A1221" s="27">
        <v>43854</v>
      </c>
      <c r="B1221" s="29">
        <f>Cours_Hist_figé!B1285/Cours_Hist_figé!B1221 - 1</f>
        <v>7.2913323878634806E-2</v>
      </c>
      <c r="C1221" s="29">
        <f>Cours_Hist_figé!C1285/Cours_Hist_figé!C1221 - 1</f>
        <v>-2.8588730215903801E-3</v>
      </c>
      <c r="D1221" s="29">
        <f>Cours_Hist_figé!D1285/Cours_Hist_figé!D1221 - 1</f>
        <v>-1.1737201761716776E-3</v>
      </c>
      <c r="E1221" s="29">
        <f>Cours_Hist_figé!E1285/Cours_Hist_figé!E1221 - 1</f>
        <v>-1.3931384846096462E-3</v>
      </c>
    </row>
    <row r="1222" spans="1:5" x14ac:dyDescent="0.4">
      <c r="A1222" s="27">
        <v>43857</v>
      </c>
      <c r="B1222" s="29">
        <f>Cours_Hist_figé!B1286/Cours_Hist_figé!B1222 - 1</f>
        <v>4.2349968641878233E-2</v>
      </c>
      <c r="C1222" s="29">
        <f>Cours_Hist_figé!C1286/Cours_Hist_figé!C1222 - 1</f>
        <v>1.6027354942376171E-3</v>
      </c>
      <c r="D1222" s="29">
        <f>Cours_Hist_figé!D1286/Cours_Hist_figé!D1222 - 1</f>
        <v>-1.1986004409096918E-3</v>
      </c>
      <c r="E1222" s="29">
        <f>Cours_Hist_figé!E1286/Cours_Hist_figé!E1222 - 1</f>
        <v>-1.4226500188021518E-3</v>
      </c>
    </row>
    <row r="1223" spans="1:5" x14ac:dyDescent="0.4">
      <c r="A1223" s="27">
        <v>43858</v>
      </c>
      <c r="B1223" s="29">
        <f>Cours_Hist_figé!B1287/Cours_Hist_figé!B1223 - 1</f>
        <v>4.9403594015908547E-2</v>
      </c>
      <c r="C1223" s="29">
        <f>Cours_Hist_figé!C1287/Cours_Hist_figé!C1223 - 1</f>
        <v>2.3342978976381712E-3</v>
      </c>
      <c r="D1223" s="29">
        <f>Cours_Hist_figé!D1287/Cours_Hist_figé!D1223 - 1</f>
        <v>-1.1982923763609321E-3</v>
      </c>
      <c r="E1223" s="29">
        <f>Cours_Hist_figé!E1287/Cours_Hist_figé!E1223 - 1</f>
        <v>-1.4223715694308137E-3</v>
      </c>
    </row>
    <row r="1224" spans="1:5" x14ac:dyDescent="0.4">
      <c r="A1224" s="27">
        <v>43859</v>
      </c>
      <c r="B1224" s="29">
        <f>Cours_Hist_figé!B1288/Cours_Hist_figé!B1224 - 1</f>
        <v>5.129916720051253E-2</v>
      </c>
      <c r="C1224" s="29">
        <f>Cours_Hist_figé!C1288/Cours_Hist_figé!C1224 - 1</f>
        <v>6.786043626117344E-3</v>
      </c>
      <c r="D1224" s="29">
        <f>Cours_Hist_figé!D1288/Cours_Hist_figé!D1224 - 1</f>
        <v>-1.1722241559429802E-3</v>
      </c>
      <c r="E1224" s="29">
        <f>Cours_Hist_figé!E1288/Cours_Hist_figé!E1224 - 1</f>
        <v>-1.391633826291927E-3</v>
      </c>
    </row>
    <row r="1225" spans="1:5" x14ac:dyDescent="0.4">
      <c r="A1225" s="27">
        <v>43860</v>
      </c>
      <c r="B1225" s="29">
        <f>Cours_Hist_figé!B1289/Cours_Hist_figé!B1225 - 1</f>
        <v>4.2336332151514E-2</v>
      </c>
      <c r="C1225" s="29">
        <f>Cours_Hist_figé!C1289/Cours_Hist_figé!C1225 - 1</f>
        <v>7.3986186203929272E-3</v>
      </c>
      <c r="D1225" s="29">
        <f>Cours_Hist_figé!D1289/Cours_Hist_figé!D1225 - 1</f>
        <v>-1.1719234386698973E-3</v>
      </c>
      <c r="E1225" s="29">
        <f>Cours_Hist_figé!E1289/Cours_Hist_figé!E1225 - 1</f>
        <v>-1.3914148994402797E-3</v>
      </c>
    </row>
    <row r="1226" spans="1:5" x14ac:dyDescent="0.4">
      <c r="A1226" s="27">
        <v>43861</v>
      </c>
      <c r="B1226" s="29">
        <f>Cours_Hist_figé!B1290/Cours_Hist_figé!B1226 - 1</f>
        <v>2.9324245286686645E-2</v>
      </c>
      <c r="C1226" s="29">
        <f>Cours_Hist_figé!C1290/Cours_Hist_figé!C1226 - 1</f>
        <v>9.429118185037888E-3</v>
      </c>
      <c r="D1226" s="29">
        <f>Cours_Hist_figé!D1290/Cours_Hist_figé!D1226 - 1</f>
        <v>-1.1717304374432302E-3</v>
      </c>
      <c r="E1226" s="29">
        <f>Cours_Hist_figé!E1290/Cours_Hist_figé!E1226 - 1</f>
        <v>-1.3912458906432112E-3</v>
      </c>
    </row>
    <row r="1227" spans="1:5" x14ac:dyDescent="0.4">
      <c r="A1227" s="27">
        <v>43864</v>
      </c>
      <c r="B1227" s="29">
        <f>Cours_Hist_figé!B1291/Cours_Hist_figé!B1227 - 1</f>
        <v>3.6995622607791656E-2</v>
      </c>
      <c r="C1227" s="29">
        <f>Cours_Hist_figé!C1291/Cours_Hist_figé!C1227 - 1</f>
        <v>5.0918918918918532E-3</v>
      </c>
      <c r="D1227" s="29">
        <f>Cours_Hist_figé!D1291/Cours_Hist_figé!D1227 - 1</f>
        <v>-1.1966976657180606E-3</v>
      </c>
      <c r="E1227" s="29">
        <f>Cours_Hist_figé!E1291/Cours_Hist_figé!E1227 - 1</f>
        <v>-1.4209805533168529E-3</v>
      </c>
    </row>
    <row r="1228" spans="1:5" x14ac:dyDescent="0.4">
      <c r="A1228" s="27">
        <v>43865</v>
      </c>
      <c r="B1228" s="29">
        <f>Cours_Hist_figé!B1292/Cours_Hist_figé!B1228 - 1</f>
        <v>4.6420374557399446E-2</v>
      </c>
      <c r="C1228" s="29">
        <f>Cours_Hist_figé!C1292/Cours_Hist_figé!C1228 - 1</f>
        <v>6.1313599224821491E-3</v>
      </c>
      <c r="D1228" s="29">
        <f>Cours_Hist_figé!D1292/Cours_Hist_figé!D1228 - 1</f>
        <v>-1.1965973020900966E-3</v>
      </c>
      <c r="E1228" s="29">
        <f>Cours_Hist_figé!E1292/Cours_Hist_figé!E1228 - 1</f>
        <v>-1.4208218924647298E-3</v>
      </c>
    </row>
    <row r="1229" spans="1:5" x14ac:dyDescent="0.4">
      <c r="A1229" s="27">
        <v>43866</v>
      </c>
      <c r="B1229" s="29">
        <f>Cours_Hist_figé!B1293/Cours_Hist_figé!B1229 - 1</f>
        <v>4.8799988511786463E-2</v>
      </c>
      <c r="C1229" s="29">
        <f>Cours_Hist_figé!C1293/Cours_Hist_figé!C1229 - 1</f>
        <v>5.3191946961408387E-3</v>
      </c>
      <c r="D1229" s="29">
        <f>Cours_Hist_figé!D1293/Cours_Hist_figé!D1229 - 1</f>
        <v>-1.1704266393581797E-3</v>
      </c>
      <c r="E1229" s="29">
        <f>Cours_Hist_figé!E1293/Cours_Hist_figé!E1229 - 1</f>
        <v>-1.3900008822576027E-3</v>
      </c>
    </row>
    <row r="1230" spans="1:5" x14ac:dyDescent="0.4">
      <c r="A1230" s="27">
        <v>43867</v>
      </c>
      <c r="B1230" s="29">
        <f>Cours_Hist_figé!B1294/Cours_Hist_figé!B1230 - 1</f>
        <v>5.1443391030203678E-2</v>
      </c>
      <c r="C1230" s="29">
        <f>Cours_Hist_figé!C1294/Cours_Hist_figé!C1230 - 1</f>
        <v>5.8808992466339305E-3</v>
      </c>
      <c r="D1230" s="29">
        <f>Cours_Hist_figé!D1294/Cours_Hist_figé!D1230 - 1</f>
        <v>-1.170433561034967E-3</v>
      </c>
      <c r="E1230" s="29">
        <f>Cours_Hist_figé!E1294/Cours_Hist_figé!E1230 - 1</f>
        <v>-1.3900015658354636E-3</v>
      </c>
    </row>
    <row r="1231" spans="1:5" x14ac:dyDescent="0.4">
      <c r="A1231" s="27">
        <v>43868</v>
      </c>
      <c r="B1231" s="29">
        <f>Cours_Hist_figé!B1295/Cours_Hist_figé!B1231 - 1</f>
        <v>4.6405957402787079E-2</v>
      </c>
      <c r="C1231" s="29">
        <f>Cours_Hist_figé!C1295/Cours_Hist_figé!C1231 - 1</f>
        <v>7.2901394659785623E-3</v>
      </c>
      <c r="D1231" s="29">
        <f>Cours_Hist_figé!D1295/Cours_Hist_figé!D1231 - 1</f>
        <v>-1.1702250067344711E-3</v>
      </c>
      <c r="E1231" s="29">
        <f>Cours_Hist_figé!E1295/Cours_Hist_figé!E1231 - 1</f>
        <v>-1.3898323508411137E-3</v>
      </c>
    </row>
    <row r="1232" spans="1:5" x14ac:dyDescent="0.4">
      <c r="A1232" s="27">
        <v>43871</v>
      </c>
      <c r="B1232" s="29">
        <f>Cours_Hist_figé!B1296/Cours_Hist_figé!B1232 - 1</f>
        <v>4.3290598398047608E-2</v>
      </c>
      <c r="C1232" s="29">
        <f>Cours_Hist_figé!C1296/Cours_Hist_figé!C1232 - 1</f>
        <v>1.3611093769157145E-2</v>
      </c>
      <c r="D1232" s="29">
        <f>Cours_Hist_figé!D1296/Cours_Hist_figé!D1232 - 1</f>
        <v>-1.1953020605798281E-3</v>
      </c>
      <c r="E1232" s="29">
        <f>Cours_Hist_figé!E1296/Cours_Hist_figé!E1232 - 1</f>
        <v>-1.4195699134506023E-3</v>
      </c>
    </row>
    <row r="1233" spans="1:5" x14ac:dyDescent="0.4">
      <c r="A1233" s="27">
        <v>43872</v>
      </c>
      <c r="B1233" s="29">
        <f>Cours_Hist_figé!B1297/Cours_Hist_figé!B1233 - 1</f>
        <v>5.533751632492856E-2</v>
      </c>
      <c r="C1233" s="29">
        <f>Cours_Hist_figé!C1297/Cours_Hist_figé!C1233 - 1</f>
        <v>1.2496671115210134E-2</v>
      </c>
      <c r="D1233" s="29">
        <f>Cours_Hist_figé!D1297/Cours_Hist_figé!D1233 - 1</f>
        <v>-1.1952940133739265E-3</v>
      </c>
      <c r="E1233" s="29">
        <f>Cours_Hist_figé!E1297/Cours_Hist_figé!E1233 - 1</f>
        <v>-1.4195610741253306E-3</v>
      </c>
    </row>
    <row r="1234" spans="1:5" x14ac:dyDescent="0.4">
      <c r="A1234" s="27">
        <v>43873</v>
      </c>
      <c r="B1234" s="29">
        <f>Cours_Hist_figé!B1298/Cours_Hist_figé!B1234 - 1</f>
        <v>6.2286618054566034E-2</v>
      </c>
      <c r="C1234" s="29">
        <f>Cours_Hist_figé!C1298/Cours_Hist_figé!C1234 - 1</f>
        <v>1.4409300065358011E-2</v>
      </c>
      <c r="D1234" s="29">
        <f>Cours_Hist_figé!D1298/Cours_Hist_figé!D1234 - 1</f>
        <v>-1.170129345555937E-3</v>
      </c>
      <c r="E1234" s="29">
        <f>Cours_Hist_figé!E1298/Cours_Hist_figé!E1234 - 1</f>
        <v>-1.389636257553839E-3</v>
      </c>
    </row>
    <row r="1235" spans="1:5" x14ac:dyDescent="0.4">
      <c r="A1235" s="27">
        <v>43874</v>
      </c>
      <c r="B1235" s="29">
        <f>Cours_Hist_figé!B1299/Cours_Hist_figé!B1235 - 1</f>
        <v>5.781543341478157E-2</v>
      </c>
      <c r="C1235" s="29">
        <f>Cours_Hist_figé!C1299/Cours_Hist_figé!C1235 - 1</f>
        <v>1.553458247772932E-2</v>
      </c>
      <c r="D1235" s="29">
        <f>Cours_Hist_figé!D1299/Cours_Hist_figé!D1235 - 1</f>
        <v>-1.1701287936815019E-3</v>
      </c>
      <c r="E1235" s="29">
        <f>Cours_Hist_figé!E1299/Cours_Hist_figé!E1235 - 1</f>
        <v>-1.3896371304477073E-3</v>
      </c>
    </row>
    <row r="1236" spans="1:5" x14ac:dyDescent="0.4">
      <c r="A1236" s="27">
        <v>43875</v>
      </c>
      <c r="B1236" s="29">
        <f>Cours_Hist_figé!B1300/Cours_Hist_figé!B1236 - 1</f>
        <v>5.864226943613815E-2</v>
      </c>
      <c r="C1236" s="29">
        <f>Cours_Hist_figé!C1300/Cours_Hist_figé!C1236 - 1</f>
        <v>1.3694692019747379E-2</v>
      </c>
      <c r="D1236" s="29">
        <f>Cours_Hist_figé!D1300/Cours_Hist_figé!D1236 - 1</f>
        <v>-1.1701358295409525E-3</v>
      </c>
      <c r="E1236" s="29">
        <f>Cours_Hist_figé!E1300/Cours_Hist_figé!E1236 - 1</f>
        <v>-1.3897179027058115E-3</v>
      </c>
    </row>
    <row r="1237" spans="1:5" x14ac:dyDescent="0.4">
      <c r="A1237" s="27">
        <v>43878</v>
      </c>
      <c r="B1237" s="29">
        <f>Cours_Hist_figé!B1301/Cours_Hist_figé!B1237 - 1</f>
        <v>6.5821190406982755E-2</v>
      </c>
      <c r="C1237" s="29">
        <f>Cours_Hist_figé!C1301/Cours_Hist_figé!C1237 - 1</f>
        <v>1.3235280312858588E-2</v>
      </c>
      <c r="D1237" s="29">
        <f>Cours_Hist_figé!D1301/Cours_Hist_figé!D1237 - 1</f>
        <v>-1.1953997900159274E-3</v>
      </c>
      <c r="E1237" s="29">
        <f>Cours_Hist_figé!E1301/Cours_Hist_figé!E1237 - 1</f>
        <v>-1.4197584554385134E-3</v>
      </c>
    </row>
    <row r="1238" spans="1:5" x14ac:dyDescent="0.4">
      <c r="A1238" s="27">
        <v>43879</v>
      </c>
      <c r="B1238" s="29">
        <f>Cours_Hist_figé!B1302/Cours_Hist_figé!B1238 - 1</f>
        <v>5.7569138017559585E-2</v>
      </c>
      <c r="C1238" s="29">
        <f>Cours_Hist_figé!C1302/Cours_Hist_figé!C1238 - 1</f>
        <v>1.2871698593449832E-2</v>
      </c>
      <c r="D1238" s="29">
        <f>Cours_Hist_figé!D1302/Cours_Hist_figé!D1238 - 1</f>
        <v>-1.1955996532992952E-3</v>
      </c>
      <c r="E1238" s="29">
        <f>Cours_Hist_figé!E1302/Cours_Hist_figé!E1238 - 1</f>
        <v>-1.4199096705129755E-3</v>
      </c>
    </row>
    <row r="1239" spans="1:5" x14ac:dyDescent="0.4">
      <c r="A1239" s="27">
        <v>43880</v>
      </c>
      <c r="B1239" s="29">
        <f>Cours_Hist_figé!B1303/Cours_Hist_figé!B1239 - 1</f>
        <v>6.6723750760771416E-2</v>
      </c>
      <c r="C1239" s="29">
        <f>Cours_Hist_figé!C1303/Cours_Hist_figé!C1239 - 1</f>
        <v>1.3306605044501651E-2</v>
      </c>
      <c r="D1239" s="29">
        <f>Cours_Hist_figé!D1303/Cours_Hist_figé!D1239 - 1</f>
        <v>-1.1701246796869125E-3</v>
      </c>
      <c r="E1239" s="29">
        <f>Cours_Hist_figé!E1303/Cours_Hist_figé!E1239 - 1</f>
        <v>-1.3897416902582949E-3</v>
      </c>
    </row>
    <row r="1240" spans="1:5" x14ac:dyDescent="0.4">
      <c r="A1240" s="27">
        <v>43881</v>
      </c>
      <c r="B1240" s="29">
        <f>Cours_Hist_figé!B1304/Cours_Hist_figé!B1240 - 1</f>
        <v>5.9247837039764217E-2</v>
      </c>
      <c r="C1240" s="29">
        <f>Cours_Hist_figé!C1304/Cours_Hist_figé!C1240 - 1</f>
        <v>1.5558432714827708E-2</v>
      </c>
      <c r="D1240" s="29">
        <f>Cours_Hist_figé!D1304/Cours_Hist_figé!D1240 - 1</f>
        <v>-1.1700316612756057E-3</v>
      </c>
      <c r="E1240" s="29">
        <f>Cours_Hist_figé!E1304/Cours_Hist_figé!E1240 - 1</f>
        <v>-1.389672498873229E-3</v>
      </c>
    </row>
    <row r="1241" spans="1:5" x14ac:dyDescent="0.4">
      <c r="A1241" s="27">
        <v>43882</v>
      </c>
      <c r="B1241" s="29">
        <f>Cours_Hist_figé!B1305/Cours_Hist_figé!B1241 - 1</f>
        <v>5.8114137364448482E-2</v>
      </c>
      <c r="C1241" s="29">
        <f>Cours_Hist_figé!C1305/Cours_Hist_figé!C1241 - 1</f>
        <v>1.5593656291279734E-2</v>
      </c>
      <c r="D1241" s="29">
        <f>Cours_Hist_figé!D1305/Cours_Hist_figé!D1241 - 1</f>
        <v>-1.1699309348685016E-3</v>
      </c>
      <c r="E1241" s="29">
        <f>Cours_Hist_figé!E1305/Cours_Hist_figé!E1241 - 1</f>
        <v>-1.3895533231055301E-3</v>
      </c>
    </row>
    <row r="1242" spans="1:5" x14ac:dyDescent="0.4">
      <c r="A1242" s="27">
        <v>43885</v>
      </c>
      <c r="B1242" s="29">
        <f>Cours_Hist_figé!B1306/Cours_Hist_figé!B1242 - 1</f>
        <v>2.1949098591775851E-2</v>
      </c>
      <c r="C1242" s="29">
        <f>Cours_Hist_figé!C1306/Cours_Hist_figé!C1242 - 1</f>
        <v>1.7796215749816158E-2</v>
      </c>
      <c r="D1242" s="29">
        <f>Cours_Hist_figé!D1306/Cours_Hist_figé!D1242 - 1</f>
        <v>-1.1958976263670706E-3</v>
      </c>
      <c r="E1242" s="29">
        <f>Cours_Hist_figé!E1306/Cours_Hist_figé!E1242 - 1</f>
        <v>-1.4202367209983358E-3</v>
      </c>
    </row>
    <row r="1243" spans="1:5" x14ac:dyDescent="0.4">
      <c r="A1243" s="27">
        <v>43886</v>
      </c>
      <c r="B1243" s="29">
        <f>Cours_Hist_figé!B1307/Cours_Hist_figé!B1243 - 1</f>
        <v>-4.9246918483702995E-4</v>
      </c>
      <c r="C1243" s="29">
        <f>Cours_Hist_figé!C1307/Cours_Hist_figé!C1243 - 1</f>
        <v>1.6756539434630513E-2</v>
      </c>
      <c r="D1243" s="29">
        <f>Cours_Hist_figé!D1307/Cours_Hist_figé!D1243 - 1</f>
        <v>-1.1957972259686311E-3</v>
      </c>
      <c r="E1243" s="29">
        <f>Cours_Hist_figé!E1307/Cours_Hist_figé!E1243 - 1</f>
        <v>-1.4201780493711125E-3</v>
      </c>
    </row>
    <row r="1244" spans="1:5" x14ac:dyDescent="0.4">
      <c r="A1244" s="27">
        <v>43887</v>
      </c>
      <c r="B1244" s="29">
        <f>Cours_Hist_figé!B1308/Cours_Hist_figé!B1244 - 1</f>
        <v>-1.0421792523271578E-2</v>
      </c>
      <c r="C1244" s="29">
        <f>Cours_Hist_figé!C1308/Cours_Hist_figé!C1244 - 1</f>
        <v>1.4854871371784206E-2</v>
      </c>
      <c r="D1244" s="29">
        <f>Cours_Hist_figé!D1308/Cours_Hist_figé!D1244 - 1</f>
        <v>-1.1708281457392111E-3</v>
      </c>
      <c r="E1244" s="29">
        <f>Cours_Hist_figé!E1308/Cours_Hist_figé!E1244 - 1</f>
        <v>-1.3905267653108178E-3</v>
      </c>
    </row>
    <row r="1245" spans="1:5" x14ac:dyDescent="0.4">
      <c r="A1245" s="27">
        <v>43888</v>
      </c>
      <c r="B1245" s="29">
        <f>Cours_Hist_figé!B1309/Cours_Hist_figé!B1245 - 1</f>
        <v>-4.6743947478973258E-2</v>
      </c>
      <c r="C1245" s="29">
        <f>Cours_Hist_figé!C1309/Cours_Hist_figé!C1245 - 1</f>
        <v>1.3374814337543173E-2</v>
      </c>
      <c r="D1245" s="29">
        <f>Cours_Hist_figé!D1309/Cours_Hist_figé!D1245 - 1</f>
        <v>-1.1710276121590368E-3</v>
      </c>
      <c r="E1245" s="29">
        <f>Cours_Hist_figé!E1309/Cours_Hist_figé!E1245 - 1</f>
        <v>-1.390687467264895E-3</v>
      </c>
    </row>
    <row r="1246" spans="1:5" x14ac:dyDescent="0.4">
      <c r="A1246" s="27">
        <v>43889</v>
      </c>
      <c r="B1246" s="29">
        <f>Cours_Hist_figé!B1310/Cours_Hist_figé!B1246 - 1</f>
        <v>-8.2905428756435251E-2</v>
      </c>
      <c r="C1246" s="29">
        <f>Cours_Hist_figé!C1310/Cours_Hist_figé!C1246 - 1</f>
        <v>1.5191630735279071E-2</v>
      </c>
      <c r="D1246" s="29">
        <f>Cours_Hist_figé!D1310/Cours_Hist_figé!D1246 - 1</f>
        <v>-1.1712270835252392E-3</v>
      </c>
      <c r="E1246" s="29">
        <f>Cours_Hist_figé!E1310/Cours_Hist_figé!E1246 - 1</f>
        <v>-1.3908381653543467E-3</v>
      </c>
    </row>
    <row r="1247" spans="1:5" x14ac:dyDescent="0.4">
      <c r="A1247" s="27">
        <v>43892</v>
      </c>
      <c r="B1247" s="29">
        <f>Cours_Hist_figé!B1311/Cours_Hist_figé!B1247 - 1</f>
        <v>-8.0408688375113946E-2</v>
      </c>
      <c r="C1247" s="29">
        <f>Cours_Hist_figé!C1311/Cours_Hist_figé!C1247 - 1</f>
        <v>1.6116058420711621E-2</v>
      </c>
      <c r="D1247" s="29">
        <f>Cours_Hist_figé!D1311/Cours_Hist_figé!D1247 - 1</f>
        <v>-1.1967035478470667E-3</v>
      </c>
      <c r="E1247" s="29">
        <f>Cours_Hist_figé!E1311/Cours_Hist_figé!E1247 - 1</f>
        <v>-1.4209751579017382E-3</v>
      </c>
    </row>
    <row r="1248" spans="1:5" x14ac:dyDescent="0.4">
      <c r="A1248" s="27">
        <v>43893</v>
      </c>
      <c r="B1248" s="29">
        <f>Cours_Hist_figé!B1312/Cours_Hist_figé!B1248 - 1</f>
        <v>-6.425601175265383E-2</v>
      </c>
      <c r="C1248" s="29">
        <f>Cours_Hist_figé!C1312/Cours_Hist_figé!C1248 - 1</f>
        <v>1.9161122299664823E-2</v>
      </c>
      <c r="D1248" s="29">
        <f>Cours_Hist_figé!D1312/Cours_Hist_figé!D1248 - 1</f>
        <v>-1.1970035269617263E-3</v>
      </c>
      <c r="E1248" s="29">
        <f>Cours_Hist_figé!E1312/Cours_Hist_figé!E1248 - 1</f>
        <v>-1.4212963750701579E-3</v>
      </c>
    </row>
    <row r="1249" spans="1:5" x14ac:dyDescent="0.4">
      <c r="A1249" s="27">
        <v>43894</v>
      </c>
      <c r="B1249" s="29">
        <f>Cours_Hist_figé!B1313/Cours_Hist_figé!B1249 - 1</f>
        <v>-3.5530324821855364E-2</v>
      </c>
      <c r="C1249" s="29">
        <f>Cours_Hist_figé!C1313/Cours_Hist_figé!C1249 - 1</f>
        <v>2.5306572394893312E-2</v>
      </c>
      <c r="D1249" s="29">
        <f>Cours_Hist_figé!D1313/Cours_Hist_figé!D1249 - 1</f>
        <v>-1.1725250880578741E-3</v>
      </c>
      <c r="E1249" s="29">
        <f>Cours_Hist_figé!E1313/Cours_Hist_figé!E1249 - 1</f>
        <v>-1.3920519862227199E-3</v>
      </c>
    </row>
    <row r="1250" spans="1:5" x14ac:dyDescent="0.4">
      <c r="A1250" s="27">
        <v>43895</v>
      </c>
      <c r="B1250" s="29">
        <f>Cours_Hist_figé!B1314/Cours_Hist_figé!B1250 - 1</f>
        <v>-4.2379334833537285E-2</v>
      </c>
      <c r="C1250" s="29">
        <f>Cours_Hist_figé!C1314/Cours_Hist_figé!C1250 - 1</f>
        <v>2.0259856640912233E-2</v>
      </c>
      <c r="D1250" s="29">
        <f>Cours_Hist_figé!D1314/Cours_Hist_figé!D1250 - 1</f>
        <v>-1.172532264309134E-3</v>
      </c>
      <c r="E1250" s="29">
        <f>Cours_Hist_figé!E1314/Cours_Hist_figé!E1250 - 1</f>
        <v>-1.3920528817740196E-3</v>
      </c>
    </row>
    <row r="1251" spans="1:5" x14ac:dyDescent="0.4">
      <c r="A1251" s="27">
        <v>43896</v>
      </c>
      <c r="B1251" s="29">
        <f>Cours_Hist_figé!B1315/Cours_Hist_figé!B1251 - 1</f>
        <v>-8.8195477942249245E-2</v>
      </c>
      <c r="C1251" s="29">
        <f>Cours_Hist_figé!C1315/Cours_Hist_figé!C1251 - 1</f>
        <v>2.2793864022862875E-2</v>
      </c>
      <c r="D1251" s="29">
        <f>Cours_Hist_figé!D1315/Cours_Hist_figé!D1251 - 1</f>
        <v>-1.1725316253257123E-3</v>
      </c>
      <c r="E1251" s="29">
        <f>Cours_Hist_figé!E1315/Cours_Hist_figé!E1251 - 1</f>
        <v>-1.3920737270065597E-3</v>
      </c>
    </row>
    <row r="1252" spans="1:5" x14ac:dyDescent="0.4">
      <c r="A1252" s="27">
        <v>43899</v>
      </c>
      <c r="B1252" s="29">
        <f>Cours_Hist_figé!B1316/Cours_Hist_figé!B1252 - 1</f>
        <v>-0.15597755426151394</v>
      </c>
      <c r="C1252" s="29">
        <f>Cours_Hist_figé!C1316/Cours_Hist_figé!C1252 - 1</f>
        <v>2.2817019391716764E-2</v>
      </c>
      <c r="D1252" s="29">
        <f>Cours_Hist_figé!D1316/Cours_Hist_figé!D1252 - 1</f>
        <v>-1.1979026711035345E-3</v>
      </c>
      <c r="E1252" s="29">
        <f>Cours_Hist_figé!E1316/Cours_Hist_figé!E1252 - 1</f>
        <v>-1.4221140415102695E-3</v>
      </c>
    </row>
    <row r="1253" spans="1:5" x14ac:dyDescent="0.4">
      <c r="A1253" s="27">
        <v>43900</v>
      </c>
      <c r="B1253" s="29">
        <f>Cours_Hist_figé!B1317/Cours_Hist_figé!B1253 - 1</f>
        <v>-0.17458014222450646</v>
      </c>
      <c r="C1253" s="29">
        <f>Cours_Hist_figé!C1317/Cours_Hist_figé!C1253 - 1</f>
        <v>2.0739241139590137E-2</v>
      </c>
      <c r="D1253" s="29">
        <f>Cours_Hist_figé!D1317/Cours_Hist_figé!D1253 - 1</f>
        <v>-1.197894644631714E-3</v>
      </c>
      <c r="E1253" s="29">
        <f>Cours_Hist_figé!E1317/Cours_Hist_figé!E1253 - 1</f>
        <v>-1.4220953261523395E-3</v>
      </c>
    </row>
    <row r="1254" spans="1:5" x14ac:dyDescent="0.4">
      <c r="A1254" s="27">
        <v>43901</v>
      </c>
      <c r="B1254" s="29">
        <f>Cours_Hist_figé!B1318/Cours_Hist_figé!B1254 - 1</f>
        <v>-0.17903244141363173</v>
      </c>
      <c r="C1254" s="29">
        <f>Cours_Hist_figé!C1318/Cours_Hist_figé!C1254 - 1</f>
        <v>2.0735554271892109E-2</v>
      </c>
      <c r="D1254" s="29">
        <f>Cours_Hist_figé!D1318/Cours_Hist_figé!D1254 - 1</f>
        <v>-1.1726211546926324E-3</v>
      </c>
      <c r="E1254" s="29">
        <f>Cours_Hist_figé!E1318/Cours_Hist_figé!E1254 - 1</f>
        <v>-1.3920781510590174E-3</v>
      </c>
    </row>
    <row r="1255" spans="1:5" x14ac:dyDescent="0.4">
      <c r="A1255" s="27">
        <v>43902</v>
      </c>
      <c r="B1255" s="29">
        <f>Cours_Hist_figé!B1319/Cours_Hist_figé!B1255 - 1</f>
        <v>-0.27218719184893791</v>
      </c>
      <c r="C1255" s="29">
        <f>Cours_Hist_figé!C1319/Cours_Hist_figé!C1255 - 1</f>
        <v>7.9795755357698894E-3</v>
      </c>
      <c r="D1255" s="29">
        <f>Cours_Hist_figé!D1319/Cours_Hist_figé!D1255 - 1</f>
        <v>-1.1726283327985199E-3</v>
      </c>
      <c r="E1255" s="29">
        <f>Cours_Hist_figé!E1319/Cours_Hist_figé!E1255 - 1</f>
        <v>-1.3921391104818603E-3</v>
      </c>
    </row>
    <row r="1256" spans="1:5" x14ac:dyDescent="0.4">
      <c r="A1256" s="27">
        <v>43903</v>
      </c>
      <c r="B1256" s="29">
        <f>Cours_Hist_figé!B1320/Cours_Hist_figé!B1256 - 1</f>
        <v>-0.26327130026124113</v>
      </c>
      <c r="C1256" s="29">
        <f>Cours_Hist_figé!C1320/Cours_Hist_figé!C1256 - 1</f>
        <v>-2.2147724836576455E-3</v>
      </c>
      <c r="D1256" s="29">
        <f>Cours_Hist_figé!D1320/Cours_Hist_figé!D1256 - 1</f>
        <v>-1.1725276129000983E-3</v>
      </c>
      <c r="E1256" s="29">
        <f>Cours_Hist_figé!E1320/Cours_Hist_figé!E1256 - 1</f>
        <v>-1.3920200042923936E-3</v>
      </c>
    </row>
    <row r="1257" spans="1:5" x14ac:dyDescent="0.4">
      <c r="A1257" s="27">
        <v>43906</v>
      </c>
      <c r="B1257" s="29">
        <f>Cours_Hist_figé!B1321/Cours_Hist_figé!B1257 - 1</f>
        <v>-0.30070264289734405</v>
      </c>
      <c r="C1257" s="29">
        <f>Cours_Hist_figé!C1321/Cours_Hist_figé!C1257 - 1</f>
        <v>-1.2163268840848396E-2</v>
      </c>
      <c r="D1257" s="29">
        <f>Cours_Hist_figé!D1321/Cours_Hist_figé!D1257 - 1</f>
        <v>-1.1977931181492707E-3</v>
      </c>
      <c r="E1257" s="29">
        <f>Cours_Hist_figé!E1321/Cours_Hist_figé!E1257 - 1</f>
        <v>-1.421953502087514E-3</v>
      </c>
    </row>
    <row r="1258" spans="1:5" x14ac:dyDescent="0.4">
      <c r="A1258" s="27">
        <v>43907</v>
      </c>
      <c r="B1258" s="29">
        <f>Cours_Hist_figé!B1322/Cours_Hist_figé!B1258 - 1</f>
        <v>-0.29069647120373765</v>
      </c>
      <c r="C1258" s="29">
        <f>Cours_Hist_figé!C1322/Cours_Hist_figé!C1258 - 1</f>
        <v>-2.0134384454305376E-2</v>
      </c>
      <c r="D1258" s="29">
        <f>Cours_Hist_figé!D1322/Cours_Hist_figé!D1258 - 1</f>
        <v>-1.1975925132373666E-3</v>
      </c>
      <c r="E1258" s="29">
        <f>Cours_Hist_figé!E1322/Cours_Hist_figé!E1258 - 1</f>
        <v>-1.4217247217942486E-3</v>
      </c>
    </row>
    <row r="1259" spans="1:5" x14ac:dyDescent="0.4">
      <c r="A1259" s="27">
        <v>43908</v>
      </c>
      <c r="B1259" s="29">
        <f>Cours_Hist_figé!B1323/Cours_Hist_figé!B1259 - 1</f>
        <v>-0.3282625051692809</v>
      </c>
      <c r="C1259" s="29">
        <f>Cours_Hist_figé!C1323/Cours_Hist_figé!C1259 - 1</f>
        <v>-3.1210693980595949E-2</v>
      </c>
      <c r="D1259" s="29">
        <f>Cours_Hist_figé!D1323/Cours_Hist_figé!D1259 - 1</f>
        <v>-1.1718313706716721E-3</v>
      </c>
      <c r="E1259" s="29">
        <f>Cours_Hist_figé!E1323/Cours_Hist_figé!E1259 - 1</f>
        <v>-1.3912740940315027E-3</v>
      </c>
    </row>
    <row r="1260" spans="1:5" x14ac:dyDescent="0.4">
      <c r="A1260" s="27">
        <v>43909</v>
      </c>
      <c r="B1260" s="29">
        <f>Cours_Hist_figé!B1324/Cours_Hist_figé!B1260 - 1</f>
        <v>-0.3027877253503396</v>
      </c>
      <c r="C1260" s="29">
        <f>Cours_Hist_figé!C1324/Cours_Hist_figé!C1260 - 1</f>
        <v>-2.8747061742631641E-2</v>
      </c>
      <c r="D1260" s="29">
        <f>Cours_Hist_figé!D1324/Cours_Hist_figé!D1260 - 1</f>
        <v>-1.1714300113291332E-3</v>
      </c>
      <c r="E1260" s="29">
        <f>Cours_Hist_figé!E1324/Cours_Hist_figé!E1260 - 1</f>
        <v>-1.3908845944725634E-3</v>
      </c>
    </row>
    <row r="1261" spans="1:5" x14ac:dyDescent="0.4">
      <c r="A1261" s="27">
        <v>43910</v>
      </c>
      <c r="B1261" s="29">
        <f>Cours_Hist_figé!B1325/Cours_Hist_figé!B1261 - 1</f>
        <v>-0.29028579934259491</v>
      </c>
      <c r="C1261" s="29">
        <f>Cours_Hist_figé!C1325/Cours_Hist_figé!C1261 - 1</f>
        <v>-1.7212375026249838E-2</v>
      </c>
      <c r="D1261" s="29">
        <f>Cours_Hist_figé!D1325/Cours_Hist_figé!D1261 - 1</f>
        <v>-1.1711286155599021E-3</v>
      </c>
      <c r="E1261" s="29">
        <f>Cours_Hist_figé!E1325/Cours_Hist_figé!E1261 - 1</f>
        <v>-1.390614959914549E-3</v>
      </c>
    </row>
    <row r="1262" spans="1:5" x14ac:dyDescent="0.4">
      <c r="A1262" s="27">
        <v>43913</v>
      </c>
      <c r="B1262" s="29">
        <f>Cours_Hist_figé!B1326/Cours_Hist_figé!B1262 - 1</f>
        <v>-0.32146436724431326</v>
      </c>
      <c r="C1262" s="29">
        <f>Cours_Hist_figé!C1326/Cours_Hist_figé!C1262 - 1</f>
        <v>-1.6521158478314035E-2</v>
      </c>
      <c r="D1262" s="29">
        <f>Cours_Hist_figé!D1326/Cours_Hist_figé!D1262 - 1</f>
        <v>-1.1951011997215488E-3</v>
      </c>
      <c r="E1262" s="29">
        <f>Cours_Hist_figé!E1326/Cours_Hist_figé!E1262 - 1</f>
        <v>-1.4192298770145939E-3</v>
      </c>
    </row>
    <row r="1263" spans="1:5" x14ac:dyDescent="0.4">
      <c r="A1263" s="27">
        <v>43914</v>
      </c>
      <c r="B1263" s="29">
        <f>Cours_Hist_figé!B1327/Cours_Hist_figé!B1263 - 1</f>
        <v>-0.26928956666074821</v>
      </c>
      <c r="C1263" s="29">
        <f>Cours_Hist_figé!C1327/Cours_Hist_figé!C1263 - 1</f>
        <v>-2.2025373187730235E-2</v>
      </c>
      <c r="D1263" s="29">
        <f>Cours_Hist_figé!D1327/Cours_Hist_figé!D1263 - 1</f>
        <v>-1.1947000010970044E-3</v>
      </c>
      <c r="E1263" s="29">
        <f>Cours_Hist_figé!E1327/Cours_Hist_figé!E1263 - 1</f>
        <v>-1.4188206436737127E-3</v>
      </c>
    </row>
    <row r="1264" spans="1:5" x14ac:dyDescent="0.4">
      <c r="A1264" s="27">
        <v>43915</v>
      </c>
      <c r="B1264" s="29">
        <f>Cours_Hist_figé!B1328/Cours_Hist_figé!B1264 - 1</f>
        <v>-0.24596432038409788</v>
      </c>
      <c r="C1264" s="29">
        <f>Cours_Hist_figé!C1328/Cours_Hist_figé!C1264 - 1</f>
        <v>-2.4329484663034529E-2</v>
      </c>
      <c r="D1264" s="29">
        <f>Cours_Hist_figé!D1328/Cours_Hist_figé!D1264 - 1</f>
        <v>-1.1691288437940539E-3</v>
      </c>
      <c r="E1264" s="29">
        <f>Cours_Hist_figé!E1328/Cours_Hist_figé!E1264 - 1</f>
        <v>-1.3885064939915814E-3</v>
      </c>
    </row>
    <row r="1265" spans="1:5" x14ac:dyDescent="0.4">
      <c r="A1265" s="27">
        <v>43916</v>
      </c>
      <c r="B1265" s="29">
        <f>Cours_Hist_figé!B1329/Cours_Hist_figé!B1265 - 1</f>
        <v>-0.2281574246698358</v>
      </c>
      <c r="C1265" s="29">
        <f>Cours_Hist_figé!C1329/Cours_Hist_figé!C1265 - 1</f>
        <v>-1.4340150726446232E-2</v>
      </c>
      <c r="D1265" s="29">
        <f>Cours_Hist_figé!D1329/Cours_Hist_figé!D1265 - 1</f>
        <v>-1.16862730671774E-3</v>
      </c>
      <c r="E1265" s="29">
        <f>Cours_Hist_figé!E1329/Cours_Hist_figé!E1265 - 1</f>
        <v>-1.3880068557975411E-3</v>
      </c>
    </row>
    <row r="1266" spans="1:5" x14ac:dyDescent="0.4">
      <c r="A1266" s="27">
        <v>43917</v>
      </c>
      <c r="B1266" s="29">
        <f>Cours_Hist_figé!B1330/Cours_Hist_figé!B1266 - 1</f>
        <v>-0.25552603214105207</v>
      </c>
      <c r="C1266" s="29">
        <f>Cours_Hist_figé!C1330/Cours_Hist_figé!C1266 - 1</f>
        <v>-1.0679423805730837E-2</v>
      </c>
      <c r="D1266" s="29">
        <f>Cours_Hist_figé!D1330/Cours_Hist_figé!D1266 - 1</f>
        <v>-1.1422607218268821E-3</v>
      </c>
      <c r="E1266" s="29">
        <f>Cours_Hist_figé!E1330/Cours_Hist_figé!E1266 - 1</f>
        <v>-1.3569795973230603E-3</v>
      </c>
    </row>
    <row r="1267" spans="1:5" x14ac:dyDescent="0.4">
      <c r="A1267" s="27">
        <v>43920</v>
      </c>
      <c r="B1267" s="29">
        <f>Cours_Hist_figé!B1331/Cours_Hist_figé!B1267 - 1</f>
        <v>-0.23858647640134123</v>
      </c>
      <c r="C1267" s="29">
        <f>Cours_Hist_figé!C1331/Cours_Hist_figé!C1267 - 1</f>
        <v>-6.2005081627994896E-3</v>
      </c>
      <c r="D1267" s="29">
        <f>Cours_Hist_figé!D1331/Cours_Hist_figé!D1267 - 1</f>
        <v>-1.1412634571994484E-3</v>
      </c>
      <c r="E1267" s="29">
        <f>Cours_Hist_figé!E1331/Cours_Hist_figé!E1267 - 1</f>
        <v>-1.3559894539337813E-3</v>
      </c>
    </row>
    <row r="1268" spans="1:5" x14ac:dyDescent="0.4">
      <c r="A1268" s="27">
        <v>43921</v>
      </c>
      <c r="B1268" s="29">
        <f>Cours_Hist_figé!B1332/Cours_Hist_figé!B1268 - 1</f>
        <v>-0.2258947929260845</v>
      </c>
      <c r="C1268" s="29">
        <f>Cours_Hist_figé!C1332/Cours_Hist_figé!C1268 - 1</f>
        <v>-1.1262689276432591E-2</v>
      </c>
      <c r="D1268" s="29">
        <f>Cours_Hist_figé!D1332/Cours_Hist_figé!D1268 - 1</f>
        <v>-1.1408616380669256E-3</v>
      </c>
      <c r="E1268" s="29">
        <f>Cours_Hist_figé!E1332/Cours_Hist_figé!E1268 - 1</f>
        <v>-1.3556293133847319E-3</v>
      </c>
    </row>
    <row r="1269" spans="1:5" x14ac:dyDescent="0.4">
      <c r="A1269" s="27">
        <v>43922</v>
      </c>
      <c r="B1269" s="29">
        <f>Cours_Hist_figé!B1333/Cours_Hist_figé!B1269 - 1</f>
        <v>-0.25475819400193456</v>
      </c>
      <c r="C1269" s="29">
        <f>Cours_Hist_figé!C1333/Cours_Hist_figé!C1269 - 1</f>
        <v>-1.3593294598049033E-2</v>
      </c>
      <c r="D1269" s="29">
        <f>Cours_Hist_figé!D1333/Cours_Hist_figé!D1269 - 1</f>
        <v>-1.1281764492947488E-3</v>
      </c>
      <c r="E1269" s="29">
        <f>Cours_Hist_figé!E1333/Cours_Hist_figé!E1269 - 1</f>
        <v>-1.340648261620947E-3</v>
      </c>
    </row>
    <row r="1270" spans="1:5" x14ac:dyDescent="0.4">
      <c r="A1270" s="27">
        <v>43923</v>
      </c>
      <c r="B1270" s="29">
        <f>Cours_Hist_figé!B1334/Cours_Hist_figé!B1270 - 1</f>
        <v>-0.24935011320346046</v>
      </c>
      <c r="C1270" s="29">
        <f>Cours_Hist_figé!C1334/Cours_Hist_figé!C1270 - 1</f>
        <v>-1.7627545815951828E-2</v>
      </c>
      <c r="D1270" s="29">
        <f>Cours_Hist_figé!D1334/Cours_Hist_figé!D1270 - 1</f>
        <v>-1.127874564564646E-3</v>
      </c>
      <c r="E1270" s="29">
        <f>Cours_Hist_figé!E1334/Cours_Hist_figé!E1270 - 1</f>
        <v>-1.3403178364436164E-3</v>
      </c>
    </row>
    <row r="1271" spans="1:5" x14ac:dyDescent="0.4">
      <c r="A1271" s="27">
        <v>43924</v>
      </c>
      <c r="B1271" s="29">
        <f>Cours_Hist_figé!B1335/Cours_Hist_figé!B1271 - 1</f>
        <v>-0.2537837711947164</v>
      </c>
      <c r="C1271" s="29">
        <f>Cours_Hist_figé!C1335/Cours_Hist_figé!C1271 - 1</f>
        <v>-1.8440322136538012E-2</v>
      </c>
      <c r="D1271" s="29">
        <f>Cours_Hist_figé!D1335/Cours_Hist_figé!D1271 - 1</f>
        <v>-1.1027047341939378E-3</v>
      </c>
      <c r="E1271" s="29">
        <f>Cours_Hist_figé!E1335/Cours_Hist_figé!E1271 - 1</f>
        <v>-1.3104340855470964E-3</v>
      </c>
    </row>
    <row r="1272" spans="1:5" x14ac:dyDescent="0.4">
      <c r="A1272" s="27">
        <v>43927</v>
      </c>
      <c r="B1272" s="29">
        <f>Cours_Hist_figé!B1336/Cours_Hist_figé!B1272 - 1</f>
        <v>-0.22814727475171737</v>
      </c>
      <c r="C1272" s="29">
        <f>Cours_Hist_figé!C1336/Cours_Hist_figé!C1272 - 1</f>
        <v>-1.8060146102187313E-2</v>
      </c>
      <c r="D1272" s="29">
        <f>Cours_Hist_figé!D1336/Cours_Hist_figé!D1272 - 1</f>
        <v>-1.1278773268060815E-3</v>
      </c>
      <c r="E1272" s="29">
        <f>Cours_Hist_figé!E1336/Cours_Hist_figé!E1272 - 1</f>
        <v>-1.3403378024613444E-3</v>
      </c>
    </row>
    <row r="1273" spans="1:5" x14ac:dyDescent="0.4">
      <c r="A1273" s="27">
        <v>43928</v>
      </c>
      <c r="B1273" s="29">
        <f>Cours_Hist_figé!B1337/Cours_Hist_figé!B1273 - 1</f>
        <v>-0.2159579265056828</v>
      </c>
      <c r="C1273" s="29">
        <f>Cours_Hist_figé!C1337/Cours_Hist_figé!C1273 - 1</f>
        <v>-2.1309334845973749E-2</v>
      </c>
      <c r="D1273" s="29">
        <f>Cours_Hist_figé!D1337/Cours_Hist_figé!D1273 - 1</f>
        <v>-1.1276756457134773E-3</v>
      </c>
      <c r="E1273" s="29">
        <f>Cours_Hist_figé!E1337/Cours_Hist_figé!E1273 - 1</f>
        <v>-1.3401475972054655E-3</v>
      </c>
    </row>
    <row r="1274" spans="1:5" x14ac:dyDescent="0.4">
      <c r="A1274" s="27">
        <v>43929</v>
      </c>
      <c r="B1274" s="29">
        <f>Cours_Hist_figé!B1338/Cours_Hist_figé!B1274 - 1</f>
        <v>-0.21835279142902131</v>
      </c>
      <c r="C1274" s="29">
        <f>Cours_Hist_figé!C1338/Cours_Hist_figé!C1274 - 1</f>
        <v>-1.9714733466668077E-2</v>
      </c>
      <c r="D1274" s="29">
        <f>Cours_Hist_figé!D1338/Cours_Hist_figé!D1274 - 1</f>
        <v>-1.1275740828717851E-3</v>
      </c>
      <c r="E1274" s="29">
        <f>Cours_Hist_figé!E1338/Cours_Hist_figé!E1274 - 1</f>
        <v>-1.3400673910533012E-3</v>
      </c>
    </row>
    <row r="1275" spans="1:5" x14ac:dyDescent="0.4">
      <c r="A1275" s="27">
        <v>43930</v>
      </c>
      <c r="B1275" s="29">
        <f>Cours_Hist_figé!B1339/Cours_Hist_figé!B1275 - 1</f>
        <v>-0.20570073730164351</v>
      </c>
      <c r="C1275" s="29">
        <f>Cours_Hist_figé!C1339/Cours_Hist_figé!C1275 - 1</f>
        <v>-1.6408090172737033E-2</v>
      </c>
      <c r="D1275" s="29">
        <f>Cours_Hist_figé!D1339/Cours_Hist_figé!D1275 - 1</f>
        <v>-1.12748034109178E-3</v>
      </c>
      <c r="E1275" s="29">
        <f>Cours_Hist_figé!E1339/Cours_Hist_figé!E1275 - 1</f>
        <v>-1.3399572576149321E-3</v>
      </c>
    </row>
    <row r="1276" spans="1:5" x14ac:dyDescent="0.4">
      <c r="A1276" s="27">
        <v>43935</v>
      </c>
      <c r="B1276" s="29">
        <f>Cours_Hist_figé!B1340/Cours_Hist_figé!B1276 - 1</f>
        <v>-0.19932544671647923</v>
      </c>
      <c r="C1276" s="29">
        <f>Cours_Hist_figé!C1340/Cours_Hist_figé!C1276 - 1</f>
        <v>-1.2266763966777616E-2</v>
      </c>
      <c r="D1276" s="29">
        <f>Cours_Hist_figé!D1340/Cours_Hist_figé!D1276 - 1</f>
        <v>-1.1523518661487042E-3</v>
      </c>
      <c r="E1276" s="29">
        <f>Cours_Hist_figé!E1340/Cours_Hist_figé!E1276 - 1</f>
        <v>-1.3695235234379988E-3</v>
      </c>
    </row>
    <row r="1277" spans="1:5" x14ac:dyDescent="0.4">
      <c r="A1277" s="27">
        <v>43936</v>
      </c>
      <c r="B1277" s="29">
        <f>Cours_Hist_figé!B1341/Cours_Hist_figé!B1277 - 1</f>
        <v>-0.22747591667651146</v>
      </c>
      <c r="C1277" s="29">
        <f>Cours_Hist_figé!C1341/Cours_Hist_figé!C1277 - 1</f>
        <v>-1.1467225178308671E-2</v>
      </c>
      <c r="D1277" s="29">
        <f>Cours_Hist_figé!D1341/Cours_Hist_figé!D1277 - 1</f>
        <v>-1.1522430187855814E-3</v>
      </c>
      <c r="E1277" s="29">
        <f>Cours_Hist_figé!E1341/Cours_Hist_figé!E1277 - 1</f>
        <v>-1.3694437896597522E-3</v>
      </c>
    </row>
    <row r="1278" spans="1:5" x14ac:dyDescent="0.4">
      <c r="A1278" s="27">
        <v>43937</v>
      </c>
      <c r="B1278" s="29">
        <f>Cours_Hist_figé!B1342/Cours_Hist_figé!B1278 - 1</f>
        <v>-0.22317902591080663</v>
      </c>
      <c r="C1278" s="29">
        <f>Cours_Hist_figé!C1342/Cours_Hist_figé!C1278 - 1</f>
        <v>-1.2634264970643128E-2</v>
      </c>
      <c r="D1278" s="29">
        <f>Cours_Hist_figé!D1342/Cours_Hist_figé!D1278 - 1</f>
        <v>-1.1521495819343253E-3</v>
      </c>
      <c r="E1278" s="29">
        <f>Cours_Hist_figé!E1342/Cours_Hist_figé!E1278 - 1</f>
        <v>-1.3693640946500496E-3</v>
      </c>
    </row>
    <row r="1279" spans="1:5" x14ac:dyDescent="0.4">
      <c r="A1279" s="27">
        <v>43938</v>
      </c>
      <c r="B1279" s="29">
        <f>Cours_Hist_figé!B1343/Cours_Hist_figé!B1279 - 1</f>
        <v>-0.20464425821123255</v>
      </c>
      <c r="C1279" s="29">
        <f>Cours_Hist_figé!C1343/Cours_Hist_figé!C1279 - 1</f>
        <v>-1.1447177337611025E-2</v>
      </c>
      <c r="D1279" s="29">
        <f>Cours_Hist_figé!D1343/Cours_Hist_figé!D1279 - 1</f>
        <v>-1.1520484315609147E-3</v>
      </c>
      <c r="E1279" s="29">
        <f>Cours_Hist_figé!E1343/Cours_Hist_figé!E1279 - 1</f>
        <v>-1.3692543488837972E-3</v>
      </c>
    </row>
    <row r="1280" spans="1:5" x14ac:dyDescent="0.4">
      <c r="A1280" s="27">
        <v>43941</v>
      </c>
      <c r="B1280" s="29">
        <f>Cours_Hist_figé!B1344/Cours_Hist_figé!B1280 - 1</f>
        <v>-0.20699569412439511</v>
      </c>
      <c r="C1280" s="29">
        <f>Cours_Hist_figé!C1344/Cours_Hist_figé!C1280 - 1</f>
        <v>-1.55734249214734E-2</v>
      </c>
      <c r="D1280" s="29">
        <f>Cours_Hist_figé!D1344/Cours_Hist_figé!D1280 - 1</f>
        <v>-1.1772169750799977E-3</v>
      </c>
      <c r="E1280" s="29">
        <f>Cours_Hist_figé!E1344/Cours_Hist_figé!E1280 - 1</f>
        <v>-1.3991532882967617E-3</v>
      </c>
    </row>
    <row r="1281" spans="1:5" x14ac:dyDescent="0.4">
      <c r="A1281" s="27">
        <v>43942</v>
      </c>
      <c r="B1281" s="29">
        <f>Cours_Hist_figé!B1345/Cours_Hist_figé!B1281 - 1</f>
        <v>-0.23315150074141422</v>
      </c>
      <c r="C1281" s="29">
        <f>Cours_Hist_figé!C1345/Cours_Hist_figé!C1281 - 1</f>
        <v>-1.8409372948029801E-2</v>
      </c>
      <c r="D1281" s="29">
        <f>Cours_Hist_figé!D1345/Cours_Hist_figé!D1281 - 1</f>
        <v>-1.1522450749346103E-3</v>
      </c>
      <c r="E1281" s="29">
        <f>Cours_Hist_figé!E1345/Cours_Hist_figé!E1281 - 1</f>
        <v>-1.3694762447272746E-3</v>
      </c>
    </row>
    <row r="1282" spans="1:5" x14ac:dyDescent="0.4">
      <c r="A1282" s="27">
        <v>43943</v>
      </c>
      <c r="B1282" s="29">
        <f>Cours_Hist_figé!B1346/Cours_Hist_figé!B1282 - 1</f>
        <v>-0.21736090634190719</v>
      </c>
      <c r="C1282" s="29">
        <f>Cours_Hist_figé!C1346/Cours_Hist_figé!C1282 - 1</f>
        <v>-2.3060215247715399E-2</v>
      </c>
      <c r="D1282" s="29">
        <f>Cours_Hist_figé!D1346/Cours_Hist_figé!D1282 - 1</f>
        <v>-1.1523521251248781E-3</v>
      </c>
      <c r="E1282" s="29">
        <f>Cours_Hist_figé!E1346/Cours_Hist_figé!E1282 - 1</f>
        <v>-1.3695568130179803E-3</v>
      </c>
    </row>
    <row r="1283" spans="1:5" x14ac:dyDescent="0.4">
      <c r="A1283" s="27">
        <v>43944</v>
      </c>
      <c r="B1283" s="29">
        <f>Cours_Hist_figé!B1347/Cours_Hist_figé!B1283 - 1</f>
        <v>-0.20944009103307315</v>
      </c>
      <c r="C1283" s="29">
        <f>Cours_Hist_figé!C1347/Cours_Hist_figé!C1283 - 1</f>
        <v>-1.9785335234820844E-2</v>
      </c>
      <c r="D1283" s="29">
        <f>Cours_Hist_figé!D1347/Cours_Hist_figé!D1283 - 1</f>
        <v>-1.1524513596136154E-3</v>
      </c>
      <c r="E1283" s="29">
        <f>Cours_Hist_figé!E1347/Cours_Hist_figé!E1283 - 1</f>
        <v>-1.3696673250220837E-3</v>
      </c>
    </row>
    <row r="1284" spans="1:5" x14ac:dyDescent="0.4">
      <c r="A1284" s="27">
        <v>43945</v>
      </c>
      <c r="B1284" s="29">
        <f>Cours_Hist_figé!B1348/Cours_Hist_figé!B1284 - 1</f>
        <v>-0.21270943549204424</v>
      </c>
      <c r="C1284" s="29">
        <f>Cours_Hist_figé!C1348/Cours_Hist_figé!C1284 - 1</f>
        <v>-1.8897039995327991E-2</v>
      </c>
      <c r="D1284" s="29">
        <f>Cours_Hist_figé!D1348/Cours_Hist_figé!D1284 - 1</f>
        <v>-1.1525505965832572E-3</v>
      </c>
      <c r="E1284" s="29">
        <f>Cours_Hist_figé!E1348/Cours_Hist_figé!E1284 - 1</f>
        <v>-1.3697478162444376E-3</v>
      </c>
    </row>
    <row r="1285" spans="1:5" x14ac:dyDescent="0.4">
      <c r="A1285" s="27">
        <v>43948</v>
      </c>
      <c r="B1285" s="29">
        <f>Cours_Hist_figé!B1349/Cours_Hist_figé!B1285 - 1</f>
        <v>-0.20441187585126719</v>
      </c>
      <c r="C1285" s="29">
        <f>Cours_Hist_figé!C1349/Cours_Hist_figé!C1285 - 1</f>
        <v>-1.8226290957269242E-2</v>
      </c>
      <c r="D1285" s="29">
        <f>Cours_Hist_figé!D1349/Cours_Hist_figé!D1285 - 1</f>
        <v>-1.1777214742619835E-3</v>
      </c>
      <c r="E1285" s="29">
        <f>Cours_Hist_figé!E1349/Cours_Hist_figé!E1285 - 1</f>
        <v>-1.3997000113346036E-3</v>
      </c>
    </row>
    <row r="1286" spans="1:5" x14ac:dyDescent="0.4">
      <c r="A1286" s="27">
        <v>43949</v>
      </c>
      <c r="B1286" s="29">
        <f>Cours_Hist_figé!B1350/Cours_Hist_figé!B1286 - 1</f>
        <v>-0.1721384154767388</v>
      </c>
      <c r="C1286" s="29">
        <f>Cours_Hist_figé!C1350/Cours_Hist_figé!C1286 - 1</f>
        <v>-2.1256861462632837E-2</v>
      </c>
      <c r="D1286" s="29">
        <f>Cours_Hist_figé!D1350/Cours_Hist_figé!D1286 - 1</f>
        <v>-1.1526471389854409E-3</v>
      </c>
      <c r="E1286" s="29">
        <f>Cours_Hist_figé!E1350/Cours_Hist_figé!E1286 - 1</f>
        <v>-1.3699698058470267E-3</v>
      </c>
    </row>
    <row r="1287" spans="1:5" x14ac:dyDescent="0.4">
      <c r="A1287" s="27">
        <v>43950</v>
      </c>
      <c r="B1287" s="29">
        <f>Cours_Hist_figé!B1351/Cours_Hist_figé!B1287 - 1</f>
        <v>-0.16432663839027695</v>
      </c>
      <c r="C1287" s="29">
        <f>Cours_Hist_figé!C1351/Cours_Hist_figé!C1287 - 1</f>
        <v>-1.8438653067793798E-2</v>
      </c>
      <c r="D1287" s="29">
        <f>Cours_Hist_figé!D1351/Cours_Hist_figé!D1287 - 1</f>
        <v>-1.1527542036496863E-3</v>
      </c>
      <c r="E1287" s="29">
        <f>Cours_Hist_figé!E1351/Cours_Hist_figé!E1287 - 1</f>
        <v>-1.3700503899243266E-3</v>
      </c>
    </row>
    <row r="1288" spans="1:5" x14ac:dyDescent="0.4">
      <c r="A1288" s="27">
        <v>43951</v>
      </c>
      <c r="B1288" s="29">
        <f>Cours_Hist_figé!B1352/Cours_Hist_figé!B1288 - 1</f>
        <v>-0.18575472951316141</v>
      </c>
      <c r="C1288" s="29">
        <f>Cours_Hist_figé!C1352/Cours_Hist_figé!C1288 - 1</f>
        <v>-1.5403220768093417E-2</v>
      </c>
      <c r="D1288" s="29">
        <f>Cours_Hist_figé!D1352/Cours_Hist_figé!D1288 - 1</f>
        <v>-1.1529537134276069E-3</v>
      </c>
      <c r="E1288" s="29">
        <f>Cours_Hist_figé!E1352/Cours_Hist_figé!E1288 - 1</f>
        <v>-1.370241092786717E-3</v>
      </c>
    </row>
    <row r="1289" spans="1:5" x14ac:dyDescent="0.4">
      <c r="A1289" s="27">
        <v>43952</v>
      </c>
      <c r="B1289" s="29">
        <f>Cours_Hist_figé!B1353/Cours_Hist_figé!B1289 - 1</f>
        <v>-0.18496450408305631</v>
      </c>
      <c r="C1289" s="29">
        <f>Cours_Hist_figé!C1353/Cours_Hist_figé!C1289 - 1</f>
        <v>-1.7192581184817479E-2</v>
      </c>
      <c r="D1289" s="29">
        <f>Cours_Hist_figé!D1353/Cours_Hist_figé!D1289 - 1</f>
        <v>-1.1899035172594497E-3</v>
      </c>
      <c r="E1289" s="29">
        <f>Cours_Hist_figé!E1353/Cours_Hist_figé!E1289 - 1</f>
        <v>-1.4141915234404667E-3</v>
      </c>
    </row>
    <row r="1290" spans="1:5" x14ac:dyDescent="0.4">
      <c r="A1290" s="27">
        <v>43955</v>
      </c>
      <c r="B1290" s="29">
        <f>Cours_Hist_figé!B1354/Cours_Hist_figé!B1290 - 1</f>
        <v>-0.19633336722983274</v>
      </c>
      <c r="C1290" s="29">
        <f>Cours_Hist_figé!C1354/Cours_Hist_figé!C1290 - 1</f>
        <v>-2.1856026532659723E-2</v>
      </c>
      <c r="D1290" s="29">
        <f>Cours_Hist_figé!D1354/Cours_Hist_figé!D1290 - 1</f>
        <v>-1.1773160910608649E-3</v>
      </c>
      <c r="E1290" s="29">
        <f>Cours_Hist_figé!E1354/Cours_Hist_figé!E1290 - 1</f>
        <v>-1.3992352459611945E-3</v>
      </c>
    </row>
    <row r="1291" spans="1:5" x14ac:dyDescent="0.4">
      <c r="A1291" s="27">
        <v>43956</v>
      </c>
      <c r="B1291" s="29">
        <f>Cours_Hist_figé!B1355/Cours_Hist_figé!B1291 - 1</f>
        <v>-0.18008352143814954</v>
      </c>
      <c r="C1291" s="29">
        <f>Cours_Hist_figé!C1355/Cours_Hist_figé!C1291 - 1</f>
        <v>-2.1184952371132382E-2</v>
      </c>
      <c r="D1291" s="29">
        <f>Cours_Hist_figé!D1355/Cours_Hist_figé!D1291 - 1</f>
        <v>-1.1522473532120658E-3</v>
      </c>
      <c r="E1291" s="29">
        <f>Cours_Hist_figé!E1355/Cours_Hist_figé!E1291 - 1</f>
        <v>-1.369442017525202E-3</v>
      </c>
    </row>
    <row r="1292" spans="1:5" x14ac:dyDescent="0.4">
      <c r="A1292" s="27">
        <v>43957</v>
      </c>
      <c r="B1292" s="29">
        <f>Cours_Hist_figé!B1356/Cours_Hist_figé!B1292 - 1</f>
        <v>-0.19614996693728359</v>
      </c>
      <c r="C1292" s="29">
        <f>Cours_Hist_figé!C1356/Cours_Hist_figé!C1292 - 1</f>
        <v>-2.5047977126911758E-2</v>
      </c>
      <c r="D1292" s="29">
        <f>Cours_Hist_figé!D1356/Cours_Hist_figé!D1292 - 1</f>
        <v>-1.1522541531546748E-3</v>
      </c>
      <c r="E1292" s="29">
        <f>Cours_Hist_figé!E1356/Cours_Hist_figé!E1292 - 1</f>
        <v>-1.3695025230562319E-3</v>
      </c>
    </row>
    <row r="1293" spans="1:5" x14ac:dyDescent="0.4">
      <c r="A1293" s="27">
        <v>43958</v>
      </c>
      <c r="B1293" s="29">
        <f>Cours_Hist_figé!B1357/Cours_Hist_figé!B1293 - 1</f>
        <v>-0.19704492415989949</v>
      </c>
      <c r="C1293" s="29">
        <f>Cours_Hist_figé!C1357/Cours_Hist_figé!C1293 - 1</f>
        <v>-2.1068211058634212E-2</v>
      </c>
      <c r="D1293" s="29">
        <f>Cours_Hist_figé!D1357/Cours_Hist_figé!D1293 - 1</f>
        <v>-1.1524536742586466E-3</v>
      </c>
      <c r="E1293" s="29">
        <f>Cours_Hist_figé!E1357/Cours_Hist_figé!E1293 - 1</f>
        <v>-1.369663180381786E-3</v>
      </c>
    </row>
    <row r="1294" spans="1:5" x14ac:dyDescent="0.4">
      <c r="A1294" s="27">
        <v>43962</v>
      </c>
      <c r="B1294" s="29">
        <f>Cours_Hist_figé!B1358/Cours_Hist_figé!B1294 - 1</f>
        <v>-0.19679197111010471</v>
      </c>
      <c r="C1294" s="29">
        <f>Cours_Hist_figé!C1358/Cours_Hist_figé!C1294 - 1</f>
        <v>-2.1010383466858462E-2</v>
      </c>
      <c r="D1294" s="29">
        <f>Cours_Hist_figé!D1358/Cours_Hist_figé!D1294 - 1</f>
        <v>-1.1906021544114687E-3</v>
      </c>
      <c r="E1294" s="29">
        <f>Cours_Hist_figé!E1358/Cours_Hist_figé!E1294 - 1</f>
        <v>-1.4148303792600458E-3</v>
      </c>
    </row>
    <row r="1295" spans="1:5" x14ac:dyDescent="0.4">
      <c r="A1295" s="27">
        <v>43963</v>
      </c>
      <c r="B1295" s="29">
        <f>Cours_Hist_figé!B1359/Cours_Hist_figé!B1295 - 1</f>
        <v>-0.19225013061126073</v>
      </c>
      <c r="C1295" s="29">
        <f>Cours_Hist_figé!C1359/Cours_Hist_figé!C1295 - 1</f>
        <v>-2.2243873292191352E-2</v>
      </c>
      <c r="D1295" s="29">
        <f>Cours_Hist_figé!D1359/Cours_Hist_figé!D1295 - 1</f>
        <v>-1.1908098640930342E-3</v>
      </c>
      <c r="E1295" s="29">
        <f>Cours_Hist_figé!E1359/Cours_Hist_figé!E1295 - 1</f>
        <v>-1.4150818484386374E-3</v>
      </c>
    </row>
    <row r="1296" spans="1:5" x14ac:dyDescent="0.4">
      <c r="A1296" s="27">
        <v>43964</v>
      </c>
      <c r="B1296" s="29">
        <f>Cours_Hist_figé!B1360/Cours_Hist_figé!B1296 - 1</f>
        <v>-0.20878607543889804</v>
      </c>
      <c r="C1296" s="29">
        <f>Cours_Hist_figé!C1360/Cours_Hist_figé!C1296 - 1</f>
        <v>-2.1660590881684594E-2</v>
      </c>
      <c r="D1296" s="29">
        <f>Cours_Hist_figé!D1360/Cours_Hist_figé!D1296 - 1</f>
        <v>-1.1658318788975164E-3</v>
      </c>
      <c r="E1296" s="29">
        <f>Cours_Hist_figé!E1360/Cours_Hist_figé!E1296 - 1</f>
        <v>-1.3854463148119667E-3</v>
      </c>
    </row>
    <row r="1297" spans="1:5" x14ac:dyDescent="0.4">
      <c r="A1297" s="27">
        <v>43965</v>
      </c>
      <c r="B1297" s="29">
        <f>Cours_Hist_figé!B1361/Cours_Hist_figé!B1297 - 1</f>
        <v>-0.23204411090158505</v>
      </c>
      <c r="C1297" s="29">
        <f>Cours_Hist_figé!C1361/Cours_Hist_figé!C1297 - 1</f>
        <v>-2.1647458123295049E-2</v>
      </c>
      <c r="D1297" s="29">
        <f>Cours_Hist_figé!D1361/Cours_Hist_figé!D1297 - 1</f>
        <v>-1.1659391284772891E-3</v>
      </c>
      <c r="E1297" s="29">
        <f>Cours_Hist_figé!E1361/Cours_Hist_figé!E1297 - 1</f>
        <v>-1.385587211643946E-3</v>
      </c>
    </row>
    <row r="1298" spans="1:5" x14ac:dyDescent="0.4">
      <c r="A1298" s="27">
        <v>43966</v>
      </c>
      <c r="B1298" s="29">
        <f>Cours_Hist_figé!B1362/Cours_Hist_figé!B1298 - 1</f>
        <v>-0.23361601748489969</v>
      </c>
      <c r="C1298" s="29">
        <f>Cours_Hist_figé!C1362/Cours_Hist_figé!C1298 - 1</f>
        <v>-2.2370672624158039E-2</v>
      </c>
      <c r="D1298" s="29">
        <f>Cours_Hist_figé!D1362/Cours_Hist_figé!D1298 - 1</f>
        <v>-1.1659307999177804E-3</v>
      </c>
      <c r="E1298" s="29">
        <f>Cours_Hist_figé!E1362/Cours_Hist_figé!E1298 - 1</f>
        <v>-1.385587997032478E-3</v>
      </c>
    </row>
    <row r="1299" spans="1:5" x14ac:dyDescent="0.4">
      <c r="A1299" s="27">
        <v>43969</v>
      </c>
      <c r="B1299" s="29">
        <f>Cours_Hist_figé!B1363/Cours_Hist_figé!B1299 - 1</f>
        <v>-0.20152138359701666</v>
      </c>
      <c r="C1299" s="29">
        <f>Cours_Hist_figé!C1363/Cours_Hist_figé!C1299 - 1</f>
        <v>-2.4247771659491879E-2</v>
      </c>
      <c r="D1299" s="29">
        <f>Cours_Hist_figé!D1363/Cours_Hist_figé!D1299 - 1</f>
        <v>-1.1914091294475959E-3</v>
      </c>
      <c r="E1299" s="29">
        <f>Cours_Hist_figé!E1363/Cours_Hist_figé!E1299 - 1</f>
        <v>-1.4157699639246735E-3</v>
      </c>
    </row>
    <row r="1300" spans="1:5" x14ac:dyDescent="0.4">
      <c r="A1300" s="27">
        <v>43970</v>
      </c>
      <c r="B1300" s="29">
        <f>Cours_Hist_figé!B1364/Cours_Hist_figé!B1300 - 1</f>
        <v>-0.20573453051228019</v>
      </c>
      <c r="C1300" s="29">
        <f>Cours_Hist_figé!C1364/Cours_Hist_figé!C1300 - 1</f>
        <v>-2.3125347315802625E-2</v>
      </c>
      <c r="D1300" s="29">
        <f>Cours_Hist_figé!D1364/Cours_Hist_figé!D1300 - 1</f>
        <v>-1.1915012865297836E-3</v>
      </c>
      <c r="E1300" s="29">
        <f>Cours_Hist_figé!E1364/Cours_Hist_figé!E1300 - 1</f>
        <v>-1.415821262758965E-3</v>
      </c>
    </row>
    <row r="1301" spans="1:5" x14ac:dyDescent="0.4">
      <c r="A1301" s="27">
        <v>43971</v>
      </c>
      <c r="B1301" s="29">
        <f>Cours_Hist_figé!B1365/Cours_Hist_figé!B1301 - 1</f>
        <v>-0.2004741395154338</v>
      </c>
      <c r="C1301" s="29">
        <f>Cours_Hist_figé!C1365/Cours_Hist_figé!C1301 - 1</f>
        <v>-2.2326661436470663E-2</v>
      </c>
      <c r="D1301" s="29">
        <f>Cours_Hist_figé!D1365/Cours_Hist_figé!D1301 - 1</f>
        <v>-1.1665365410679085E-3</v>
      </c>
      <c r="E1301" s="29">
        <f>Cours_Hist_figé!E1365/Cours_Hist_figé!E1301 - 1</f>
        <v>-1.3860825463618553E-3</v>
      </c>
    </row>
    <row r="1302" spans="1:5" x14ac:dyDescent="0.4">
      <c r="A1302" s="27">
        <v>43972</v>
      </c>
      <c r="B1302" s="29">
        <f>Cours_Hist_figé!B1366/Cours_Hist_figé!B1302 - 1</f>
        <v>-0.20343095925532539</v>
      </c>
      <c r="C1302" s="29">
        <f>Cours_Hist_figé!C1366/Cours_Hist_figé!C1302 - 1</f>
        <v>-2.0887029760144227E-2</v>
      </c>
      <c r="D1302" s="29">
        <f>Cours_Hist_figé!D1366/Cours_Hist_figé!D1302 - 1</f>
        <v>-1.1666362116261597E-3</v>
      </c>
      <c r="E1302" s="29">
        <f>Cours_Hist_figé!E1366/Cours_Hist_figé!E1302 - 1</f>
        <v>-1.3861935709571505E-3</v>
      </c>
    </row>
    <row r="1303" spans="1:5" x14ac:dyDescent="0.4">
      <c r="A1303" s="27">
        <v>43973</v>
      </c>
      <c r="B1303" s="29">
        <f>Cours_Hist_figé!B1367/Cours_Hist_figé!B1303 - 1</f>
        <v>-0.21065264403781203</v>
      </c>
      <c r="C1303" s="29">
        <f>Cours_Hist_figé!C1367/Cours_Hist_figé!C1303 - 1</f>
        <v>-2.1404272559143234E-2</v>
      </c>
      <c r="D1303" s="29">
        <f>Cours_Hist_figé!D1367/Cours_Hist_figé!D1303 - 1</f>
        <v>-1.166936226780102E-3</v>
      </c>
      <c r="E1303" s="29">
        <f>Cours_Hist_figé!E1367/Cours_Hist_figé!E1303 - 1</f>
        <v>-1.3864547086818169E-3</v>
      </c>
    </row>
    <row r="1304" spans="1:5" x14ac:dyDescent="0.4">
      <c r="A1304" s="27">
        <v>43977</v>
      </c>
      <c r="B1304" s="29">
        <f>Cours_Hist_figé!B1368/Cours_Hist_figé!B1304 - 1</f>
        <v>-0.18403785821895435</v>
      </c>
      <c r="C1304" s="29">
        <f>Cours_Hist_figé!C1368/Cours_Hist_figé!C1304 - 1</f>
        <v>-2.4348889362848736E-2</v>
      </c>
      <c r="D1304" s="29">
        <f>Cours_Hist_figé!D1368/Cours_Hist_figé!D1304 - 1</f>
        <v>-1.2046905740480396E-3</v>
      </c>
      <c r="E1304" s="29">
        <f>Cours_Hist_figé!E1368/Cours_Hist_figé!E1304 - 1</f>
        <v>-1.4313510966246223E-3</v>
      </c>
    </row>
    <row r="1305" spans="1:5" x14ac:dyDescent="0.4">
      <c r="A1305" s="27">
        <v>43978</v>
      </c>
      <c r="B1305" s="29">
        <f>Cours_Hist_figé!B1369/Cours_Hist_figé!B1305 - 1</f>
        <v>-0.17678589449591597</v>
      </c>
      <c r="C1305" s="29">
        <f>Cours_Hist_figé!C1369/Cours_Hist_figé!C1305 - 1</f>
        <v>-2.2588981748546066E-2</v>
      </c>
      <c r="D1305" s="29">
        <f>Cours_Hist_figé!D1369/Cours_Hist_figé!D1305 - 1</f>
        <v>-1.2047906120374874E-3</v>
      </c>
      <c r="E1305" s="29">
        <f>Cours_Hist_figé!E1369/Cours_Hist_figé!E1305 - 1</f>
        <v>-1.4314426345584108E-3</v>
      </c>
    </row>
    <row r="1306" spans="1:5" x14ac:dyDescent="0.4">
      <c r="A1306" s="27">
        <v>43979</v>
      </c>
      <c r="B1306" s="29">
        <f>Cours_Hist_figé!B1370/Cours_Hist_figé!B1306 - 1</f>
        <v>-0.13137859617521508</v>
      </c>
      <c r="C1306" s="29">
        <f>Cours_Hist_figé!C1370/Cours_Hist_figé!C1306 - 1</f>
        <v>-2.1971090767166856E-2</v>
      </c>
      <c r="D1306" s="29">
        <f>Cours_Hist_figé!D1370/Cours_Hist_figé!D1306 - 1</f>
        <v>-1.1797162771283176E-3</v>
      </c>
      <c r="E1306" s="29">
        <f>Cours_Hist_figé!E1370/Cours_Hist_figé!E1306 - 1</f>
        <v>-1.4015913772645883E-3</v>
      </c>
    </row>
    <row r="1307" spans="1:5" x14ac:dyDescent="0.4">
      <c r="A1307" s="27">
        <v>43980</v>
      </c>
      <c r="B1307" s="29">
        <f>Cours_Hist_figé!B1371/Cours_Hist_figé!B1307 - 1</f>
        <v>-0.129518669475574</v>
      </c>
      <c r="C1307" s="29">
        <f>Cours_Hist_figé!C1371/Cours_Hist_figé!C1307 - 1</f>
        <v>-2.1329813898056105E-2</v>
      </c>
      <c r="D1307" s="29">
        <f>Cours_Hist_figé!D1371/Cours_Hist_figé!D1307 - 1</f>
        <v>-1.1798160055166429E-3</v>
      </c>
      <c r="E1307" s="29">
        <f>Cours_Hist_figé!E1371/Cours_Hist_figé!E1307 - 1</f>
        <v>-1.4016224275944511E-3</v>
      </c>
    </row>
    <row r="1308" spans="1:5" x14ac:dyDescent="0.4">
      <c r="A1308" s="27">
        <v>43983</v>
      </c>
      <c r="B1308" s="29">
        <f>Cours_Hist_figé!B1372/Cours_Hist_figé!B1308 - 1</f>
        <v>-0.12019337225128435</v>
      </c>
      <c r="C1308" s="29">
        <f>Cours_Hist_figé!C1372/Cours_Hist_figé!C1308 - 1</f>
        <v>-2.1848620876708691E-2</v>
      </c>
      <c r="D1308" s="29">
        <f>Cours_Hist_figé!D1372/Cours_Hist_figé!D1308 - 1</f>
        <v>-1.2050902553177867E-3</v>
      </c>
      <c r="E1308" s="29">
        <f>Cours_Hist_figé!E1372/Cours_Hist_figé!E1308 - 1</f>
        <v>-1.4315999557176218E-3</v>
      </c>
    </row>
    <row r="1309" spans="1:5" x14ac:dyDescent="0.4">
      <c r="A1309" s="27">
        <v>43984</v>
      </c>
      <c r="B1309" s="29">
        <f>Cours_Hist_figé!B1373/Cours_Hist_figé!B1309 - 1</f>
        <v>-7.2774266732195225E-2</v>
      </c>
      <c r="C1309" s="29">
        <f>Cours_Hist_figé!C1373/Cours_Hist_figé!C1309 - 1</f>
        <v>-2.064986716319217E-2</v>
      </c>
      <c r="D1309" s="29">
        <f>Cours_Hist_figé!D1373/Cours_Hist_figé!D1309 - 1</f>
        <v>-1.2052906040574962E-3</v>
      </c>
      <c r="E1309" s="29">
        <f>Cours_Hist_figé!E1373/Cours_Hist_figé!E1309 - 1</f>
        <v>-1.4318017808242489E-3</v>
      </c>
    </row>
    <row r="1310" spans="1:5" x14ac:dyDescent="0.4">
      <c r="A1310" s="27">
        <v>43985</v>
      </c>
      <c r="B1310" s="29">
        <f>Cours_Hist_figé!B1374/Cours_Hist_figé!B1310 - 1</f>
        <v>-1.4602776985457533E-2</v>
      </c>
      <c r="C1310" s="29">
        <f>Cours_Hist_figé!C1374/Cours_Hist_figé!C1310 - 1</f>
        <v>-2.4313847108078823E-2</v>
      </c>
      <c r="D1310" s="29">
        <f>Cours_Hist_figé!D1374/Cours_Hist_figé!D1310 - 1</f>
        <v>-1.2053906584301721E-3</v>
      </c>
      <c r="E1310" s="29">
        <f>Cours_Hist_figé!E1374/Cours_Hist_figé!E1310 - 1</f>
        <v>-1.4319133945617235E-3</v>
      </c>
    </row>
    <row r="1311" spans="1:5" x14ac:dyDescent="0.4">
      <c r="A1311" s="27">
        <v>43986</v>
      </c>
      <c r="B1311" s="29">
        <f>Cours_Hist_figé!B1375/Cours_Hist_figé!B1311 - 1</f>
        <v>-2.3391566630536875E-2</v>
      </c>
      <c r="C1311" s="29">
        <f>Cours_Hist_figé!C1375/Cours_Hist_figé!C1311 - 1</f>
        <v>-2.2875053558913727E-2</v>
      </c>
      <c r="D1311" s="29">
        <f>Cours_Hist_figé!D1375/Cours_Hist_figé!D1311 - 1</f>
        <v>-1.1802139496945863E-3</v>
      </c>
      <c r="E1311" s="29">
        <f>Cours_Hist_figé!E1375/Cours_Hist_figé!E1311 - 1</f>
        <v>-1.402039081731643E-3</v>
      </c>
    </row>
    <row r="1312" spans="1:5" x14ac:dyDescent="0.4">
      <c r="A1312" s="27">
        <v>43987</v>
      </c>
      <c r="B1312" s="29">
        <f>Cours_Hist_figé!B1376/Cours_Hist_figé!B1312 - 1</f>
        <v>-1.216362285527306E-2</v>
      </c>
      <c r="C1312" s="29">
        <f>Cours_Hist_figé!C1376/Cours_Hist_figé!C1312 - 1</f>
        <v>-2.6299953514923424E-2</v>
      </c>
      <c r="D1312" s="29">
        <f>Cours_Hist_figé!D1376/Cours_Hist_figé!D1312 - 1</f>
        <v>-1.180313811551148E-3</v>
      </c>
      <c r="E1312" s="29">
        <f>Cours_Hist_figé!E1376/Cours_Hist_figé!E1312 - 1</f>
        <v>-1.4021203421743511E-3</v>
      </c>
    </row>
    <row r="1313" spans="1:5" x14ac:dyDescent="0.4">
      <c r="A1313" s="27">
        <v>43990</v>
      </c>
      <c r="B1313" s="29">
        <f>Cours_Hist_figé!B1377/Cours_Hist_figé!B1313 - 1</f>
        <v>-2.8772956513464676E-2</v>
      </c>
      <c r="C1313" s="29">
        <f>Cours_Hist_figé!C1377/Cours_Hist_figé!C1313 - 1</f>
        <v>-2.4138493998009825E-2</v>
      </c>
      <c r="D1313" s="29">
        <f>Cours_Hist_figé!D1377/Cours_Hist_figé!D1313 - 1</f>
        <v>-1.2057833186990274E-3</v>
      </c>
      <c r="E1313" s="29">
        <f>Cours_Hist_figé!E1377/Cours_Hist_figé!E1313 - 1</f>
        <v>-1.4323517217221804E-3</v>
      </c>
    </row>
    <row r="1314" spans="1:5" x14ac:dyDescent="0.4">
      <c r="A1314" s="27">
        <v>43991</v>
      </c>
      <c r="B1314" s="29">
        <f>Cours_Hist_figé!B1378/Cours_Hist_figé!B1314 - 1</f>
        <v>-2.6853556111508192E-2</v>
      </c>
      <c r="C1314" s="29">
        <f>Cours_Hist_figé!C1378/Cours_Hist_figé!C1314 - 1</f>
        <v>-2.5131631457665726E-2</v>
      </c>
      <c r="D1314" s="29">
        <f>Cours_Hist_figé!D1378/Cours_Hist_figé!D1314 - 1</f>
        <v>-1.2058835078336827E-3</v>
      </c>
      <c r="E1314" s="29">
        <f>Cours_Hist_figé!E1378/Cours_Hist_figé!E1314 - 1</f>
        <v>-1.432523595036872E-3</v>
      </c>
    </row>
    <row r="1315" spans="1:5" x14ac:dyDescent="0.4">
      <c r="A1315" s="27">
        <v>43992</v>
      </c>
      <c r="B1315" s="29">
        <f>Cours_Hist_figé!B1379/Cours_Hist_figé!B1315 - 1</f>
        <v>6.9290320366270919E-3</v>
      </c>
      <c r="C1315" s="29">
        <f>Cours_Hist_figé!C1379/Cours_Hist_figé!C1315 - 1</f>
        <v>-2.7175522265677543E-2</v>
      </c>
      <c r="D1315" s="29">
        <f>Cours_Hist_figé!D1379/Cours_Hist_figé!D1315 - 1</f>
        <v>-1.2059835785431794E-3</v>
      </c>
      <c r="E1315" s="29">
        <f>Cours_Hist_figé!E1379/Cours_Hist_figé!E1315 - 1</f>
        <v>-1.4325851706621373E-3</v>
      </c>
    </row>
    <row r="1316" spans="1:5" x14ac:dyDescent="0.4">
      <c r="A1316" s="27">
        <v>43993</v>
      </c>
      <c r="B1316" s="29">
        <f>Cours_Hist_figé!B1380/Cours_Hist_figé!B1316 - 1</f>
        <v>4.5030276755841037E-2</v>
      </c>
      <c r="C1316" s="29">
        <f>Cours_Hist_figé!C1380/Cours_Hist_figé!C1316 - 1</f>
        <v>-2.0524936973536634E-2</v>
      </c>
      <c r="D1316" s="29">
        <f>Cours_Hist_figé!D1380/Cours_Hist_figé!D1316 - 1</f>
        <v>-1.1809127990410895E-3</v>
      </c>
      <c r="E1316" s="29">
        <f>Cours_Hist_figé!E1380/Cours_Hist_figé!E1316 - 1</f>
        <v>-1.4027579938881152E-3</v>
      </c>
    </row>
    <row r="1317" spans="1:5" x14ac:dyDescent="0.4">
      <c r="A1317" s="27">
        <v>43994</v>
      </c>
      <c r="B1317" s="29">
        <f>Cours_Hist_figé!B1381/Cours_Hist_figé!B1317 - 1</f>
        <v>5.9105270123157361E-2</v>
      </c>
      <c r="C1317" s="29">
        <f>Cours_Hist_figé!C1381/Cours_Hist_figé!C1317 - 1</f>
        <v>-1.7249129571823785E-2</v>
      </c>
      <c r="D1317" s="29">
        <f>Cours_Hist_figé!D1381/Cours_Hist_figé!D1317 - 1</f>
        <v>-1.1811205808399672E-3</v>
      </c>
      <c r="E1317" s="29">
        <f>Cours_Hist_figé!E1381/Cours_Hist_figé!E1317 - 1</f>
        <v>-1.4029794862003842E-3</v>
      </c>
    </row>
    <row r="1318" spans="1:5" x14ac:dyDescent="0.4">
      <c r="A1318" s="27">
        <v>43997</v>
      </c>
      <c r="B1318" s="29">
        <f>Cours_Hist_figé!B1382/Cours_Hist_figé!B1318 - 1</f>
        <v>6.4029741159735476E-2</v>
      </c>
      <c r="C1318" s="29">
        <f>Cours_Hist_figé!C1382/Cours_Hist_figé!C1318 - 1</f>
        <v>-1.8964384625559161E-2</v>
      </c>
      <c r="D1318" s="29">
        <f>Cours_Hist_figé!D1382/Cours_Hist_figé!D1318 - 1</f>
        <v>-1.2067929841628189E-3</v>
      </c>
      <c r="E1318" s="29">
        <f>Cours_Hist_figé!E1382/Cours_Hist_figé!E1318 - 1</f>
        <v>-1.4334044772777998E-3</v>
      </c>
    </row>
    <row r="1319" spans="1:5" x14ac:dyDescent="0.4">
      <c r="A1319" s="27">
        <v>43998</v>
      </c>
      <c r="B1319" s="29">
        <f>Cours_Hist_figé!B1383/Cours_Hist_figé!B1319 - 1</f>
        <v>0.23778200701637608</v>
      </c>
      <c r="C1319" s="29">
        <f>Cours_Hist_figé!C1383/Cours_Hist_figé!C1319 - 1</f>
        <v>-5.0571131065970665E-3</v>
      </c>
      <c r="D1319" s="29">
        <f>Cours_Hist_figé!D1383/Cours_Hist_figé!D1319 - 1</f>
        <v>-1.206885478389097E-3</v>
      </c>
      <c r="E1319" s="29">
        <f>Cours_Hist_figé!E1383/Cours_Hist_figé!E1319 - 1</f>
        <v>-1.433516323586792E-3</v>
      </c>
    </row>
    <row r="1320" spans="1:5" x14ac:dyDescent="0.4">
      <c r="A1320" s="27">
        <v>43999</v>
      </c>
      <c r="B1320" s="29">
        <f>Cours_Hist_figé!B1384/Cours_Hist_figé!B1320 - 1</f>
        <v>0.22928712896094816</v>
      </c>
      <c r="C1320" s="29">
        <f>Cours_Hist_figé!C1384/Cours_Hist_figé!C1320 - 1</f>
        <v>3.4794813326410878E-3</v>
      </c>
      <c r="D1320" s="29">
        <f>Cours_Hist_figé!D1384/Cours_Hist_figé!D1320 - 1</f>
        <v>-1.2070858877818447E-3</v>
      </c>
      <c r="E1320" s="29">
        <f>Cours_Hist_figé!E1384/Cours_Hist_figé!E1320 - 1</f>
        <v>-1.433688191945226E-3</v>
      </c>
    </row>
    <row r="1321" spans="1:5" x14ac:dyDescent="0.4">
      <c r="A1321" s="27">
        <v>44000</v>
      </c>
      <c r="B1321" s="29">
        <f>Cours_Hist_figé!B1385/Cours_Hist_figé!B1321 - 1</f>
        <v>0.28147589181768207</v>
      </c>
      <c r="C1321" s="29">
        <f>Cours_Hist_figé!C1385/Cours_Hist_figé!C1321 - 1</f>
        <v>1.781624288514716E-2</v>
      </c>
      <c r="D1321" s="29">
        <f>Cours_Hist_figé!D1385/Cours_Hist_figé!D1321 - 1</f>
        <v>-1.1818199946116437E-3</v>
      </c>
      <c r="E1321" s="29">
        <f>Cours_Hist_figé!E1385/Cours_Hist_figé!E1321 - 1</f>
        <v>-1.4037576622882852E-3</v>
      </c>
    </row>
    <row r="1322" spans="1:5" x14ac:dyDescent="0.4">
      <c r="A1322" s="27">
        <v>44001</v>
      </c>
      <c r="B1322" s="29">
        <f>Cours_Hist_figé!B1386/Cours_Hist_figé!B1322 - 1</f>
        <v>0.25846203761139019</v>
      </c>
      <c r="C1322" s="29">
        <f>Cours_Hist_figé!C1386/Cours_Hist_figé!C1322 - 1</f>
        <v>2.4072184743641367E-2</v>
      </c>
      <c r="D1322" s="29">
        <f>Cours_Hist_figé!D1386/Cours_Hist_figé!D1322 - 1</f>
        <v>-1.1820199796866993E-3</v>
      </c>
      <c r="E1322" s="29">
        <f>Cours_Hist_figé!E1386/Cours_Hist_figé!E1322 - 1</f>
        <v>-1.4039790661913853E-3</v>
      </c>
    </row>
    <row r="1323" spans="1:5" x14ac:dyDescent="0.4">
      <c r="A1323" s="27">
        <v>44004</v>
      </c>
      <c r="B1323" s="29">
        <f>Cours_Hist_figé!B1387/Cours_Hist_figé!B1323 - 1</f>
        <v>0.30087889995903905</v>
      </c>
      <c r="C1323" s="29">
        <f>Cours_Hist_figé!C1387/Cours_Hist_figé!C1323 - 1</f>
        <v>3.8436608185002052E-2</v>
      </c>
      <c r="D1323" s="29">
        <f>Cours_Hist_figé!D1387/Cours_Hist_figé!D1323 - 1</f>
        <v>-1.2079875564903197E-3</v>
      </c>
      <c r="E1323" s="29">
        <f>Cours_Hist_figé!E1387/Cours_Hist_figé!E1323 - 1</f>
        <v>-1.4346775675854184E-3</v>
      </c>
    </row>
    <row r="1324" spans="1:5" x14ac:dyDescent="0.4">
      <c r="A1324" s="27">
        <v>44005</v>
      </c>
      <c r="B1324" s="29">
        <f>Cours_Hist_figé!B1388/Cours_Hist_figé!B1324 - 1</f>
        <v>0.27766745272042748</v>
      </c>
      <c r="C1324" s="29">
        <f>Cours_Hist_figé!C1388/Cours_Hist_figé!C1324 - 1</f>
        <v>3.2684010122856488E-2</v>
      </c>
      <c r="D1324" s="29">
        <f>Cours_Hist_figé!D1388/Cours_Hist_figé!D1324 - 1</f>
        <v>-1.2084808881880349E-3</v>
      </c>
      <c r="E1324" s="29">
        <f>Cours_Hist_figé!E1388/Cours_Hist_figé!E1324 - 1</f>
        <v>-1.4351297386979711E-3</v>
      </c>
    </row>
    <row r="1325" spans="1:5" x14ac:dyDescent="0.4">
      <c r="A1325" s="27">
        <v>44006</v>
      </c>
      <c r="B1325" s="29">
        <f>Cours_Hist_figé!B1389/Cours_Hist_figé!B1325 - 1</f>
        <v>0.22142507452136861</v>
      </c>
      <c r="C1325" s="29">
        <f>Cours_Hist_figé!C1389/Cours_Hist_figé!C1325 - 1</f>
        <v>2.4737863125913861E-2</v>
      </c>
      <c r="D1325" s="29">
        <f>Cours_Hist_figé!D1389/Cours_Hist_figé!D1325 - 1</f>
        <v>-1.2089818281133535E-3</v>
      </c>
      <c r="E1325" s="29">
        <f>Cours_Hist_figé!E1389/Cours_Hist_figé!E1325 - 1</f>
        <v>-1.4356219251954183E-3</v>
      </c>
    </row>
    <row r="1326" spans="1:5" x14ac:dyDescent="0.4">
      <c r="A1326" s="27">
        <v>44007</v>
      </c>
      <c r="B1326" s="29">
        <f>Cours_Hist_figé!B1390/Cours_Hist_figé!B1326 - 1</f>
        <v>0.28494625607152146</v>
      </c>
      <c r="C1326" s="29">
        <f>Cours_Hist_figé!C1390/Cours_Hist_figé!C1326 - 1</f>
        <v>2.6232582305622643E-2</v>
      </c>
      <c r="D1326" s="29">
        <f>Cours_Hist_figé!D1390/Cours_Hist_figé!D1326 - 1</f>
        <v>-1.1852170802891804E-3</v>
      </c>
      <c r="E1326" s="29">
        <f>Cours_Hist_figé!E1390/Cours_Hist_figé!E1326 - 1</f>
        <v>-1.4071702377007611E-3</v>
      </c>
    </row>
    <row r="1327" spans="1:5" x14ac:dyDescent="0.4">
      <c r="A1327" s="27">
        <v>44008</v>
      </c>
      <c r="B1327" s="29">
        <f>Cours_Hist_figé!B1391/Cours_Hist_figé!B1327 - 1</f>
        <v>0.17892577435989443</v>
      </c>
      <c r="C1327" s="29">
        <f>Cours_Hist_figé!C1391/Cours_Hist_figé!C1327 - 1</f>
        <v>3.1972700567338919E-2</v>
      </c>
      <c r="D1327" s="29">
        <f>Cours_Hist_figé!D1391/Cours_Hist_figé!D1327 - 1</f>
        <v>-1.1858103738968673E-3</v>
      </c>
      <c r="E1327" s="29">
        <f>Cours_Hist_figé!E1391/Cours_Hist_figé!E1327 - 1</f>
        <v>-1.4077722910872392E-3</v>
      </c>
    </row>
    <row r="1328" spans="1:5" x14ac:dyDescent="0.4">
      <c r="A1328" s="27">
        <v>44011</v>
      </c>
      <c r="B1328" s="29">
        <f>Cours_Hist_figé!B1392/Cours_Hist_figé!B1328 - 1</f>
        <v>0.14793841166936783</v>
      </c>
      <c r="C1328" s="29">
        <f>Cours_Hist_figé!C1392/Cours_Hist_figé!C1328 - 1</f>
        <v>3.4687637467360366E-2</v>
      </c>
      <c r="D1328" s="29">
        <f>Cours_Hist_figé!D1392/Cours_Hist_figé!D1328 - 1</f>
        <v>-1.2119807659063397E-3</v>
      </c>
      <c r="E1328" s="29">
        <f>Cours_Hist_figé!E1392/Cours_Hist_figé!E1328 - 1</f>
        <v>-1.4386743453317363E-3</v>
      </c>
    </row>
    <row r="1329" spans="1:5" x14ac:dyDescent="0.4">
      <c r="A1329" s="27">
        <v>44012</v>
      </c>
      <c r="B1329" s="29">
        <f>Cours_Hist_figé!B1393/Cours_Hist_figé!B1329 - 1</f>
        <v>0.12066574348662762</v>
      </c>
      <c r="C1329" s="29">
        <f>Cours_Hist_figé!C1393/Cours_Hist_figé!C1329 - 1</f>
        <v>2.4246441649473649E-2</v>
      </c>
      <c r="D1329" s="29">
        <f>Cours_Hist_figé!D1393/Cours_Hist_figé!D1329 - 1</f>
        <v>-1.2124818975530749E-3</v>
      </c>
      <c r="E1329" s="29">
        <f>Cours_Hist_figé!E1393/Cours_Hist_figé!E1329 - 1</f>
        <v>-1.4391766821693075E-3</v>
      </c>
    </row>
    <row r="1330" spans="1:5" x14ac:dyDescent="0.4">
      <c r="A1330" s="27">
        <v>44013</v>
      </c>
      <c r="B1330" s="29">
        <f>Cours_Hist_figé!B1394/Cours_Hist_figé!B1330 - 1</f>
        <v>0.16226813073674662</v>
      </c>
      <c r="C1330" s="29">
        <f>Cours_Hist_figé!C1394/Cours_Hist_figé!C1330 - 1</f>
        <v>1.537306623879986E-2</v>
      </c>
      <c r="D1330" s="29">
        <f>Cours_Hist_figé!D1394/Cours_Hist_figé!D1330 - 1</f>
        <v>-1.213276336513136E-3</v>
      </c>
      <c r="E1330" s="29">
        <f>Cours_Hist_figé!E1394/Cours_Hist_figé!E1330 - 1</f>
        <v>-1.4398996941202835E-3</v>
      </c>
    </row>
    <row r="1331" spans="1:5" x14ac:dyDescent="0.4">
      <c r="A1331" s="27">
        <v>44014</v>
      </c>
      <c r="B1331" s="29">
        <f>Cours_Hist_figé!B1395/Cours_Hist_figé!B1331 - 1</f>
        <v>0.1692039158732721</v>
      </c>
      <c r="C1331" s="29">
        <f>Cours_Hist_figé!C1395/Cours_Hist_figé!C1331 - 1</f>
        <v>1.8354843579074798E-2</v>
      </c>
      <c r="D1331" s="29">
        <f>Cours_Hist_figé!D1395/Cours_Hist_figé!D1331 - 1</f>
        <v>-1.1891089527764631E-3</v>
      </c>
      <c r="E1331" s="29">
        <f>Cours_Hist_figé!E1395/Cours_Hist_figé!E1331 - 1</f>
        <v>-1.4109947694116443E-3</v>
      </c>
    </row>
    <row r="1332" spans="1:5" x14ac:dyDescent="0.4">
      <c r="A1332" s="27">
        <v>44015</v>
      </c>
      <c r="B1332" s="29">
        <f>Cours_Hist_figé!B1396/Cours_Hist_figé!B1332 - 1</f>
        <v>0.14147348179616648</v>
      </c>
      <c r="C1332" s="29">
        <f>Cours_Hist_figé!C1396/Cours_Hist_figé!C1332 - 1</f>
        <v>2.3080430111143135E-2</v>
      </c>
      <c r="D1332" s="29">
        <f>Cours_Hist_figé!D1396/Cours_Hist_figé!D1332 - 1</f>
        <v>-1.1897024643963139E-3</v>
      </c>
      <c r="E1332" s="29">
        <f>Cours_Hist_figé!E1396/Cours_Hist_figé!E1332 - 1</f>
        <v>-1.4115469170440376E-3</v>
      </c>
    </row>
    <row r="1333" spans="1:5" x14ac:dyDescent="0.4">
      <c r="A1333" s="27">
        <v>44018</v>
      </c>
      <c r="B1333" s="29">
        <f>Cours_Hist_figé!B1397/Cours_Hist_figé!B1333 - 1</f>
        <v>0.1935301771768958</v>
      </c>
      <c r="C1333" s="29">
        <f>Cours_Hist_figé!C1397/Cours_Hist_figé!C1333 - 1</f>
        <v>2.4013259239382689E-2</v>
      </c>
      <c r="D1333" s="29">
        <f>Cours_Hist_figé!D1397/Cours_Hist_figé!D1333 - 1</f>
        <v>-1.2162762725407283E-3</v>
      </c>
      <c r="E1333" s="29">
        <f>Cours_Hist_figé!E1397/Cours_Hist_figé!E1333 - 1</f>
        <v>-1.4427528253357913E-3</v>
      </c>
    </row>
    <row r="1334" spans="1:5" x14ac:dyDescent="0.4">
      <c r="A1334" s="27">
        <v>44019</v>
      </c>
      <c r="B1334" s="29">
        <f>Cours_Hist_figé!B1398/Cours_Hist_figé!B1334 - 1</f>
        <v>0.18069048631480289</v>
      </c>
      <c r="C1334" s="29">
        <f>Cours_Hist_figé!C1398/Cours_Hist_figé!C1334 - 1</f>
        <v>2.5006731287022133E-2</v>
      </c>
      <c r="D1334" s="29">
        <f>Cours_Hist_figé!D1398/Cours_Hist_figé!D1334 - 1</f>
        <v>-1.2168778515063705E-3</v>
      </c>
      <c r="E1334" s="29">
        <f>Cours_Hist_figé!E1398/Cours_Hist_figé!E1334 - 1</f>
        <v>-1.4433956601385134E-3</v>
      </c>
    </row>
    <row r="1335" spans="1:5" x14ac:dyDescent="0.4">
      <c r="A1335" s="27">
        <v>44020</v>
      </c>
      <c r="B1335" s="29">
        <f>Cours_Hist_figé!B1399/Cours_Hist_figé!B1335 - 1</f>
        <v>0.18457117607151918</v>
      </c>
      <c r="C1335" s="29">
        <f>Cours_Hist_figé!C1399/Cours_Hist_figé!C1335 - 1</f>
        <v>2.6678418116111935E-2</v>
      </c>
      <c r="D1335" s="29">
        <f>Cours_Hist_figé!D1399/Cours_Hist_figé!D1335 - 1</f>
        <v>-1.2172789937766604E-3</v>
      </c>
      <c r="E1335" s="29">
        <f>Cours_Hist_figé!E1399/Cours_Hist_figé!E1335 - 1</f>
        <v>-1.4438382335211219E-3</v>
      </c>
    </row>
    <row r="1336" spans="1:5" x14ac:dyDescent="0.4">
      <c r="A1336" s="27">
        <v>44021</v>
      </c>
      <c r="B1336" s="29">
        <f>Cours_Hist_figé!B1400/Cours_Hist_figé!B1336 - 1</f>
        <v>0.13401765618455053</v>
      </c>
      <c r="C1336" s="29">
        <f>Cours_Hist_figé!C1400/Cours_Hist_figé!C1336 - 1</f>
        <v>2.8315304468006453E-2</v>
      </c>
      <c r="D1336" s="29">
        <f>Cours_Hist_figé!D1400/Cours_Hist_figé!D1336 - 1</f>
        <v>-1.1924003627713509E-3</v>
      </c>
      <c r="E1336" s="29">
        <f>Cours_Hist_figé!E1400/Cours_Hist_figé!E1336 - 1</f>
        <v>-1.4142195572653948E-3</v>
      </c>
    </row>
    <row r="1337" spans="1:5" x14ac:dyDescent="0.4">
      <c r="A1337" s="27">
        <v>44022</v>
      </c>
      <c r="B1337" s="29">
        <f>Cours_Hist_figé!B1401/Cours_Hist_figé!B1337 - 1</f>
        <v>0.12418410571757965</v>
      </c>
      <c r="C1337" s="29">
        <f>Cours_Hist_figé!C1401/Cours_Hist_figé!C1337 - 1</f>
        <v>3.3231286368653468E-2</v>
      </c>
      <c r="D1337" s="29">
        <f>Cours_Hist_figé!D1401/Cours_Hist_figé!D1337 - 1</f>
        <v>-1.1929014478794242E-3</v>
      </c>
      <c r="E1337" s="29">
        <f>Cours_Hist_figé!E1401/Cours_Hist_figé!E1337 - 1</f>
        <v>-1.4146516676117882E-3</v>
      </c>
    </row>
    <row r="1338" spans="1:5" x14ac:dyDescent="0.4">
      <c r="A1338" s="27">
        <v>44025</v>
      </c>
      <c r="B1338" s="29">
        <f>Cours_Hist_figé!B1402/Cours_Hist_figé!B1338 - 1</f>
        <v>0.13589450136775172</v>
      </c>
      <c r="C1338" s="29">
        <f>Cours_Hist_figé!C1402/Cours_Hist_figé!C1338 - 1</f>
        <v>3.0015467210936064E-2</v>
      </c>
      <c r="D1338" s="29">
        <f>Cours_Hist_figé!D1402/Cours_Hist_figé!D1338 - 1</f>
        <v>-1.2191769280138764E-3</v>
      </c>
      <c r="E1338" s="29">
        <f>Cours_Hist_figé!E1402/Cours_Hist_figé!E1338 - 1</f>
        <v>-1.4455604366458985E-3</v>
      </c>
    </row>
    <row r="1339" spans="1:5" x14ac:dyDescent="0.4">
      <c r="A1339" s="27">
        <v>44026</v>
      </c>
      <c r="B1339" s="29">
        <f>Cours_Hist_figé!B1403/Cours_Hist_figé!B1339 - 1</f>
        <v>0.11074891734136716</v>
      </c>
      <c r="C1339" s="29">
        <f>Cours_Hist_figé!C1403/Cours_Hist_figé!C1339 - 1</f>
        <v>2.8373126508903335E-2</v>
      </c>
      <c r="D1339" s="29">
        <f>Cours_Hist_figé!D1403/Cours_Hist_figé!D1339 - 1</f>
        <v>-1.2196707700218301E-3</v>
      </c>
      <c r="E1339" s="29">
        <f>Cours_Hist_figé!E1403/Cours_Hist_figé!E1339 - 1</f>
        <v>-1.4460332111878582E-3</v>
      </c>
    </row>
    <row r="1340" spans="1:5" x14ac:dyDescent="0.4">
      <c r="A1340" s="27">
        <v>44027</v>
      </c>
      <c r="B1340" s="29">
        <f>Cours_Hist_figé!B1404/Cours_Hist_figé!B1340 - 1</f>
        <v>0.1228055723360244</v>
      </c>
      <c r="C1340" s="29">
        <f>Cours_Hist_figé!C1404/Cours_Hist_figé!C1340 - 1</f>
        <v>2.6918515963461509E-2</v>
      </c>
      <c r="D1340" s="29">
        <f>Cours_Hist_figé!D1404/Cours_Hist_figé!D1340 - 1</f>
        <v>-1.1700317898664103E-3</v>
      </c>
      <c r="E1340" s="29">
        <f>Cours_Hist_figé!E1404/Cours_Hist_figé!E1340 - 1</f>
        <v>-1.3869773666066454E-3</v>
      </c>
    </row>
    <row r="1341" spans="1:5" x14ac:dyDescent="0.4">
      <c r="A1341" s="27">
        <v>44028</v>
      </c>
      <c r="B1341" s="29">
        <f>Cours_Hist_figé!B1405/Cours_Hist_figé!B1341 - 1</f>
        <v>0.15497115974808917</v>
      </c>
      <c r="C1341" s="29">
        <f>Cours_Hist_figé!C1405/Cours_Hist_figé!C1341 - 1</f>
        <v>2.6960736594931811E-2</v>
      </c>
      <c r="D1341" s="29">
        <f>Cours_Hist_figé!D1405/Cours_Hist_figé!D1341 - 1</f>
        <v>-1.1704324068896321E-3</v>
      </c>
      <c r="E1341" s="29">
        <f>Cours_Hist_figé!E1405/Cours_Hist_figé!E1341 - 1</f>
        <v>-1.3874492708595421E-3</v>
      </c>
    </row>
    <row r="1342" spans="1:5" x14ac:dyDescent="0.4">
      <c r="A1342" s="27">
        <v>44029</v>
      </c>
      <c r="B1342" s="29">
        <f>Cours_Hist_figé!B1406/Cours_Hist_figé!B1342 - 1</f>
        <v>0.14992764488002641</v>
      </c>
      <c r="C1342" s="29">
        <f>Cours_Hist_figé!C1406/Cours_Hist_figé!C1342 - 1</f>
        <v>2.5689942313357861E-2</v>
      </c>
      <c r="D1342" s="29">
        <f>Cours_Hist_figé!D1406/Cours_Hist_figé!D1342 - 1</f>
        <v>-1.1706246039127066E-3</v>
      </c>
      <c r="E1342" s="29">
        <f>Cours_Hist_figé!E1406/Cours_Hist_figé!E1342 - 1</f>
        <v>-1.387610309879439E-3</v>
      </c>
    </row>
    <row r="1343" spans="1:5" x14ac:dyDescent="0.4">
      <c r="A1343" s="27">
        <v>44032</v>
      </c>
      <c r="B1343" s="29">
        <f>Cours_Hist_figé!B1407/Cours_Hist_figé!B1343 - 1</f>
        <v>0.12849219465157224</v>
      </c>
      <c r="C1343" s="29">
        <f>Cours_Hist_figé!C1407/Cours_Hist_figé!C1343 - 1</f>
        <v>2.7004001962291913E-2</v>
      </c>
      <c r="D1343" s="29">
        <f>Cours_Hist_figé!D1407/Cours_Hist_figé!D1343 - 1</f>
        <v>-1.1968951642213899E-3</v>
      </c>
      <c r="E1343" s="29">
        <f>Cours_Hist_figé!E1407/Cours_Hist_figé!E1343 - 1</f>
        <v>-1.4186532455928713E-3</v>
      </c>
    </row>
    <row r="1344" spans="1:5" x14ac:dyDescent="0.4">
      <c r="A1344" s="27">
        <v>44033</v>
      </c>
      <c r="B1344" s="29">
        <f>Cours_Hist_figé!B1408/Cours_Hist_figé!B1344 - 1</f>
        <v>0.12452789342467518</v>
      </c>
      <c r="C1344" s="29">
        <f>Cours_Hist_figé!C1408/Cours_Hist_figé!C1344 - 1</f>
        <v>3.1757847513037341E-2</v>
      </c>
      <c r="D1344" s="29">
        <f>Cours_Hist_figé!D1408/Cours_Hist_figé!D1344 - 1</f>
        <v>-1.1721270725236765E-3</v>
      </c>
      <c r="E1344" s="29">
        <f>Cours_Hist_figé!E1408/Cours_Hist_figé!E1344 - 1</f>
        <v>-1.3891575339708417E-3</v>
      </c>
    </row>
    <row r="1345" spans="1:5" x14ac:dyDescent="0.4">
      <c r="A1345" s="27">
        <v>44034</v>
      </c>
      <c r="B1345" s="29">
        <f>Cours_Hist_figé!B1409/Cours_Hist_figé!B1345 - 1</f>
        <v>0.15367823322039653</v>
      </c>
      <c r="C1345" s="29">
        <f>Cours_Hist_figé!C1409/Cours_Hist_figé!C1345 - 1</f>
        <v>3.6426067541230678E-2</v>
      </c>
      <c r="D1345" s="29">
        <f>Cours_Hist_figé!D1409/Cours_Hist_figé!D1345 - 1</f>
        <v>-1.1723272495154369E-3</v>
      </c>
      <c r="E1345" s="29">
        <f>Cours_Hist_figé!E1409/Cours_Hist_figé!E1345 - 1</f>
        <v>-1.3893890465664915E-3</v>
      </c>
    </row>
    <row r="1346" spans="1:5" x14ac:dyDescent="0.4">
      <c r="A1346" s="27">
        <v>44035</v>
      </c>
      <c r="B1346" s="29">
        <f>Cours_Hist_figé!B1410/Cours_Hist_figé!B1346 - 1</f>
        <v>0.13278784414751321</v>
      </c>
      <c r="C1346" s="29">
        <f>Cours_Hist_figé!C1410/Cours_Hist_figé!C1346 - 1</f>
        <v>3.9718373353786696E-2</v>
      </c>
      <c r="D1346" s="29">
        <f>Cours_Hist_figé!D1410/Cours_Hist_figé!D1346 - 1</f>
        <v>-1.1725274315915746E-3</v>
      </c>
      <c r="E1346" s="29">
        <f>Cours_Hist_figé!E1410/Cours_Hist_figé!E1346 - 1</f>
        <v>-1.3896406273384843E-3</v>
      </c>
    </row>
    <row r="1347" spans="1:5" x14ac:dyDescent="0.4">
      <c r="A1347" s="27">
        <v>44036</v>
      </c>
      <c r="B1347" s="29">
        <f>Cours_Hist_figé!B1411/Cours_Hist_figé!B1347 - 1</f>
        <v>0.10352204140881649</v>
      </c>
      <c r="C1347" s="29">
        <f>Cours_Hist_figé!C1411/Cours_Hist_figé!C1347 - 1</f>
        <v>3.3342797663728163E-2</v>
      </c>
      <c r="D1347" s="29">
        <f>Cours_Hist_figé!D1411/Cours_Hist_figé!D1347 - 1</f>
        <v>-1.1728278694438377E-3</v>
      </c>
      <c r="E1347" s="29">
        <f>Cours_Hist_figé!E1411/Cours_Hist_figé!E1347 - 1</f>
        <v>-1.3899422997605271E-3</v>
      </c>
    </row>
    <row r="1348" spans="1:5" x14ac:dyDescent="0.4">
      <c r="A1348" s="27">
        <v>44039</v>
      </c>
      <c r="B1348" s="29">
        <f>Cours_Hist_figé!B1412/Cours_Hist_figé!B1348 - 1</f>
        <v>0.11183703397803035</v>
      </c>
      <c r="C1348" s="29">
        <f>Cours_Hist_figé!C1412/Cours_Hist_figé!C1348 - 1</f>
        <v>3.1554900268398134E-2</v>
      </c>
      <c r="D1348" s="29">
        <f>Cours_Hist_figé!D1412/Cours_Hist_figé!D1348 - 1</f>
        <v>-1.1990005250953617E-3</v>
      </c>
      <c r="E1348" s="29">
        <f>Cours_Hist_figé!E1412/Cours_Hist_figé!E1348 - 1</f>
        <v>-1.4208482729106686E-3</v>
      </c>
    </row>
    <row r="1349" spans="1:5" x14ac:dyDescent="0.4">
      <c r="A1349" s="27">
        <v>44040</v>
      </c>
      <c r="B1349" s="29">
        <f>Cours_Hist_figé!B1413/Cours_Hist_figé!B1349 - 1</f>
        <v>9.5355229914098061E-2</v>
      </c>
      <c r="C1349" s="29">
        <f>Cours_Hist_figé!C1413/Cours_Hist_figé!C1349 - 1</f>
        <v>3.0297259218433181E-2</v>
      </c>
      <c r="D1349" s="29">
        <f>Cours_Hist_figé!D1413/Cours_Hist_figé!D1349 - 1</f>
        <v>-1.1742227224421642E-3</v>
      </c>
      <c r="E1349" s="29">
        <f>Cours_Hist_figé!E1413/Cours_Hist_figé!E1349 - 1</f>
        <v>-1.3912995223056557E-3</v>
      </c>
    </row>
    <row r="1350" spans="1:5" x14ac:dyDescent="0.4">
      <c r="A1350" s="27">
        <v>44041</v>
      </c>
      <c r="B1350" s="29">
        <f>Cours_Hist_figé!B1414/Cours_Hist_figé!B1350 - 1</f>
        <v>7.6249824884920825E-2</v>
      </c>
      <c r="C1350" s="29">
        <f>Cours_Hist_figé!C1414/Cours_Hist_figé!C1350 - 1</f>
        <v>2.7546629170986048E-2</v>
      </c>
      <c r="D1350" s="29">
        <f>Cours_Hist_figé!D1414/Cours_Hist_figé!D1350 - 1</f>
        <v>-1.1745232005856421E-3</v>
      </c>
      <c r="E1350" s="29">
        <f>Cours_Hist_figé!E1414/Cours_Hist_figé!E1350 - 1</f>
        <v>-1.3916313366896249E-3</v>
      </c>
    </row>
    <row r="1351" spans="1:5" x14ac:dyDescent="0.4">
      <c r="A1351" s="27">
        <v>44042</v>
      </c>
      <c r="B1351" s="29">
        <f>Cours_Hist_figé!B1415/Cours_Hist_figé!B1351 - 1</f>
        <v>3.423020475258709E-2</v>
      </c>
      <c r="C1351" s="29">
        <f>Cours_Hist_figé!C1415/Cours_Hist_figé!C1351 - 1</f>
        <v>2.8447020707099036E-2</v>
      </c>
      <c r="D1351" s="29">
        <f>Cours_Hist_figé!D1415/Cours_Hist_figé!D1351 - 1</f>
        <v>-1.1748238042257331E-3</v>
      </c>
      <c r="E1351" s="29">
        <f>Cours_Hist_figé!E1415/Cours_Hist_figé!E1351 - 1</f>
        <v>-1.3919632308313501E-3</v>
      </c>
    </row>
    <row r="1352" spans="1:5" x14ac:dyDescent="0.4">
      <c r="A1352" s="27">
        <v>44043</v>
      </c>
      <c r="B1352" s="29">
        <f>Cours_Hist_figé!B1416/Cours_Hist_figé!B1352 - 1</f>
        <v>4.6551018779061648E-2</v>
      </c>
      <c r="C1352" s="29">
        <f>Cours_Hist_figé!C1416/Cours_Hist_figé!C1352 - 1</f>
        <v>2.2255770070417791E-2</v>
      </c>
      <c r="D1352" s="29">
        <f>Cours_Hist_figé!D1416/Cours_Hist_figé!D1352 - 1</f>
        <v>-1.175124415502049E-3</v>
      </c>
      <c r="E1352" s="29">
        <f>Cours_Hist_figé!E1416/Cours_Hist_figé!E1352 - 1</f>
        <v>-1.3922249820965682E-3</v>
      </c>
    </row>
    <row r="1353" spans="1:5" x14ac:dyDescent="0.4">
      <c r="A1353" s="27">
        <v>44046</v>
      </c>
      <c r="B1353" s="29">
        <f>Cours_Hist_figé!B1417/Cours_Hist_figé!B1353 - 1</f>
        <v>7.7838643412413866E-2</v>
      </c>
      <c r="C1353" s="29">
        <f>Cours_Hist_figé!C1417/Cours_Hist_figé!C1353 - 1</f>
        <v>2.1649316722002876E-2</v>
      </c>
      <c r="D1353" s="29">
        <f>Cours_Hist_figé!D1417/Cours_Hist_figé!D1353 - 1</f>
        <v>-1.1642410326027086E-3</v>
      </c>
      <c r="E1353" s="29">
        <f>Cours_Hist_figé!E1417/Cours_Hist_figé!E1353 - 1</f>
        <v>-1.3790643641053979E-3</v>
      </c>
    </row>
    <row r="1354" spans="1:5" x14ac:dyDescent="0.4">
      <c r="A1354" s="27">
        <v>44047</v>
      </c>
      <c r="B1354" s="29">
        <f>Cours_Hist_figé!B1418/Cours_Hist_figé!B1354 - 1</f>
        <v>0.10512067015447224</v>
      </c>
      <c r="C1354" s="29">
        <f>Cours_Hist_figé!C1418/Cours_Hist_figé!C1354 - 1</f>
        <v>2.7530034986370078E-2</v>
      </c>
      <c r="D1354" s="29">
        <f>Cours_Hist_figé!D1418/Cours_Hist_figé!D1354 - 1</f>
        <v>-1.17722122942443E-3</v>
      </c>
      <c r="E1354" s="29">
        <f>Cours_Hist_figé!E1418/Cours_Hist_figé!E1354 - 1</f>
        <v>-1.3943738134737371E-3</v>
      </c>
    </row>
    <row r="1355" spans="1:5" x14ac:dyDescent="0.4">
      <c r="A1355" s="27">
        <v>44048</v>
      </c>
      <c r="B1355" s="29">
        <f>Cours_Hist_figé!B1419/Cours_Hist_figé!B1355 - 1</f>
        <v>8.5586056684506584E-2</v>
      </c>
      <c r="C1355" s="29">
        <f>Cours_Hist_figé!C1419/Cours_Hist_figé!C1355 - 1</f>
        <v>2.5592630050082388E-2</v>
      </c>
      <c r="D1355" s="29">
        <f>Cours_Hist_figé!D1419/Cours_Hist_figé!D1355 - 1</f>
        <v>-1.1774215063590221E-3</v>
      </c>
      <c r="E1355" s="29">
        <f>Cours_Hist_figé!E1419/Cours_Hist_figé!E1355 - 1</f>
        <v>-1.3946055228136744E-3</v>
      </c>
    </row>
    <row r="1356" spans="1:5" x14ac:dyDescent="0.4">
      <c r="A1356" s="27">
        <v>44049</v>
      </c>
      <c r="B1356" s="29">
        <f>Cours_Hist_figé!B1420/Cours_Hist_figé!B1356 - 1</f>
        <v>8.2114338603542336E-2</v>
      </c>
      <c r="C1356" s="29">
        <f>Cours_Hist_figé!C1420/Cours_Hist_figé!C1356 - 1</f>
        <v>3.2836951947920801E-2</v>
      </c>
      <c r="D1356" s="29">
        <f>Cours_Hist_figé!D1420/Cours_Hist_figé!D1356 - 1</f>
        <v>-1.1778224397420711E-3</v>
      </c>
      <c r="E1356" s="29">
        <f>Cours_Hist_figé!E1420/Cours_Hist_figé!E1356 - 1</f>
        <v>-1.394957491674953E-3</v>
      </c>
    </row>
    <row r="1357" spans="1:5" x14ac:dyDescent="0.4">
      <c r="A1357" s="27">
        <v>44050</v>
      </c>
      <c r="B1357" s="29">
        <f>Cours_Hist_figé!B1421/Cours_Hist_figé!B1357 - 1</f>
        <v>7.2809578882644388E-2</v>
      </c>
      <c r="C1357" s="29">
        <f>Cours_Hist_figé!C1421/Cours_Hist_figé!C1357 - 1</f>
        <v>3.0217549940709576E-2</v>
      </c>
      <c r="D1357" s="29">
        <f>Cours_Hist_figé!D1421/Cours_Hist_figé!D1357 - 1</f>
        <v>-1.1781153934397048E-3</v>
      </c>
      <c r="E1357" s="29">
        <f>Cours_Hist_figé!E1421/Cours_Hist_figé!E1357 - 1</f>
        <v>-1.3952694376448971E-3</v>
      </c>
    </row>
    <row r="1358" spans="1:5" x14ac:dyDescent="0.4">
      <c r="A1358" s="27">
        <v>44053</v>
      </c>
      <c r="B1358" s="29">
        <f>Cours_Hist_figé!B1422/Cours_Hist_figé!B1358 - 1</f>
        <v>7.1229683093180007E-2</v>
      </c>
      <c r="C1358" s="29">
        <f>Cours_Hist_figé!C1422/Cours_Hist_figé!C1358 - 1</f>
        <v>3.2191559972379657E-2</v>
      </c>
      <c r="D1358" s="29">
        <f>Cours_Hist_figé!D1422/Cours_Hist_figé!D1358 - 1</f>
        <v>-1.1664370785362532E-3</v>
      </c>
      <c r="E1358" s="29">
        <f>Cours_Hist_figé!E1422/Cours_Hist_figé!E1358 - 1</f>
        <v>-1.381256310231338E-3</v>
      </c>
    </row>
    <row r="1359" spans="1:5" x14ac:dyDescent="0.4">
      <c r="A1359" s="27">
        <v>44054</v>
      </c>
      <c r="B1359" s="29">
        <f>Cours_Hist_figé!B1423/Cours_Hist_figé!B1359 - 1</f>
        <v>8.631022864546134E-2</v>
      </c>
      <c r="C1359" s="29">
        <f>Cours_Hist_figé!C1423/Cours_Hist_figé!C1359 - 1</f>
        <v>2.8998907766713433E-2</v>
      </c>
      <c r="D1359" s="29">
        <f>Cours_Hist_figé!D1423/Cours_Hist_figé!D1359 - 1</f>
        <v>-1.1667299061737246E-3</v>
      </c>
      <c r="E1359" s="29">
        <f>Cours_Hist_figé!E1423/Cours_Hist_figé!E1359 - 1</f>
        <v>-1.3815280221673998E-3</v>
      </c>
    </row>
    <row r="1360" spans="1:5" x14ac:dyDescent="0.4">
      <c r="A1360" s="27">
        <v>44055</v>
      </c>
      <c r="B1360" s="29">
        <f>Cours_Hist_figé!B1424/Cours_Hist_figé!B1360 - 1</f>
        <v>0.12155448079311992</v>
      </c>
      <c r="C1360" s="29">
        <f>Cours_Hist_figé!C1424/Cours_Hist_figé!C1360 - 1</f>
        <v>2.5689229948872683E-2</v>
      </c>
      <c r="D1360" s="29">
        <f>Cours_Hist_figé!D1424/Cours_Hist_figé!D1360 - 1</f>
        <v>-1.167038177423585E-3</v>
      </c>
      <c r="E1360" s="29">
        <f>Cours_Hist_figé!E1424/Cours_Hist_figé!E1360 - 1</f>
        <v>-1.3817896669577889E-3</v>
      </c>
    </row>
    <row r="1361" spans="1:5" x14ac:dyDescent="0.4">
      <c r="A1361" s="27">
        <v>44056</v>
      </c>
      <c r="B1361" s="29">
        <f>Cours_Hist_figé!B1425/Cours_Hist_figé!B1361 - 1</f>
        <v>0.13855516012758784</v>
      </c>
      <c r="C1361" s="29">
        <f>Cours_Hist_figé!C1425/Cours_Hist_figé!C1361 - 1</f>
        <v>2.3698870818731566E-2</v>
      </c>
      <c r="D1361" s="29">
        <f>Cours_Hist_figé!D1425/Cours_Hist_figé!D1361 - 1</f>
        <v>-1.1673310201353315E-3</v>
      </c>
      <c r="E1361" s="29">
        <f>Cours_Hist_figé!E1425/Cours_Hist_figé!E1361 - 1</f>
        <v>-1.3820713458660983E-3</v>
      </c>
    </row>
    <row r="1362" spans="1:5" x14ac:dyDescent="0.4">
      <c r="A1362" s="27">
        <v>44057</v>
      </c>
      <c r="B1362" s="29">
        <f>Cours_Hist_figé!B1426/Cours_Hist_figé!B1362 - 1</f>
        <v>0.11998473919301511</v>
      </c>
      <c r="C1362" s="29">
        <f>Cours_Hist_figé!C1426/Cours_Hist_figé!C1362 - 1</f>
        <v>2.4765489826655163E-2</v>
      </c>
      <c r="D1362" s="29">
        <f>Cours_Hist_figé!D1426/Cours_Hist_figé!D1362 - 1</f>
        <v>-1.1676315840586371E-3</v>
      </c>
      <c r="E1362" s="29">
        <f>Cours_Hist_figé!E1426/Cours_Hist_figé!E1362 - 1</f>
        <v>-1.3823730736425288E-3</v>
      </c>
    </row>
    <row r="1363" spans="1:5" x14ac:dyDescent="0.4">
      <c r="A1363" s="27">
        <v>44060</v>
      </c>
      <c r="B1363" s="29">
        <f>Cours_Hist_figé!B1427/Cours_Hist_figé!B1363 - 1</f>
        <v>7.8839319926101714E-2</v>
      </c>
      <c r="C1363" s="29">
        <f>Cours_Hist_figé!C1427/Cours_Hist_figé!C1363 - 1</f>
        <v>2.7786963446107871E-2</v>
      </c>
      <c r="D1363" s="29">
        <f>Cours_Hist_figé!D1427/Cours_Hist_figé!D1363 - 1</f>
        <v>-1.168131856640553E-3</v>
      </c>
      <c r="E1363" s="29">
        <f>Cours_Hist_figé!E1427/Cours_Hist_figé!E1363 - 1</f>
        <v>-1.3828671182012364E-3</v>
      </c>
    </row>
    <row r="1364" spans="1:5" x14ac:dyDescent="0.4">
      <c r="A1364" s="27">
        <v>44061</v>
      </c>
      <c r="B1364" s="29">
        <f>Cours_Hist_figé!B1428/Cours_Hist_figé!B1364 - 1</f>
        <v>8.0765728162707884E-2</v>
      </c>
      <c r="C1364" s="29">
        <f>Cours_Hist_figé!C1428/Cours_Hist_figé!C1364 - 1</f>
        <v>2.7025991113027059E-2</v>
      </c>
      <c r="D1364" s="29">
        <f>Cours_Hist_figé!D1428/Cours_Hist_figé!D1364 - 1</f>
        <v>-1.1684324460318196E-3</v>
      </c>
      <c r="E1364" s="29">
        <f>Cours_Hist_figé!E1428/Cours_Hist_figé!E1364 - 1</f>
        <v>-1.3831789385598814E-3</v>
      </c>
    </row>
    <row r="1365" spans="1:5" x14ac:dyDescent="0.4">
      <c r="A1365" s="27">
        <v>44062</v>
      </c>
      <c r="B1365" s="29">
        <f>Cours_Hist_figé!B1429/Cours_Hist_figé!B1365 - 1</f>
        <v>7.7344493846788209E-2</v>
      </c>
      <c r="C1365" s="29">
        <f>Cours_Hist_figé!C1429/Cours_Hist_figé!C1365 - 1</f>
        <v>2.6598200430143937E-2</v>
      </c>
      <c r="D1365" s="29">
        <f>Cours_Hist_figé!D1429/Cours_Hist_figé!D1365 - 1</f>
        <v>-1.1687253288028554E-3</v>
      </c>
      <c r="E1365" s="29">
        <f>Cours_Hist_figé!E1429/Cours_Hist_figé!E1365 - 1</f>
        <v>-1.3835108379481875E-3</v>
      </c>
    </row>
    <row r="1366" spans="1:5" x14ac:dyDescent="0.4">
      <c r="A1366" s="27">
        <v>44063</v>
      </c>
      <c r="B1366" s="29">
        <f>Cours_Hist_figé!B1430/Cours_Hist_figé!B1366 - 1</f>
        <v>7.3902399541758479E-2</v>
      </c>
      <c r="C1366" s="29">
        <f>Cours_Hist_figé!C1430/Cours_Hist_figé!C1366 - 1</f>
        <v>2.6352887022066174E-2</v>
      </c>
      <c r="D1366" s="29">
        <f>Cours_Hist_figé!D1430/Cours_Hist_figé!D1366 - 1</f>
        <v>-1.1689256468168097E-3</v>
      </c>
      <c r="E1366" s="29">
        <f>Cours_Hist_figé!E1430/Cours_Hist_figé!E1366 - 1</f>
        <v>-1.3837324876044832E-3</v>
      </c>
    </row>
    <row r="1367" spans="1:5" x14ac:dyDescent="0.4">
      <c r="A1367" s="27">
        <v>44064</v>
      </c>
      <c r="B1367" s="29">
        <f>Cours_Hist_figé!B1431/Cours_Hist_figé!B1367 - 1</f>
        <v>7.2959931407834189E-2</v>
      </c>
      <c r="C1367" s="29">
        <f>Cours_Hist_figé!C1431/Cours_Hist_figé!C1367 - 1</f>
        <v>2.5797122729047883E-2</v>
      </c>
      <c r="D1367" s="29">
        <f>Cours_Hist_figé!D1431/Cours_Hist_figé!D1367 - 1</f>
        <v>-1.1691336934354091E-3</v>
      </c>
      <c r="E1367" s="29">
        <f>Cours_Hist_figé!E1431/Cours_Hist_figé!E1367 - 1</f>
        <v>-1.3839441088486781E-3</v>
      </c>
    </row>
    <row r="1368" spans="1:5" x14ac:dyDescent="0.4">
      <c r="A1368" s="27">
        <v>44067</v>
      </c>
      <c r="B1368" s="29">
        <f>Cours_Hist_figé!B1432/Cours_Hist_figé!B1368 - 1</f>
        <v>6.3542086572841106E-2</v>
      </c>
      <c r="C1368" s="29">
        <f>Cours_Hist_figé!C1432/Cours_Hist_figé!C1368 - 1</f>
        <v>2.6709559164785901E-2</v>
      </c>
      <c r="D1368" s="29">
        <f>Cours_Hist_figé!D1432/Cours_Hist_figé!D1368 - 1</f>
        <v>-1.1578385404257263E-3</v>
      </c>
      <c r="E1368" s="29">
        <f>Cours_Hist_figé!E1432/Cours_Hist_figé!E1368 - 1</f>
        <v>-1.3702178659854569E-3</v>
      </c>
    </row>
    <row r="1369" spans="1:5" x14ac:dyDescent="0.4">
      <c r="A1369" s="27">
        <v>44068</v>
      </c>
      <c r="B1369" s="29">
        <f>Cours_Hist_figé!B1433/Cours_Hist_figé!B1369 - 1</f>
        <v>5.6400063572298098E-2</v>
      </c>
      <c r="C1369" s="29">
        <f>Cours_Hist_figé!C1433/Cours_Hist_figé!C1369 - 1</f>
        <v>1.9301400419211356E-2</v>
      </c>
      <c r="D1369" s="29">
        <f>Cours_Hist_figé!D1433/Cours_Hist_figé!D1369 - 1</f>
        <v>-1.1581390295928307E-3</v>
      </c>
      <c r="E1369" s="29">
        <f>Cours_Hist_figé!E1433/Cours_Hist_figé!E1369 - 1</f>
        <v>-1.3705194700535106E-3</v>
      </c>
    </row>
    <row r="1370" spans="1:5" x14ac:dyDescent="0.4">
      <c r="A1370" s="27">
        <v>44069</v>
      </c>
      <c r="B1370" s="29">
        <f>Cours_Hist_figé!B1434/Cours_Hist_figé!B1370 - 1</f>
        <v>4.9303950127758123E-2</v>
      </c>
      <c r="C1370" s="29">
        <f>Cours_Hist_figé!C1434/Cours_Hist_figé!C1370 - 1</f>
        <v>1.7479350818721873E-2</v>
      </c>
      <c r="D1370" s="29">
        <f>Cours_Hist_figé!D1434/Cours_Hist_figé!D1370 - 1</f>
        <v>-1.1584472504541088E-3</v>
      </c>
      <c r="E1370" s="29">
        <f>Cours_Hist_figé!E1434/Cours_Hist_figé!E1370 - 1</f>
        <v>-1.3708612135446829E-3</v>
      </c>
    </row>
    <row r="1371" spans="1:5" x14ac:dyDescent="0.4">
      <c r="A1371" s="27">
        <v>44070</v>
      </c>
      <c r="B1371" s="29">
        <f>Cours_Hist_figé!B1435/Cours_Hist_figé!B1371 - 1</f>
        <v>5.8754372982515735E-2</v>
      </c>
      <c r="C1371" s="29">
        <f>Cours_Hist_figé!C1435/Cours_Hist_figé!C1371 - 1</f>
        <v>1.4973532111042687E-2</v>
      </c>
      <c r="D1371" s="29">
        <f>Cours_Hist_figé!D1435/Cours_Hist_figé!D1371 - 1</f>
        <v>-1.1587477549821479E-3</v>
      </c>
      <c r="E1371" s="29">
        <f>Cours_Hist_figé!E1435/Cours_Hist_figé!E1371 - 1</f>
        <v>-1.3712130172452985E-3</v>
      </c>
    </row>
    <row r="1372" spans="1:5" x14ac:dyDescent="0.4">
      <c r="A1372" s="27">
        <v>44071</v>
      </c>
      <c r="B1372" s="29">
        <f>Cours_Hist_figé!B1436/Cours_Hist_figé!B1372 - 1</f>
        <v>4.1742170167152759E-2</v>
      </c>
      <c r="C1372" s="29">
        <f>Cours_Hist_figé!C1436/Cours_Hist_figé!C1372 - 1</f>
        <v>1.7739513464811063E-2</v>
      </c>
      <c r="D1372" s="29">
        <f>Cours_Hist_figé!D1436/Cours_Hist_figé!D1372 - 1</f>
        <v>-1.1338725877593214E-3</v>
      </c>
      <c r="E1372" s="29">
        <f>Cours_Hist_figé!E1436/Cours_Hist_figé!E1372 - 1</f>
        <v>-1.3415963975401679E-3</v>
      </c>
    </row>
    <row r="1373" spans="1:5" x14ac:dyDescent="0.4">
      <c r="A1373" s="27">
        <v>44074</v>
      </c>
      <c r="B1373" s="29">
        <f>Cours_Hist_figé!B1437/Cours_Hist_figé!B1373 - 1</f>
        <v>1.9204510645809414E-2</v>
      </c>
      <c r="C1373" s="29">
        <f>Cours_Hist_figé!C1437/Cours_Hist_figé!C1373 - 1</f>
        <v>1.61119555571827E-2</v>
      </c>
      <c r="D1373" s="29">
        <f>Cours_Hist_figé!D1437/Cours_Hist_figé!D1373 - 1</f>
        <v>-1.15994201734404E-3</v>
      </c>
      <c r="E1373" s="29">
        <f>Cours_Hist_figé!E1437/Cours_Hist_figé!E1373 - 1</f>
        <v>-1.3723895193867852E-3</v>
      </c>
    </row>
    <row r="1374" spans="1:5" x14ac:dyDescent="0.4">
      <c r="A1374" s="27">
        <v>44075</v>
      </c>
      <c r="B1374" s="29">
        <f>Cours_Hist_figé!B1438/Cours_Hist_figé!B1374 - 1</f>
        <v>-9.8076617755677997E-3</v>
      </c>
      <c r="C1374" s="29">
        <f>Cours_Hist_figé!C1438/Cours_Hist_figé!C1374 - 1</f>
        <v>1.9669477402861624E-2</v>
      </c>
      <c r="D1374" s="29">
        <f>Cours_Hist_figé!D1438/Cours_Hist_figé!D1374 - 1</f>
        <v>-1.1603429803691556E-3</v>
      </c>
      <c r="E1374" s="29">
        <f>Cours_Hist_figé!E1438/Cours_Hist_figé!E1374 - 1</f>
        <v>-1.3727915985243255E-3</v>
      </c>
    </row>
    <row r="1375" spans="1:5" x14ac:dyDescent="0.4">
      <c r="A1375" s="27">
        <v>44076</v>
      </c>
      <c r="B1375" s="29">
        <f>Cours_Hist_figé!B1439/Cours_Hist_figé!B1375 - 1</f>
        <v>1.4033602576126292E-2</v>
      </c>
      <c r="C1375" s="29">
        <f>Cours_Hist_figé!C1439/Cours_Hist_figé!C1375 - 1</f>
        <v>2.2288066776197768E-2</v>
      </c>
      <c r="D1375" s="29">
        <f>Cours_Hist_figé!D1439/Cours_Hist_figé!D1375 - 1</f>
        <v>-1.1606435318417541E-3</v>
      </c>
      <c r="E1375" s="29">
        <f>Cours_Hist_figé!E1439/Cours_Hist_figé!E1375 - 1</f>
        <v>-1.3731033697927941E-3</v>
      </c>
    </row>
    <row r="1376" spans="1:5" x14ac:dyDescent="0.4">
      <c r="A1376" s="27">
        <v>44077</v>
      </c>
      <c r="B1376" s="29">
        <f>Cours_Hist_figé!B1440/Cours_Hist_figé!B1376 - 1</f>
        <v>-2.3194985220301723E-2</v>
      </c>
      <c r="C1376" s="29">
        <f>Cours_Hist_figé!C1440/Cours_Hist_figé!C1376 - 1</f>
        <v>2.4429002125838872E-2</v>
      </c>
      <c r="D1376" s="29">
        <f>Cours_Hist_figé!D1440/Cours_Hist_figé!D1376 - 1</f>
        <v>-1.160944207533765E-3</v>
      </c>
      <c r="E1376" s="29">
        <f>Cours_Hist_figé!E1440/Cours_Hist_figé!E1376 - 1</f>
        <v>-1.3733750980098325E-3</v>
      </c>
    </row>
    <row r="1377" spans="1:5" x14ac:dyDescent="0.4">
      <c r="A1377" s="27">
        <v>44078</v>
      </c>
      <c r="B1377" s="29">
        <f>Cours_Hist_figé!B1441/Cours_Hist_figé!B1377 - 1</f>
        <v>-3.1622979083574476E-2</v>
      </c>
      <c r="C1377" s="29">
        <f>Cours_Hist_figé!C1441/Cours_Hist_figé!C1377 - 1</f>
        <v>1.9407668039085779E-2</v>
      </c>
      <c r="D1377" s="29">
        <f>Cours_Hist_figé!D1441/Cours_Hist_figé!D1377 - 1</f>
        <v>-1.1356732631635502E-3</v>
      </c>
      <c r="E1377" s="29">
        <f>Cours_Hist_figé!E1441/Cours_Hist_figé!E1377 - 1</f>
        <v>-1.3433945405373349E-3</v>
      </c>
    </row>
    <row r="1378" spans="1:5" x14ac:dyDescent="0.4">
      <c r="A1378" s="27">
        <v>44081</v>
      </c>
      <c r="B1378" s="29">
        <f>Cours_Hist_figé!B1442/Cours_Hist_figé!B1378 - 1</f>
        <v>-3.984316145088096E-3</v>
      </c>
      <c r="C1378" s="29">
        <f>Cours_Hist_figé!C1442/Cours_Hist_figé!C1378 - 1</f>
        <v>1.9583178327506667E-2</v>
      </c>
      <c r="D1378" s="29">
        <f>Cours_Hist_figé!D1442/Cours_Hist_figé!D1378 - 1</f>
        <v>-1.1617373160375255E-3</v>
      </c>
      <c r="E1378" s="29">
        <f>Cours_Hist_figé!E1442/Cours_Hist_figé!E1378 - 1</f>
        <v>-1.3741608750728052E-3</v>
      </c>
    </row>
    <row r="1379" spans="1:5" x14ac:dyDescent="0.4">
      <c r="A1379" s="27">
        <v>44082</v>
      </c>
      <c r="B1379" s="29">
        <f>Cours_Hist_figé!B1443/Cours_Hist_figé!B1379 - 1</f>
        <v>-1.1919721411001616E-2</v>
      </c>
      <c r="C1379" s="29">
        <f>Cours_Hist_figé!C1443/Cours_Hist_figé!C1379 - 1</f>
        <v>2.2386171560978774E-2</v>
      </c>
      <c r="D1379" s="29">
        <f>Cours_Hist_figé!D1443/Cours_Hist_figé!D1379 - 1</f>
        <v>-1.161937478793007E-3</v>
      </c>
      <c r="E1379" s="29">
        <f>Cours_Hist_figé!E1443/Cours_Hist_figé!E1379 - 1</f>
        <v>-1.3744024017149359E-3</v>
      </c>
    </row>
    <row r="1380" spans="1:5" x14ac:dyDescent="0.4">
      <c r="A1380" s="27">
        <v>44083</v>
      </c>
      <c r="B1380" s="29">
        <f>Cours_Hist_figé!B1444/Cours_Hist_figé!B1380 - 1</f>
        <v>4.7220639067437231E-2</v>
      </c>
      <c r="C1380" s="29">
        <f>Cours_Hist_figé!C1444/Cours_Hist_figé!C1380 - 1</f>
        <v>1.6272713259317673E-2</v>
      </c>
      <c r="D1380" s="29">
        <f>Cours_Hist_figé!D1444/Cours_Hist_figé!D1380 - 1</f>
        <v>-1.1620374493466201E-3</v>
      </c>
      <c r="E1380" s="29">
        <f>Cours_Hist_figé!E1444/Cours_Hist_figé!E1380 - 1</f>
        <v>-1.3745437749259626E-3</v>
      </c>
    </row>
    <row r="1381" spans="1:5" x14ac:dyDescent="0.4">
      <c r="A1381" s="27">
        <v>44084</v>
      </c>
      <c r="B1381" s="29">
        <f>Cours_Hist_figé!B1445/Cours_Hist_figé!B1381 - 1</f>
        <v>3.8012026273961608E-2</v>
      </c>
      <c r="C1381" s="29">
        <f>Cours_Hist_figé!C1445/Cours_Hist_figé!C1381 - 1</f>
        <v>1.3706753070396926E-2</v>
      </c>
      <c r="D1381" s="29">
        <f>Cours_Hist_figé!D1445/Cours_Hist_figé!D1381 - 1</f>
        <v>-1.16223773776436E-3</v>
      </c>
      <c r="E1381" s="29">
        <f>Cours_Hist_figé!E1445/Cours_Hist_figé!E1381 - 1</f>
        <v>-1.3747353163469089E-3</v>
      </c>
    </row>
    <row r="1382" spans="1:5" x14ac:dyDescent="0.4">
      <c r="A1382" s="27">
        <v>44085</v>
      </c>
      <c r="B1382" s="29">
        <f>Cours_Hist_figé!B1446/Cours_Hist_figé!B1382 - 1</f>
        <v>4.2592230664658226E-2</v>
      </c>
      <c r="C1382" s="29">
        <f>Cours_Hist_figé!C1446/Cours_Hist_figé!C1382 - 1</f>
        <v>1.6873723110203187E-2</v>
      </c>
      <c r="D1382" s="29">
        <f>Cours_Hist_figé!D1446/Cours_Hist_figé!D1382 - 1</f>
        <v>-1.1368643758370434E-3</v>
      </c>
      <c r="E1382" s="29">
        <f>Cours_Hist_figé!E1446/Cours_Hist_figé!E1382 - 1</f>
        <v>-1.3446715482536842E-3</v>
      </c>
    </row>
    <row r="1383" spans="1:5" x14ac:dyDescent="0.4">
      <c r="A1383" s="27">
        <v>44088</v>
      </c>
      <c r="B1383" s="29">
        <f>Cours_Hist_figé!B1447/Cours_Hist_figé!B1383 - 1</f>
        <v>1.4754269001098219E-2</v>
      </c>
      <c r="C1383" s="29">
        <f>Cours_Hist_figé!C1447/Cours_Hist_figé!C1383 - 1</f>
        <v>1.6171646615379842E-2</v>
      </c>
      <c r="D1383" s="29">
        <f>Cours_Hist_figé!D1447/Cours_Hist_figé!D1383 - 1</f>
        <v>-1.1630389337322633E-3</v>
      </c>
      <c r="E1383" s="29">
        <f>Cours_Hist_figé!E1447/Cours_Hist_figé!E1383 - 1</f>
        <v>-1.37552147999076E-3</v>
      </c>
    </row>
    <row r="1384" spans="1:5" x14ac:dyDescent="0.4">
      <c r="A1384" s="27">
        <v>44089</v>
      </c>
      <c r="B1384" s="29">
        <f>Cours_Hist_figé!B1448/Cours_Hist_figé!B1384 - 1</f>
        <v>1.3767360331009559E-2</v>
      </c>
      <c r="C1384" s="29">
        <f>Cours_Hist_figé!C1448/Cours_Hist_figé!C1384 - 1</f>
        <v>1.651475705023242E-2</v>
      </c>
      <c r="D1384" s="29">
        <f>Cours_Hist_figé!D1448/Cours_Hist_figé!D1384 - 1</f>
        <v>-1.1633396862185119E-3</v>
      </c>
      <c r="E1384" s="29">
        <f>Cours_Hist_figé!E1448/Cours_Hist_figé!E1384 - 1</f>
        <v>-1.3757632046905721E-3</v>
      </c>
    </row>
    <row r="1385" spans="1:5" x14ac:dyDescent="0.4">
      <c r="A1385" s="27">
        <v>44090</v>
      </c>
      <c r="B1385" s="29">
        <f>Cours_Hist_figé!B1449/Cours_Hist_figé!B1385 - 1</f>
        <v>2.7096235941765912E-2</v>
      </c>
      <c r="C1385" s="29">
        <f>Cours_Hist_figé!C1449/Cours_Hist_figé!C1385 - 1</f>
        <v>1.5697469538100917E-2</v>
      </c>
      <c r="D1385" s="29">
        <f>Cours_Hist_figé!D1449/Cours_Hist_figé!D1385 - 1</f>
        <v>-1.1635321636944695E-3</v>
      </c>
      <c r="E1385" s="29">
        <f>Cours_Hist_figé!E1449/Cours_Hist_figé!E1385 - 1</f>
        <v>-1.3759646969817574E-3</v>
      </c>
    </row>
    <row r="1386" spans="1:5" x14ac:dyDescent="0.4">
      <c r="A1386" s="27">
        <v>44091</v>
      </c>
      <c r="B1386" s="29">
        <f>Cours_Hist_figé!B1450/Cours_Hist_figé!B1386 - 1</f>
        <v>1.5108005406646141E-2</v>
      </c>
      <c r="C1386" s="29">
        <f>Cours_Hist_figé!C1450/Cours_Hist_figé!C1386 - 1</f>
        <v>1.652655330102526E-2</v>
      </c>
      <c r="D1386" s="29">
        <f>Cours_Hist_figé!D1450/Cours_Hist_figé!D1386 - 1</f>
        <v>-1.1639332542493497E-3</v>
      </c>
      <c r="E1386" s="29">
        <f>Cours_Hist_figé!E1450/Cours_Hist_figé!E1386 - 1</f>
        <v>-1.3762967071220267E-3</v>
      </c>
    </row>
    <row r="1387" spans="1:5" x14ac:dyDescent="0.4">
      <c r="A1387" s="27">
        <v>44092</v>
      </c>
      <c r="B1387" s="29">
        <f>Cours_Hist_figé!B1451/Cours_Hist_figé!B1387 - 1</f>
        <v>1.5830496058960586E-2</v>
      </c>
      <c r="C1387" s="29">
        <f>Cours_Hist_figé!C1451/Cours_Hist_figé!C1387 - 1</f>
        <v>1.3801401320186146E-2</v>
      </c>
      <c r="D1387" s="29">
        <f>Cours_Hist_figé!D1451/Cours_Hist_figé!D1387 - 1</f>
        <v>-1.1385654065060313E-3</v>
      </c>
      <c r="E1387" s="29">
        <f>Cours_Hist_figé!E1451/Cours_Hist_figé!E1387 - 1</f>
        <v>-1.3461997011146032E-3</v>
      </c>
    </row>
    <row r="1388" spans="1:5" x14ac:dyDescent="0.4">
      <c r="A1388" s="27">
        <v>44095</v>
      </c>
      <c r="B1388" s="29">
        <f>Cours_Hist_figé!B1452/Cours_Hist_figé!B1388 - 1</f>
        <v>-2.941694500131864E-2</v>
      </c>
      <c r="C1388" s="29">
        <f>Cours_Hist_figé!C1452/Cours_Hist_figé!C1388 - 1</f>
        <v>1.8034572876508337E-2</v>
      </c>
      <c r="D1388" s="29">
        <f>Cours_Hist_figé!D1452/Cours_Hist_figé!D1388 - 1</f>
        <v>-1.1646341535499483E-3</v>
      </c>
      <c r="E1388" s="29">
        <f>Cours_Hist_figé!E1452/Cours_Hist_figé!E1388 - 1</f>
        <v>-1.3770227261460377E-3</v>
      </c>
    </row>
    <row r="1389" spans="1:5" x14ac:dyDescent="0.4">
      <c r="A1389" s="27">
        <v>44096</v>
      </c>
      <c r="B1389" s="29">
        <f>Cours_Hist_figé!B1453/Cours_Hist_figé!B1389 - 1</f>
        <v>5.7157819142239497E-4</v>
      </c>
      <c r="C1389" s="29">
        <f>Cours_Hist_figé!C1453/Cours_Hist_figé!C1389 - 1</f>
        <v>1.6088800432582095E-2</v>
      </c>
      <c r="D1389" s="29">
        <f>Cours_Hist_figé!D1453/Cours_Hist_figé!D1389 - 1</f>
        <v>-1.164934836334508E-3</v>
      </c>
      <c r="E1389" s="29">
        <f>Cours_Hist_figé!E1453/Cours_Hist_figé!E1389 - 1</f>
        <v>-1.377244336030703E-3</v>
      </c>
    </row>
    <row r="1390" spans="1:5" x14ac:dyDescent="0.4">
      <c r="A1390" s="27">
        <v>44097</v>
      </c>
      <c r="B1390" s="29">
        <f>Cours_Hist_figé!B1454/Cours_Hist_figé!B1390 - 1</f>
        <v>-1.2361800623832409E-3</v>
      </c>
      <c r="C1390" s="29">
        <f>Cours_Hist_figé!C1454/Cours_Hist_figé!C1390 - 1</f>
        <v>1.4877670948348465E-2</v>
      </c>
      <c r="D1390" s="29">
        <f>Cours_Hist_figé!D1454/Cours_Hist_figé!D1390 - 1</f>
        <v>-1.1651351951202926E-3</v>
      </c>
      <c r="E1390" s="29">
        <f>Cours_Hist_figé!E1454/Cours_Hist_figé!E1390 - 1</f>
        <v>-1.3774057939197615E-3</v>
      </c>
    </row>
    <row r="1391" spans="1:5" x14ac:dyDescent="0.4">
      <c r="A1391" s="27">
        <v>44098</v>
      </c>
      <c r="B1391" s="29">
        <f>Cours_Hist_figé!B1455/Cours_Hist_figé!B1391 - 1</f>
        <v>-7.2279166818330909E-3</v>
      </c>
      <c r="C1391" s="29">
        <f>Cours_Hist_figé!C1455/Cours_Hist_figé!C1391 - 1</f>
        <v>1.4234765218734458E-2</v>
      </c>
      <c r="D1391" s="29">
        <f>Cours_Hist_figé!D1455/Cours_Hist_figé!D1391 - 1</f>
        <v>-1.1652351000628336E-3</v>
      </c>
      <c r="E1391" s="29">
        <f>Cours_Hist_figé!E1455/Cours_Hist_figé!E1391 - 1</f>
        <v>-1.3775170822128979E-3</v>
      </c>
    </row>
    <row r="1392" spans="1:5" x14ac:dyDescent="0.4">
      <c r="A1392" s="27">
        <v>44099</v>
      </c>
      <c r="B1392" s="29">
        <f>Cours_Hist_figé!B1456/Cours_Hist_figé!B1392 - 1</f>
        <v>-1.2654164984182259E-2</v>
      </c>
      <c r="C1392" s="29">
        <f>Cours_Hist_figé!C1456/Cours_Hist_figé!C1392 - 1</f>
        <v>1.4999630468230274E-2</v>
      </c>
      <c r="D1392" s="29">
        <f>Cours_Hist_figé!D1456/Cours_Hist_figé!D1392 - 1</f>
        <v>-1.1397646924498073E-3</v>
      </c>
      <c r="E1392" s="29">
        <f>Cours_Hist_figé!E1456/Cours_Hist_figé!E1392 - 1</f>
        <v>-1.3473367189001939E-3</v>
      </c>
    </row>
    <row r="1393" spans="1:5" x14ac:dyDescent="0.4">
      <c r="A1393" s="27">
        <v>44102</v>
      </c>
      <c r="B1393" s="29">
        <f>Cours_Hist_figé!B1457/Cours_Hist_figé!B1393 - 1</f>
        <v>8.1014262836036632E-3</v>
      </c>
      <c r="C1393" s="29">
        <f>Cours_Hist_figé!C1457/Cours_Hist_figé!C1393 - 1</f>
        <v>1.5068030448080805E-2</v>
      </c>
      <c r="D1393" s="29">
        <f>Cours_Hist_figé!D1457/Cours_Hist_figé!D1393 - 1</f>
        <v>-1.1660367010010164E-3</v>
      </c>
      <c r="E1393" s="29">
        <f>Cours_Hist_figé!E1457/Cours_Hist_figé!E1393 - 1</f>
        <v>-1.3783236913398333E-3</v>
      </c>
    </row>
    <row r="1394" spans="1:5" x14ac:dyDescent="0.4">
      <c r="A1394" s="27">
        <v>44103</v>
      </c>
      <c r="B1394" s="29">
        <f>Cours_Hist_figé!B1458/Cours_Hist_figé!B1394 - 1</f>
        <v>5.1891798562242464E-4</v>
      </c>
      <c r="C1394" s="29">
        <f>Cours_Hist_figé!C1458/Cours_Hist_figé!C1394 - 1</f>
        <v>2.0668228762473095E-2</v>
      </c>
      <c r="D1394" s="29">
        <f>Cours_Hist_figé!D1458/Cours_Hist_figé!D1394 - 1</f>
        <v>-1.166036518882696E-3</v>
      </c>
      <c r="E1394" s="29">
        <f>Cours_Hist_figé!E1458/Cours_Hist_figé!E1394 - 1</f>
        <v>-1.3783248533760784E-3</v>
      </c>
    </row>
    <row r="1395" spans="1:5" x14ac:dyDescent="0.4">
      <c r="A1395" s="27">
        <v>44104</v>
      </c>
      <c r="B1395" s="29">
        <f>Cours_Hist_figé!B1459/Cours_Hist_figé!B1395 - 1</f>
        <v>-2.057996924091865E-2</v>
      </c>
      <c r="C1395" s="29">
        <f>Cours_Hist_figé!C1459/Cours_Hist_figé!C1395 - 1</f>
        <v>1.537640109623406E-2</v>
      </c>
      <c r="D1395" s="29">
        <f>Cours_Hist_figé!D1459/Cours_Hist_figé!D1395 - 1</f>
        <v>-1.1662292994474299E-3</v>
      </c>
      <c r="E1395" s="29">
        <f>Cours_Hist_figé!E1459/Cours_Hist_figé!E1395 - 1</f>
        <v>-1.3785466621581977E-3</v>
      </c>
    </row>
    <row r="1396" spans="1:5" x14ac:dyDescent="0.4">
      <c r="A1396" s="27">
        <v>44105</v>
      </c>
      <c r="B1396" s="29">
        <f>Cours_Hist_figé!B1460/Cours_Hist_figé!B1396 - 1</f>
        <v>-1.0616932360539622E-2</v>
      </c>
      <c r="C1396" s="29">
        <f>Cours_Hist_figé!C1460/Cours_Hist_figé!C1396 - 1</f>
        <v>1.6842390723742051E-2</v>
      </c>
      <c r="D1396" s="29">
        <f>Cours_Hist_figé!D1460/Cours_Hist_figé!D1396 - 1</f>
        <v>-1.1668316397139833E-3</v>
      </c>
      <c r="E1396" s="29">
        <f>Cours_Hist_figé!E1460/Cours_Hist_figé!E1396 - 1</f>
        <v>-1.3791500547593039E-3</v>
      </c>
    </row>
    <row r="1397" spans="1:5" x14ac:dyDescent="0.4">
      <c r="A1397" s="27">
        <v>44106</v>
      </c>
      <c r="B1397" s="29">
        <f>Cours_Hist_figé!B1461/Cours_Hist_figé!B1397 - 1</f>
        <v>-2.3582907231555761E-2</v>
      </c>
      <c r="C1397" s="29">
        <f>Cours_Hist_figé!C1461/Cours_Hist_figé!C1397 - 1</f>
        <v>1.6798683071042486E-2</v>
      </c>
      <c r="D1397" s="29">
        <f>Cours_Hist_figé!D1461/Cours_Hist_figé!D1397 - 1</f>
        <v>-1.1412664814537399E-3</v>
      </c>
      <c r="E1397" s="29">
        <f>Cours_Hist_figé!E1461/Cours_Hist_figé!E1397 - 1</f>
        <v>-1.3489466816248852E-3</v>
      </c>
    </row>
    <row r="1398" spans="1:5" x14ac:dyDescent="0.4">
      <c r="A1398" s="27">
        <v>44109</v>
      </c>
      <c r="B1398" s="29">
        <f>Cours_Hist_figé!B1462/Cours_Hist_figé!B1398 - 1</f>
        <v>-9.4648744470898771E-3</v>
      </c>
      <c r="C1398" s="29">
        <f>Cours_Hist_figé!C1462/Cours_Hist_figé!C1398 - 1</f>
        <v>1.5838942702347536E-2</v>
      </c>
      <c r="D1398" s="29">
        <f>Cours_Hist_figé!D1462/Cours_Hist_figé!D1398 - 1</f>
        <v>-1.1675255545606777E-3</v>
      </c>
      <c r="E1398" s="29">
        <f>Cours_Hist_figé!E1462/Cours_Hist_figé!E1398 - 1</f>
        <v>-1.3798668857454288E-3</v>
      </c>
    </row>
    <row r="1399" spans="1:5" x14ac:dyDescent="0.4">
      <c r="A1399" s="27">
        <v>44110</v>
      </c>
      <c r="B1399" s="29">
        <f>Cours_Hist_figé!B1463/Cours_Hist_figé!B1399 - 1</f>
        <v>-2.6578619788453217E-3</v>
      </c>
      <c r="C1399" s="29">
        <f>Cours_Hist_figé!C1463/Cours_Hist_figé!C1399 - 1</f>
        <v>1.4913584038897865E-2</v>
      </c>
      <c r="D1399" s="29">
        <f>Cours_Hist_figé!D1463/Cours_Hist_figé!D1399 - 1</f>
        <v>-1.1677338164746143E-3</v>
      </c>
      <c r="E1399" s="29">
        <f>Cours_Hist_figé!E1463/Cours_Hist_figé!E1399 - 1</f>
        <v>-1.3800084694480796E-3</v>
      </c>
    </row>
    <row r="1400" spans="1:5" x14ac:dyDescent="0.4">
      <c r="A1400" s="27">
        <v>44111</v>
      </c>
      <c r="B1400" s="29">
        <f>Cours_Hist_figé!B1464/Cours_Hist_figé!B1400 - 1</f>
        <v>3.8395288414152517E-3</v>
      </c>
      <c r="C1400" s="29">
        <f>Cours_Hist_figé!C1464/Cours_Hist_figé!C1400 - 1</f>
        <v>1.329163525349264E-2</v>
      </c>
      <c r="D1400" s="29">
        <f>Cours_Hist_figé!D1464/Cours_Hist_figé!D1400 - 1</f>
        <v>-1.1679343555449639E-3</v>
      </c>
      <c r="E1400" s="29">
        <f>Cours_Hist_figé!E1464/Cours_Hist_figé!E1400 - 1</f>
        <v>-1.3802002418615844E-3</v>
      </c>
    </row>
    <row r="1401" spans="1:5" x14ac:dyDescent="0.4">
      <c r="A1401" s="27">
        <v>44112</v>
      </c>
      <c r="B1401" s="29">
        <f>Cours_Hist_figé!B1465/Cours_Hist_figé!B1401 - 1</f>
        <v>2.9249945517071385E-3</v>
      </c>
      <c r="C1401" s="29">
        <f>Cours_Hist_figé!C1465/Cours_Hist_figé!C1401 - 1</f>
        <v>1.4790537182930219E-2</v>
      </c>
      <c r="D1401" s="29">
        <f>Cours_Hist_figé!D1465/Cours_Hist_figé!D1401 - 1</f>
        <v>-1.1681348997887309E-3</v>
      </c>
      <c r="E1401" s="29">
        <f>Cours_Hist_figé!E1465/Cours_Hist_figé!E1401 - 1</f>
        <v>-1.3803719211148424E-3</v>
      </c>
    </row>
    <row r="1402" spans="1:5" x14ac:dyDescent="0.4">
      <c r="A1402" s="27">
        <v>44113</v>
      </c>
      <c r="B1402" s="29">
        <f>Cours_Hist_figé!B1466/Cours_Hist_figé!B1402 - 1</f>
        <v>-1.4729196723919369E-3</v>
      </c>
      <c r="C1402" s="29">
        <f>Cours_Hist_figé!C1466/Cours_Hist_figé!C1402 - 1</f>
        <v>1.9711889649568048E-2</v>
      </c>
      <c r="D1402" s="29">
        <f>Cours_Hist_figé!D1466/Cours_Hist_figé!D1402 - 1</f>
        <v>-1.1424592826051461E-3</v>
      </c>
      <c r="E1402" s="29">
        <f>Cours_Hist_figé!E1466/Cours_Hist_figé!E1402 - 1</f>
        <v>-1.350024775159997E-3</v>
      </c>
    </row>
    <row r="1403" spans="1:5" x14ac:dyDescent="0.4">
      <c r="A1403" s="27">
        <v>44116</v>
      </c>
      <c r="B1403" s="29">
        <f>Cours_Hist_figé!B1467/Cours_Hist_figé!B1403 - 1</f>
        <v>1.2964202421022364E-2</v>
      </c>
      <c r="C1403" s="29">
        <f>Cours_Hist_figé!C1467/Cours_Hist_figé!C1403 - 1</f>
        <v>1.8133100953168224E-2</v>
      </c>
      <c r="D1403" s="29">
        <f>Cours_Hist_figé!D1467/Cours_Hist_figé!D1403 - 1</f>
        <v>-1.1684271597808271E-3</v>
      </c>
      <c r="E1403" s="29">
        <f>Cours_Hist_figé!E1467/Cours_Hist_figé!E1403 - 1</f>
        <v>-1.3807274178494477E-3</v>
      </c>
    </row>
    <row r="1404" spans="1:5" x14ac:dyDescent="0.4">
      <c r="A1404" s="27">
        <v>44117</v>
      </c>
      <c r="B1404" s="29">
        <f>Cours_Hist_figé!B1468/Cours_Hist_figé!B1404 - 1</f>
        <v>-9.1473217884512348E-3</v>
      </c>
      <c r="C1404" s="29">
        <f>Cours_Hist_figé!C1468/Cours_Hist_figé!C1404 - 1</f>
        <v>1.915435159445833E-2</v>
      </c>
      <c r="D1404" s="29">
        <f>Cours_Hist_figé!D1468/Cours_Hist_figé!D1404 - 1</f>
        <v>-1.1686277233378117E-3</v>
      </c>
      <c r="E1404" s="29">
        <f>Cours_Hist_figé!E1468/Cours_Hist_figé!E1404 - 1</f>
        <v>-1.3808690714343097E-3</v>
      </c>
    </row>
    <row r="1405" spans="1:5" x14ac:dyDescent="0.4">
      <c r="A1405" s="27">
        <v>44118</v>
      </c>
      <c r="B1405" s="29">
        <f>Cours_Hist_figé!B1469/Cours_Hist_figé!B1405 - 1</f>
        <v>-5.5774209546862741E-3</v>
      </c>
      <c r="C1405" s="29">
        <f>Cours_Hist_figé!C1469/Cours_Hist_figé!C1405 - 1</f>
        <v>1.8329921487270084E-2</v>
      </c>
      <c r="D1405" s="29">
        <f>Cours_Hist_figé!D1469/Cours_Hist_figé!D1405 - 1</f>
        <v>-1.1688282920689907E-3</v>
      </c>
      <c r="E1405" s="29">
        <f>Cours_Hist_figé!E1469/Cours_Hist_figé!E1405 - 1</f>
        <v>-1.3809805988697077E-3</v>
      </c>
    </row>
    <row r="1406" spans="1:5" x14ac:dyDescent="0.4">
      <c r="A1406" s="27">
        <v>44119</v>
      </c>
      <c r="B1406" s="29">
        <f>Cours_Hist_figé!B1470/Cours_Hist_figé!B1406 - 1</f>
        <v>-2.7908958788491756E-2</v>
      </c>
      <c r="C1406" s="29">
        <f>Cours_Hist_figé!C1470/Cours_Hist_figé!C1406 - 1</f>
        <v>2.008162427014204E-2</v>
      </c>
      <c r="D1406" s="29">
        <f>Cours_Hist_figé!D1470/Cours_Hist_figé!D1406 - 1</f>
        <v>-1.1692295853837908E-3</v>
      </c>
      <c r="E1406" s="29">
        <f>Cours_Hist_figé!E1470/Cours_Hist_figé!E1406 - 1</f>
        <v>-1.3813930507107219E-3</v>
      </c>
    </row>
    <row r="1407" spans="1:5" x14ac:dyDescent="0.4">
      <c r="A1407" s="27">
        <v>44120</v>
      </c>
      <c r="B1407" s="29">
        <f>Cours_Hist_figé!B1471/Cours_Hist_figé!B1407 - 1</f>
        <v>-2.1947209757884556E-2</v>
      </c>
      <c r="C1407" s="29">
        <f>Cours_Hist_figé!C1471/Cours_Hist_figé!C1407 - 1</f>
        <v>1.8797412470071162E-2</v>
      </c>
      <c r="D1407" s="29">
        <f>Cours_Hist_figé!D1471/Cours_Hist_figé!D1407 - 1</f>
        <v>-1.1435595297860646E-3</v>
      </c>
      <c r="E1407" s="29">
        <f>Cours_Hist_figé!E1471/Cours_Hist_figé!E1407 - 1</f>
        <v>-1.3509625765296684E-3</v>
      </c>
    </row>
    <row r="1408" spans="1:5" x14ac:dyDescent="0.4">
      <c r="A1408" s="27">
        <v>44123</v>
      </c>
      <c r="B1408" s="29">
        <f>Cours_Hist_figé!B1472/Cours_Hist_figé!B1408 - 1</f>
        <v>-2.7209388100250198E-2</v>
      </c>
      <c r="C1408" s="29">
        <f>Cours_Hist_figé!C1472/Cours_Hist_figé!C1408 - 1</f>
        <v>1.7124500852237601E-2</v>
      </c>
      <c r="D1408" s="29">
        <f>Cours_Hist_figé!D1472/Cours_Hist_figé!D1408 - 1</f>
        <v>-1.1696301310797352E-3</v>
      </c>
      <c r="E1408" s="29">
        <f>Cours_Hist_figé!E1472/Cours_Hist_figé!E1408 - 1</f>
        <v>-1.3817086372810428E-3</v>
      </c>
    </row>
    <row r="1409" spans="1:5" x14ac:dyDescent="0.4">
      <c r="A1409" s="27">
        <v>44124</v>
      </c>
      <c r="B1409" s="29">
        <f>Cours_Hist_figé!B1473/Cours_Hist_figé!B1409 - 1</f>
        <v>-2.0913413194149633E-2</v>
      </c>
      <c r="C1409" s="29">
        <f>Cours_Hist_figé!C1473/Cours_Hist_figé!C1409 - 1</f>
        <v>1.367033609604551E-2</v>
      </c>
      <c r="D1409" s="29">
        <f>Cours_Hist_figé!D1473/Cours_Hist_figé!D1409 - 1</f>
        <v>-1.169730244590439E-3</v>
      </c>
      <c r="E1409" s="29">
        <f>Cours_Hist_figé!E1473/Cours_Hist_figé!E1409 - 1</f>
        <v>-1.3818100739670935E-3</v>
      </c>
    </row>
    <row r="1410" spans="1:5" x14ac:dyDescent="0.4">
      <c r="A1410" s="27">
        <v>44125</v>
      </c>
      <c r="B1410" s="29">
        <f>Cours_Hist_figé!B1474/Cours_Hist_figé!B1410 - 1</f>
        <v>-3.4405308831036208E-2</v>
      </c>
      <c r="C1410" s="29">
        <f>Cours_Hist_figé!C1474/Cours_Hist_figé!C1410 - 1</f>
        <v>1.2614816360415837E-2</v>
      </c>
      <c r="D1410" s="29">
        <f>Cours_Hist_figé!D1474/Cours_Hist_figé!D1410 - 1</f>
        <v>-1.1698303606844096E-3</v>
      </c>
      <c r="E1410" s="29">
        <f>Cours_Hist_figé!E1474/Cours_Hist_figé!E1410 - 1</f>
        <v>-1.3818914523741066E-3</v>
      </c>
    </row>
    <row r="1411" spans="1:5" x14ac:dyDescent="0.4">
      <c r="A1411" s="27">
        <v>44126</v>
      </c>
      <c r="B1411" s="29">
        <f>Cours_Hist_figé!B1475/Cours_Hist_figé!B1411 - 1</f>
        <v>-1.8740422782239419E-2</v>
      </c>
      <c r="C1411" s="29">
        <f>Cours_Hist_figé!C1475/Cours_Hist_figé!C1411 - 1</f>
        <v>1.242835535373743E-2</v>
      </c>
      <c r="D1411" s="29">
        <f>Cours_Hist_figé!D1475/Cours_Hist_figé!D1411 - 1</f>
        <v>-1.1699304793615362E-3</v>
      </c>
      <c r="E1411" s="29">
        <f>Cours_Hist_figé!E1475/Cours_Hist_figé!E1411 - 1</f>
        <v>-1.3819527438255763E-3</v>
      </c>
    </row>
    <row r="1412" spans="1:5" x14ac:dyDescent="0.4">
      <c r="A1412" s="27">
        <v>44127</v>
      </c>
      <c r="B1412" s="29">
        <f>Cours_Hist_figé!B1476/Cours_Hist_figé!B1412 - 1</f>
        <v>-8.9170181017228511E-3</v>
      </c>
      <c r="C1412" s="29">
        <f>Cours_Hist_figé!C1476/Cours_Hist_figé!C1412 - 1</f>
        <v>1.0806637935275587E-2</v>
      </c>
      <c r="D1412" s="29">
        <f>Cours_Hist_figé!D1476/Cours_Hist_figé!D1412 - 1</f>
        <v>-1.144157639978105E-3</v>
      </c>
      <c r="E1412" s="29">
        <f>Cours_Hist_figé!E1476/Cours_Hist_figé!E1412 - 1</f>
        <v>-1.3514687985383134E-3</v>
      </c>
    </row>
    <row r="1413" spans="1:5" x14ac:dyDescent="0.4">
      <c r="A1413" s="27">
        <v>44130</v>
      </c>
      <c r="B1413" s="29">
        <f>Cours_Hist_figé!B1477/Cours_Hist_figé!B1413 - 1</f>
        <v>-2.9846270807691866E-2</v>
      </c>
      <c r="C1413" s="29">
        <f>Cours_Hist_figé!C1477/Cours_Hist_figé!C1413 - 1</f>
        <v>1.1062262612191898E-2</v>
      </c>
      <c r="D1413" s="29">
        <f>Cours_Hist_figé!D1477/Cours_Hist_figé!D1413 - 1</f>
        <v>-1.1701302231651445E-3</v>
      </c>
      <c r="E1413" s="29">
        <f>Cours_Hist_figé!E1477/Cours_Hist_figé!E1413 - 1</f>
        <v>-1.3821780181880738E-3</v>
      </c>
    </row>
    <row r="1414" spans="1:5" x14ac:dyDescent="0.4">
      <c r="A1414" s="27">
        <v>44131</v>
      </c>
      <c r="B1414" s="29">
        <f>Cours_Hist_figé!B1478/Cours_Hist_figé!B1414 - 1</f>
        <v>-3.8797572064898866E-2</v>
      </c>
      <c r="C1414" s="29">
        <f>Cours_Hist_figé!C1478/Cours_Hist_figé!C1414 - 1</f>
        <v>1.4167070513508184E-2</v>
      </c>
      <c r="D1414" s="29">
        <f>Cours_Hist_figé!D1478/Cours_Hist_figé!D1414 - 1</f>
        <v>-1.1702303521886614E-3</v>
      </c>
      <c r="E1414" s="29">
        <f>Cours_Hist_figé!E1478/Cours_Hist_figé!E1414 - 1</f>
        <v>-1.3821991784034315E-3</v>
      </c>
    </row>
    <row r="1415" spans="1:5" x14ac:dyDescent="0.4">
      <c r="A1415" s="27">
        <v>44132</v>
      </c>
      <c r="B1415" s="29">
        <f>Cours_Hist_figé!B1479/Cours_Hist_figé!B1415 - 1</f>
        <v>-4.6001030676792287E-2</v>
      </c>
      <c r="C1415" s="29">
        <f>Cours_Hist_figé!C1479/Cours_Hist_figé!C1415 - 1</f>
        <v>1.0917478594626662E-2</v>
      </c>
      <c r="D1415" s="29">
        <f>Cours_Hist_figé!D1479/Cours_Hist_figé!D1415 - 1</f>
        <v>-1.1702301073502897E-3</v>
      </c>
      <c r="E1415" s="29">
        <f>Cours_Hist_figé!E1479/Cours_Hist_figé!E1415 - 1</f>
        <v>-1.3822304543377184E-3</v>
      </c>
    </row>
    <row r="1416" spans="1:5" x14ac:dyDescent="0.4">
      <c r="A1416" s="27">
        <v>44133</v>
      </c>
      <c r="B1416" s="29">
        <f>Cours_Hist_figé!B1480/Cours_Hist_figé!B1416 - 1</f>
        <v>-3.7450689218726629E-2</v>
      </c>
      <c r="C1416" s="29">
        <f>Cours_Hist_figé!C1480/Cours_Hist_figé!C1416 - 1</f>
        <v>1.3654267993274072E-2</v>
      </c>
      <c r="D1416" s="29">
        <f>Cours_Hist_figé!D1480/Cours_Hist_figé!D1416 - 1</f>
        <v>-1.1703226274566436E-3</v>
      </c>
      <c r="E1416" s="29">
        <f>Cours_Hist_figé!E1480/Cours_Hist_figé!E1416 - 1</f>
        <v>-1.3823119324537503E-3</v>
      </c>
    </row>
    <row r="1417" spans="1:5" x14ac:dyDescent="0.4">
      <c r="A1417" s="27">
        <v>44134</v>
      </c>
      <c r="B1417" s="29">
        <f>Cours_Hist_figé!B1481/Cours_Hist_figé!B1417 - 1</f>
        <v>-5.5325678730917982E-2</v>
      </c>
      <c r="C1417" s="29">
        <f>Cours_Hist_figé!C1481/Cours_Hist_figé!C1417 - 1</f>
        <v>1.3764878064288943E-2</v>
      </c>
      <c r="D1417" s="29">
        <f>Cours_Hist_figé!D1481/Cours_Hist_figé!D1417 - 1</f>
        <v>-1.1446555714718087E-3</v>
      </c>
      <c r="E1417" s="29">
        <f>Cours_Hist_figé!E1481/Cours_Hist_figé!E1417 - 1</f>
        <v>-1.3518547503835743E-3</v>
      </c>
    </row>
    <row r="1418" spans="1:5" x14ac:dyDescent="0.4">
      <c r="A1418" s="27">
        <v>44137</v>
      </c>
      <c r="B1418" s="29">
        <f>Cours_Hist_figé!B1482/Cours_Hist_figé!B1418 - 1</f>
        <v>-3.9398788304766952E-2</v>
      </c>
      <c r="C1418" s="29">
        <f>Cours_Hist_figé!C1482/Cours_Hist_figé!C1418 - 1</f>
        <v>1.0972204559403176E-2</v>
      </c>
      <c r="D1418" s="29">
        <f>Cours_Hist_figé!D1482/Cours_Hist_figé!D1418 - 1</f>
        <v>-1.1709320160565584E-3</v>
      </c>
      <c r="E1418" s="29">
        <f>Cours_Hist_figé!E1482/Cours_Hist_figé!E1418 - 1</f>
        <v>-1.3828987988449004E-3</v>
      </c>
    </row>
    <row r="1419" spans="1:5" x14ac:dyDescent="0.4">
      <c r="A1419" s="27">
        <v>44138</v>
      </c>
      <c r="B1419" s="29">
        <f>Cours_Hist_figé!B1483/Cours_Hist_figé!B1419 - 1</f>
        <v>-2.1212201600153358E-2</v>
      </c>
      <c r="C1419" s="29">
        <f>Cours_Hist_figé!C1483/Cours_Hist_figé!C1419 - 1</f>
        <v>1.3512989265793252E-2</v>
      </c>
      <c r="D1419" s="29">
        <f>Cours_Hist_figé!D1483/Cours_Hist_figé!D1419 - 1</f>
        <v>-1.171124935442136E-3</v>
      </c>
      <c r="E1419" s="29">
        <f>Cours_Hist_figé!E1483/Cours_Hist_figé!E1419 - 1</f>
        <v>-1.3830003448985773E-3</v>
      </c>
    </row>
    <row r="1420" spans="1:5" x14ac:dyDescent="0.4">
      <c r="A1420" s="27">
        <v>44139</v>
      </c>
      <c r="B1420" s="29">
        <f>Cours_Hist_figé!B1484/Cours_Hist_figé!B1420 - 1</f>
        <v>5.5851704515097467E-3</v>
      </c>
      <c r="C1420" s="29">
        <f>Cours_Hist_figé!C1484/Cours_Hist_figé!C1420 - 1</f>
        <v>1.3096210321008384E-2</v>
      </c>
      <c r="D1420" s="29">
        <f>Cours_Hist_figé!D1484/Cours_Hist_figé!D1420 - 1</f>
        <v>-1.1711247022140325E-3</v>
      </c>
      <c r="E1420" s="29">
        <f>Cours_Hist_figé!E1484/Cours_Hist_figé!E1420 - 1</f>
        <v>-1.383031594807238E-3</v>
      </c>
    </row>
    <row r="1421" spans="1:5" x14ac:dyDescent="0.4">
      <c r="A1421" s="27">
        <v>44140</v>
      </c>
      <c r="B1421" s="29">
        <f>Cours_Hist_figé!B1485/Cours_Hist_figé!B1421 - 1</f>
        <v>1.2722410778566173E-2</v>
      </c>
      <c r="C1421" s="29">
        <f>Cours_Hist_figé!C1485/Cours_Hist_figé!C1421 - 1</f>
        <v>1.4078666699131714E-2</v>
      </c>
      <c r="D1421" s="29">
        <f>Cours_Hist_figé!D1485/Cours_Hist_figé!D1421 - 1</f>
        <v>-1.1712249643948125E-3</v>
      </c>
      <c r="E1421" s="29">
        <f>Cours_Hist_figé!E1485/Cours_Hist_figé!E1421 - 1</f>
        <v>-1.3831734029875475E-3</v>
      </c>
    </row>
    <row r="1422" spans="1:5" x14ac:dyDescent="0.4">
      <c r="A1422" s="27">
        <v>44141</v>
      </c>
      <c r="B1422" s="29">
        <f>Cours_Hist_figé!B1486/Cours_Hist_figé!B1422 - 1</f>
        <v>7.2020831586498968E-3</v>
      </c>
      <c r="C1422" s="29">
        <f>Cours_Hist_figé!C1486/Cours_Hist_figé!C1422 - 1</f>
        <v>1.1681989946239035E-2</v>
      </c>
      <c r="D1422" s="29">
        <f>Cours_Hist_figé!D1486/Cours_Hist_figé!D1422 - 1</f>
        <v>-1.1453549464200963E-3</v>
      </c>
      <c r="E1422" s="29">
        <f>Cours_Hist_figé!E1486/Cours_Hist_figé!E1422 - 1</f>
        <v>-1.3525726732012133E-3</v>
      </c>
    </row>
    <row r="1423" spans="1:5" x14ac:dyDescent="0.4">
      <c r="A1423" s="27">
        <v>44144</v>
      </c>
      <c r="B1423" s="29">
        <f>Cours_Hist_figé!B1487/Cours_Hist_figé!B1423 - 1</f>
        <v>3.1330479375982767E-2</v>
      </c>
      <c r="C1423" s="29">
        <f>Cours_Hist_figé!C1487/Cours_Hist_figé!C1423 - 1</f>
        <v>8.6038947249069686E-3</v>
      </c>
      <c r="D1423" s="29">
        <f>Cours_Hist_figé!D1487/Cours_Hist_figé!D1423 - 1</f>
        <v>-1.1717265669918264E-3</v>
      </c>
      <c r="E1423" s="29">
        <f>Cours_Hist_figé!E1487/Cours_Hist_figé!E1423 - 1</f>
        <v>-1.3836502796513717E-3</v>
      </c>
    </row>
    <row r="1424" spans="1:5" x14ac:dyDescent="0.4">
      <c r="A1424" s="27">
        <v>44145</v>
      </c>
      <c r="B1424" s="29">
        <f>Cours_Hist_figé!B1488/Cours_Hist_figé!B1424 - 1</f>
        <v>2.9158315544764557E-2</v>
      </c>
      <c r="C1424" s="29">
        <f>Cours_Hist_figé!C1488/Cours_Hist_figé!C1424 - 1</f>
        <v>8.9573497041761652E-3</v>
      </c>
      <c r="D1424" s="29">
        <f>Cours_Hist_figé!D1488/Cours_Hist_figé!D1424 - 1</f>
        <v>-1.1718268525721109E-3</v>
      </c>
      <c r="E1424" s="29">
        <f>Cours_Hist_figé!E1488/Cours_Hist_figé!E1424 - 1</f>
        <v>-1.3838021280715429E-3</v>
      </c>
    </row>
    <row r="1425" spans="1:5" x14ac:dyDescent="0.4">
      <c r="A1425" s="27">
        <v>44146</v>
      </c>
      <c r="B1425" s="29">
        <f>Cours_Hist_figé!B1489/Cours_Hist_figé!B1425 - 1</f>
        <v>4.6244782997752587E-2</v>
      </c>
      <c r="C1425" s="29">
        <f>Cours_Hist_figé!C1489/Cours_Hist_figé!C1425 - 1</f>
        <v>1.3818700313660059E-2</v>
      </c>
      <c r="D1425" s="29">
        <f>Cours_Hist_figé!D1489/Cours_Hist_figé!D1425 - 1</f>
        <v>-1.1719271316995572E-3</v>
      </c>
      <c r="E1425" s="29">
        <f>Cours_Hist_figé!E1489/Cours_Hist_figé!E1425 - 1</f>
        <v>-1.3839439194446301E-3</v>
      </c>
    </row>
    <row r="1426" spans="1:5" x14ac:dyDescent="0.4">
      <c r="A1426" s="27">
        <v>44147</v>
      </c>
      <c r="B1426" s="29">
        <f>Cours_Hist_figé!B1490/Cours_Hist_figé!B1426 - 1</f>
        <v>4.9881603044532596E-2</v>
      </c>
      <c r="C1426" s="29">
        <f>Cours_Hist_figé!C1490/Cours_Hist_figé!C1426 - 1</f>
        <v>1.5086293972191633E-2</v>
      </c>
      <c r="D1426" s="29">
        <f>Cours_Hist_figé!D1490/Cours_Hist_figé!D1426 - 1</f>
        <v>-1.1720274134340292E-3</v>
      </c>
      <c r="E1426" s="29">
        <f>Cours_Hist_figé!E1490/Cours_Hist_figé!E1426 - 1</f>
        <v>-1.3841158590311986E-3</v>
      </c>
    </row>
    <row r="1427" spans="1:5" x14ac:dyDescent="0.4">
      <c r="A1427" s="27">
        <v>44148</v>
      </c>
      <c r="B1427" s="29">
        <f>Cours_Hist_figé!B1491/Cours_Hist_figé!B1427 - 1</f>
        <v>4.6736907495208868E-2</v>
      </c>
      <c r="C1427" s="29">
        <f>Cours_Hist_figé!C1491/Cours_Hist_figé!C1427 - 1</f>
        <v>1.3904508665817161E-2</v>
      </c>
      <c r="D1427" s="29">
        <f>Cours_Hist_figé!D1491/Cours_Hist_figé!D1427 - 1</f>
        <v>-1.1462552442882412E-3</v>
      </c>
      <c r="E1427" s="29">
        <f>Cours_Hist_figé!E1491/Cours_Hist_figé!E1427 - 1</f>
        <v>-1.3536320020305359E-3</v>
      </c>
    </row>
    <row r="1428" spans="1:5" x14ac:dyDescent="0.4">
      <c r="A1428" s="27">
        <v>44151</v>
      </c>
      <c r="B1428" s="29">
        <f>Cours_Hist_figé!B1492/Cours_Hist_figé!B1428 - 1</f>
        <v>6.4971566104764289E-2</v>
      </c>
      <c r="C1428" s="29">
        <f>Cours_Hist_figé!C1492/Cours_Hist_figé!C1428 - 1</f>
        <v>1.3911936885255827E-2</v>
      </c>
      <c r="D1428" s="29">
        <f>Cours_Hist_figé!D1492/Cours_Hist_figé!D1428 - 1</f>
        <v>-1.1724282310178191E-3</v>
      </c>
      <c r="E1428" s="29">
        <f>Cours_Hist_figé!E1492/Cours_Hist_figé!E1428 - 1</f>
        <v>-1.384552149742535E-3</v>
      </c>
    </row>
    <row r="1429" spans="1:5" x14ac:dyDescent="0.4">
      <c r="A1429" s="27">
        <v>44152</v>
      </c>
      <c r="B1429" s="29">
        <f>Cours_Hist_figé!B1493/Cours_Hist_figé!B1429 - 1</f>
        <v>5.558660525250736E-2</v>
      </c>
      <c r="C1429" s="29">
        <f>Cours_Hist_figé!C1493/Cours_Hist_figé!C1429 - 1</f>
        <v>1.4427197005417058E-2</v>
      </c>
      <c r="D1429" s="29">
        <f>Cours_Hist_figé!D1493/Cours_Hist_figé!D1429 - 1</f>
        <v>-1.1725285257541129E-3</v>
      </c>
      <c r="E1429" s="29">
        <f>Cours_Hist_figé!E1493/Cours_Hist_figé!E1429 - 1</f>
        <v>-1.3846739377556538E-3</v>
      </c>
    </row>
    <row r="1430" spans="1:5" x14ac:dyDescent="0.4">
      <c r="A1430" s="27">
        <v>44153</v>
      </c>
      <c r="B1430" s="29">
        <f>Cours_Hist_figé!B1494/Cours_Hist_figé!B1430 - 1</f>
        <v>7.1590739905020628E-2</v>
      </c>
      <c r="C1430" s="29">
        <f>Cours_Hist_figé!C1494/Cours_Hist_figé!C1430 - 1</f>
        <v>1.3184450263711067E-2</v>
      </c>
      <c r="D1430" s="29">
        <f>Cours_Hist_figé!D1494/Cours_Hist_figé!D1430 - 1</f>
        <v>-1.1726288230974324E-3</v>
      </c>
      <c r="E1430" s="29">
        <f>Cours_Hist_figé!E1494/Cours_Hist_figé!E1430 - 1</f>
        <v>-1.3847756039285786E-3</v>
      </c>
    </row>
    <row r="1431" spans="1:5" x14ac:dyDescent="0.4">
      <c r="A1431" s="27">
        <v>44154</v>
      </c>
      <c r="B1431" s="29">
        <f>Cours_Hist_figé!B1495/Cours_Hist_figé!B1431 - 1</f>
        <v>6.5298998058930913E-2</v>
      </c>
      <c r="C1431" s="29">
        <f>Cours_Hist_figé!C1495/Cours_Hist_figé!C1431 - 1</f>
        <v>1.4089121041158448E-2</v>
      </c>
      <c r="D1431" s="29">
        <f>Cours_Hist_figé!D1495/Cours_Hist_figé!D1431 - 1</f>
        <v>-1.1727213995986752E-3</v>
      </c>
      <c r="E1431" s="29">
        <f>Cours_Hist_figé!E1495/Cours_Hist_figé!E1431 - 1</f>
        <v>-1.3848973573737933E-3</v>
      </c>
    </row>
    <row r="1432" spans="1:5" x14ac:dyDescent="0.4">
      <c r="A1432" s="27">
        <v>44155</v>
      </c>
      <c r="B1432" s="29">
        <f>Cours_Hist_figé!B1496/Cours_Hist_figé!B1432 - 1</f>
        <v>5.3582548534966801E-2</v>
      </c>
      <c r="C1432" s="29">
        <f>Cours_Hist_figé!C1496/Cours_Hist_figé!C1432 - 1</f>
        <v>1.4950741079408303E-2</v>
      </c>
      <c r="D1432" s="29">
        <f>Cours_Hist_figé!D1496/Cours_Hist_figé!D1432 - 1</f>
        <v>-1.1467540423801825E-3</v>
      </c>
      <c r="E1432" s="29">
        <f>Cours_Hist_figé!E1496/Cours_Hist_figé!E1432 - 1</f>
        <v>-1.3542399840238417E-3</v>
      </c>
    </row>
    <row r="1433" spans="1:5" x14ac:dyDescent="0.4">
      <c r="A1433" s="27">
        <v>44158</v>
      </c>
      <c r="B1433" s="29">
        <f>Cours_Hist_figé!B1497/Cours_Hist_figé!B1433 - 1</f>
        <v>5.5149321848095845E-2</v>
      </c>
      <c r="C1433" s="29">
        <f>Cours_Hist_figé!C1497/Cours_Hist_figé!C1433 - 1</f>
        <v>1.9316705425896696E-2</v>
      </c>
      <c r="D1433" s="29">
        <f>Cours_Hist_figé!D1497/Cours_Hist_figé!D1433 - 1</f>
        <v>-1.1730299479626449E-3</v>
      </c>
      <c r="E1433" s="29">
        <f>Cours_Hist_figé!E1497/Cours_Hist_figé!E1433 - 1</f>
        <v>-1.3852840234234165E-3</v>
      </c>
    </row>
    <row r="1434" spans="1:5" x14ac:dyDescent="0.4">
      <c r="A1434" s="27">
        <v>44159</v>
      </c>
      <c r="B1434" s="29">
        <f>Cours_Hist_figé!B1498/Cours_Hist_figé!B1434 - 1</f>
        <v>5.6714068221132008E-2</v>
      </c>
      <c r="C1434" s="29">
        <f>Cours_Hist_figé!C1498/Cours_Hist_figé!C1434 - 1</f>
        <v>1.9679160806793439E-2</v>
      </c>
      <c r="D1434" s="29">
        <f>Cours_Hist_figé!D1498/Cours_Hist_figé!D1434 - 1</f>
        <v>-1.1731225357084485E-3</v>
      </c>
      <c r="E1434" s="29">
        <f>Cours_Hist_figé!E1498/Cours_Hist_figé!E1434 - 1</f>
        <v>-1.385385708347231E-3</v>
      </c>
    </row>
    <row r="1435" spans="1:5" x14ac:dyDescent="0.4">
      <c r="A1435" s="27">
        <v>44160</v>
      </c>
      <c r="B1435" s="29">
        <f>Cours_Hist_figé!B1499/Cours_Hist_figé!B1435 - 1</f>
        <v>6.2873610147365921E-2</v>
      </c>
      <c r="C1435" s="29">
        <f>Cours_Hist_figé!C1499/Cours_Hist_figé!C1435 - 1</f>
        <v>2.1229190517585872E-2</v>
      </c>
      <c r="D1435" s="29">
        <f>Cours_Hist_figé!D1499/Cours_Hist_figé!D1435 - 1</f>
        <v>-1.1732228499119479E-3</v>
      </c>
      <c r="E1435" s="29">
        <f>Cours_Hist_figé!E1499/Cours_Hist_figé!E1435 - 1</f>
        <v>-1.3854472244061444E-3</v>
      </c>
    </row>
    <row r="1436" spans="1:5" x14ac:dyDescent="0.4">
      <c r="A1436" s="27">
        <v>44161</v>
      </c>
      <c r="B1436" s="29">
        <f>Cours_Hist_figé!B1500/Cours_Hist_figé!B1436 - 1</f>
        <v>6.7258762948271267E-2</v>
      </c>
      <c r="C1436" s="29">
        <f>Cours_Hist_figé!C1500/Cours_Hist_figé!C1436 - 1</f>
        <v>2.1577235404186323E-2</v>
      </c>
      <c r="D1436" s="29">
        <f>Cours_Hist_figé!D1500/Cours_Hist_figé!D1436 - 1</f>
        <v>-1.1732226348326602E-3</v>
      </c>
      <c r="E1436" s="29">
        <f>Cours_Hist_figé!E1500/Cours_Hist_figé!E1436 - 1</f>
        <v>-1.385498622621939E-3</v>
      </c>
    </row>
    <row r="1437" spans="1:5" x14ac:dyDescent="0.4">
      <c r="A1437" s="27">
        <v>44162</v>
      </c>
      <c r="B1437" s="29">
        <f>Cours_Hist_figé!B1501/Cours_Hist_figé!B1437 - 1</f>
        <v>7.8178298701960358E-2</v>
      </c>
      <c r="C1437" s="29">
        <f>Cours_Hist_figé!C1501/Cours_Hist_figé!C1437 - 1</f>
        <v>2.23118450325277E-2</v>
      </c>
      <c r="D1437" s="29">
        <f>Cours_Hist_figé!D1501/Cours_Hist_figé!D1437 - 1</f>
        <v>-1.1474537722852007E-3</v>
      </c>
      <c r="E1437" s="29">
        <f>Cours_Hist_figé!E1501/Cours_Hist_figé!E1437 - 1</f>
        <v>-1.354988505407495E-3</v>
      </c>
    </row>
    <row r="1438" spans="1:5" x14ac:dyDescent="0.4">
      <c r="A1438" s="27">
        <v>44165</v>
      </c>
      <c r="B1438" s="29">
        <f>Cours_Hist_figé!B1502/Cours_Hist_figé!B1438 - 1</f>
        <v>7.0959802164166419E-2</v>
      </c>
      <c r="C1438" s="29">
        <f>Cours_Hist_figé!C1502/Cours_Hist_figé!C1438 - 1</f>
        <v>2.0414850605168233E-2</v>
      </c>
      <c r="D1438" s="29">
        <f>Cours_Hist_figé!D1502/Cours_Hist_figé!D1438 - 1</f>
        <v>-1.1736239229342971E-3</v>
      </c>
      <c r="E1438" s="29">
        <f>Cours_Hist_figé!E1502/Cours_Hist_figé!E1438 - 1</f>
        <v>-1.3858953622768455E-3</v>
      </c>
    </row>
    <row r="1439" spans="1:5" x14ac:dyDescent="0.4">
      <c r="A1439" s="27">
        <v>44166</v>
      </c>
      <c r="B1439" s="29">
        <f>Cours_Hist_figé!B1503/Cours_Hist_figé!B1439 - 1</f>
        <v>6.0151565303103283E-2</v>
      </c>
      <c r="C1439" s="29">
        <f>Cours_Hist_figé!C1503/Cours_Hist_figé!C1439 - 1</f>
        <v>1.2833524405162056E-2</v>
      </c>
      <c r="D1439" s="29">
        <f>Cours_Hist_figé!D1503/Cours_Hist_figé!D1439 - 1</f>
        <v>-1.1738247899065746E-3</v>
      </c>
      <c r="E1439" s="29">
        <f>Cours_Hist_figé!E1503/Cours_Hist_figé!E1439 - 1</f>
        <v>-1.3860574007110715E-3</v>
      </c>
    </row>
    <row r="1440" spans="1:5" x14ac:dyDescent="0.4">
      <c r="A1440" s="27">
        <v>44167</v>
      </c>
      <c r="B1440" s="29">
        <f>Cours_Hist_figé!B1504/Cours_Hist_figé!B1440 - 1</f>
        <v>7.4527966228900011E-2</v>
      </c>
      <c r="C1440" s="29">
        <f>Cours_Hist_figé!C1504/Cours_Hist_figé!C1440 - 1</f>
        <v>1.1840945888305088E-2</v>
      </c>
      <c r="D1440" s="29">
        <f>Cours_Hist_figé!D1504/Cours_Hist_figé!D1440 - 1</f>
        <v>-1.1738247006520819E-3</v>
      </c>
      <c r="E1440" s="29">
        <f>Cours_Hist_figé!E1504/Cours_Hist_figé!E1440 - 1</f>
        <v>-1.3861189755202119E-3</v>
      </c>
    </row>
    <row r="1441" spans="1:5" x14ac:dyDescent="0.4">
      <c r="A1441" s="27">
        <v>44168</v>
      </c>
      <c r="B1441" s="29">
        <f>Cours_Hist_figé!B1505/Cours_Hist_figé!B1441 - 1</f>
        <v>8.6287316491437283E-2</v>
      </c>
      <c r="C1441" s="29">
        <f>Cours_Hist_figé!C1505/Cours_Hist_figé!C1441 - 1</f>
        <v>1.5588118536676632E-2</v>
      </c>
      <c r="D1441" s="29">
        <f>Cours_Hist_figé!D1505/Cours_Hist_figé!D1441 - 1</f>
        <v>-1.1740254574399422E-3</v>
      </c>
      <c r="E1441" s="29">
        <f>Cours_Hist_figé!E1505/Cours_Hist_figé!E1441 - 1</f>
        <v>-1.3862507573323413E-3</v>
      </c>
    </row>
    <row r="1442" spans="1:5" x14ac:dyDescent="0.4">
      <c r="A1442" s="27">
        <v>44169</v>
      </c>
      <c r="B1442" s="29">
        <f>Cours_Hist_figé!B1506/Cours_Hist_figé!B1442 - 1</f>
        <v>7.5602457951007063E-2</v>
      </c>
      <c r="C1442" s="29">
        <f>Cours_Hist_figé!C1506/Cours_Hist_figé!C1442 - 1</f>
        <v>1.6073095115274105E-2</v>
      </c>
      <c r="D1442" s="29">
        <f>Cours_Hist_figé!D1506/Cours_Hist_figé!D1442 - 1</f>
        <v>-1.1482542720543387E-3</v>
      </c>
      <c r="E1442" s="29">
        <f>Cours_Hist_figé!E1506/Cours_Hist_figé!E1442 - 1</f>
        <v>-1.3557373920478621E-3</v>
      </c>
    </row>
    <row r="1443" spans="1:5" x14ac:dyDescent="0.4">
      <c r="A1443" s="27">
        <v>44172</v>
      </c>
      <c r="B1443" s="29">
        <f>Cours_Hist_figé!B1507/Cours_Hist_figé!B1443 - 1</f>
        <v>8.4667443333832137E-2</v>
      </c>
      <c r="C1443" s="29">
        <f>Cours_Hist_figé!C1507/Cours_Hist_figé!C1443 - 1</f>
        <v>1.6545461328238975E-2</v>
      </c>
      <c r="D1443" s="29">
        <f>Cours_Hist_figé!D1507/Cours_Hist_figé!D1443 - 1</f>
        <v>-1.1745271248098099E-3</v>
      </c>
      <c r="E1443" s="29">
        <f>Cours_Hist_figé!E1507/Cours_Hist_figé!E1443 - 1</f>
        <v>-1.386647348961989E-3</v>
      </c>
    </row>
    <row r="1444" spans="1:5" x14ac:dyDescent="0.4">
      <c r="A1444" s="27">
        <v>44173</v>
      </c>
      <c r="B1444" s="29">
        <f>Cours_Hist_figé!B1508/Cours_Hist_figé!B1444 - 1</f>
        <v>6.9143256166676714E-2</v>
      </c>
      <c r="C1444" s="29">
        <f>Cours_Hist_figé!C1508/Cours_Hist_figé!C1444 - 1</f>
        <v>2.0043491257354606E-2</v>
      </c>
      <c r="D1444" s="29">
        <f>Cours_Hist_figé!D1508/Cours_Hist_figé!D1444 - 1</f>
        <v>-1.1746274742094887E-3</v>
      </c>
      <c r="E1444" s="29">
        <f>Cours_Hist_figé!E1508/Cours_Hist_figé!E1444 - 1</f>
        <v>-1.3866988029345162E-3</v>
      </c>
    </row>
    <row r="1445" spans="1:5" x14ac:dyDescent="0.4">
      <c r="A1445" s="27">
        <v>44174</v>
      </c>
      <c r="B1445" s="29">
        <f>Cours_Hist_figé!B1509/Cours_Hist_figé!B1445 - 1</f>
        <v>7.8971643210504094E-2</v>
      </c>
      <c r="C1445" s="29">
        <f>Cours_Hist_figé!C1509/Cours_Hist_figé!C1445 - 1</f>
        <v>2.1398879062232368E-2</v>
      </c>
      <c r="D1445" s="29">
        <f>Cours_Hist_figé!D1509/Cours_Hist_figé!D1445 - 1</f>
        <v>-1.1748206405528538E-3</v>
      </c>
      <c r="E1445" s="29">
        <f>Cours_Hist_figé!E1509/Cours_Hist_figé!E1445 - 1</f>
        <v>-1.3868407693892193E-3</v>
      </c>
    </row>
    <row r="1446" spans="1:5" x14ac:dyDescent="0.4">
      <c r="A1446" s="27">
        <v>44175</v>
      </c>
      <c r="B1446" s="29">
        <f>Cours_Hist_figé!B1510/Cours_Hist_figé!B1446 - 1</f>
        <v>7.3189705439381303E-2</v>
      </c>
      <c r="C1446" s="29">
        <f>Cours_Hist_figé!C1510/Cours_Hist_figé!C1446 - 1</f>
        <v>1.8072128967924206E-2</v>
      </c>
      <c r="D1446" s="29">
        <f>Cours_Hist_figé!D1510/Cours_Hist_figé!D1446 - 1</f>
        <v>-1.1749209963782814E-3</v>
      </c>
      <c r="E1446" s="29">
        <f>Cours_Hist_figé!E1510/Cours_Hist_figé!E1446 - 1</f>
        <v>-1.3868922697392039E-3</v>
      </c>
    </row>
    <row r="1447" spans="1:5" x14ac:dyDescent="0.4">
      <c r="A1447" s="27">
        <v>44176</v>
      </c>
      <c r="B1447" s="29">
        <f>Cours_Hist_figé!B1511/Cours_Hist_figé!B1447 - 1</f>
        <v>6.3339822224021347E-2</v>
      </c>
      <c r="C1447" s="29">
        <f>Cours_Hist_figé!C1511/Cours_Hist_figé!C1447 - 1</f>
        <v>1.9567114583083356E-2</v>
      </c>
      <c r="D1447" s="29">
        <f>Cours_Hist_figé!D1511/Cours_Hist_figé!D1447 - 1</f>
        <v>-1.1490548019872371E-3</v>
      </c>
      <c r="E1447" s="29">
        <f>Cours_Hist_figé!E1511/Cours_Hist_figé!E1447 - 1</f>
        <v>-1.3562852896350508E-3</v>
      </c>
    </row>
    <row r="1448" spans="1:5" x14ac:dyDescent="0.4">
      <c r="A1448" s="27">
        <v>44179</v>
      </c>
      <c r="B1448" s="29">
        <f>Cours_Hist_figé!B1512/Cours_Hist_figé!B1448 - 1</f>
        <v>6.0438694253327263E-2</v>
      </c>
      <c r="C1448" s="29">
        <f>Cours_Hist_figé!C1512/Cours_Hist_figé!C1448 - 1</f>
        <v>1.8508456144505692E-2</v>
      </c>
      <c r="D1448" s="29">
        <f>Cours_Hist_figé!D1512/Cours_Hist_figé!D1448 - 1</f>
        <v>-1.1752219994628499E-3</v>
      </c>
      <c r="E1448" s="29">
        <f>Cours_Hist_figé!E1512/Cours_Hist_figé!E1448 - 1</f>
        <v>-1.3872489967237112E-3</v>
      </c>
    </row>
    <row r="1449" spans="1:5" x14ac:dyDescent="0.4">
      <c r="A1449" s="27">
        <v>44180</v>
      </c>
      <c r="B1449" s="29">
        <f>Cours_Hist_figé!B1513/Cours_Hist_figé!B1449 - 1</f>
        <v>5.6760145556307595E-2</v>
      </c>
      <c r="C1449" s="29">
        <f>Cours_Hist_figé!C1513/Cours_Hist_figé!C1449 - 1</f>
        <v>1.7915582069301106E-2</v>
      </c>
      <c r="D1449" s="29">
        <f>Cours_Hist_figé!D1513/Cours_Hist_figé!D1449 - 1</f>
        <v>-1.1754227964680952E-3</v>
      </c>
      <c r="E1449" s="29">
        <f>Cours_Hist_figé!E1513/Cours_Hist_figé!E1449 - 1</f>
        <v>-1.3874411384038332E-3</v>
      </c>
    </row>
    <row r="1450" spans="1:5" x14ac:dyDescent="0.4">
      <c r="A1450" s="27">
        <v>44181</v>
      </c>
      <c r="B1450" s="29">
        <f>Cours_Hist_figé!B1514/Cours_Hist_figé!B1450 - 1</f>
        <v>7.1537972772540703E-2</v>
      </c>
      <c r="C1450" s="29">
        <f>Cours_Hist_figé!C1514/Cours_Hist_figé!C1450 - 1</f>
        <v>1.3806982057771311E-2</v>
      </c>
      <c r="D1450" s="29">
        <f>Cours_Hist_figé!D1514/Cours_Hist_figé!D1450 - 1</f>
        <v>-1.1752216120910486E-3</v>
      </c>
      <c r="E1450" s="29">
        <f>Cours_Hist_figé!E1514/Cours_Hist_figé!E1450 - 1</f>
        <v>-1.3873117648445232E-3</v>
      </c>
    </row>
    <row r="1451" spans="1:5" x14ac:dyDescent="0.4">
      <c r="A1451" s="27">
        <v>44182</v>
      </c>
      <c r="B1451" s="29">
        <f>Cours_Hist_figé!B1515/Cours_Hist_figé!B1451 - 1</f>
        <v>8.1709388816788575E-2</v>
      </c>
      <c r="C1451" s="29">
        <f>Cours_Hist_figé!C1515/Cours_Hist_figé!C1451 - 1</f>
        <v>1.5056407641284464E-2</v>
      </c>
      <c r="D1451" s="29">
        <f>Cours_Hist_figé!D1515/Cours_Hist_figé!D1451 - 1</f>
        <v>-1.1753219822734362E-3</v>
      </c>
      <c r="E1451" s="29">
        <f>Cours_Hist_figé!E1515/Cours_Hist_figé!E1451 - 1</f>
        <v>-1.3874135029288137E-3</v>
      </c>
    </row>
    <row r="1452" spans="1:5" x14ac:dyDescent="0.4">
      <c r="A1452" s="27">
        <v>44183</v>
      </c>
      <c r="B1452" s="29">
        <f>Cours_Hist_figé!B1516/Cours_Hist_figé!B1452 - 1</f>
        <v>0.11377824100223699</v>
      </c>
      <c r="C1452" s="29">
        <f>Cours_Hist_figé!C1516/Cours_Hist_figé!C1452 - 1</f>
        <v>1.2239689695522138E-2</v>
      </c>
      <c r="D1452" s="29">
        <f>Cours_Hist_figé!D1516/Cours_Hist_figé!D1452 - 1</f>
        <v>-1.1495538856023391E-3</v>
      </c>
      <c r="E1452" s="29">
        <f>Cours_Hist_figé!E1516/Cours_Hist_figé!E1452 - 1</f>
        <v>-1.3569036681641E-3</v>
      </c>
    </row>
    <row r="1453" spans="1:5" x14ac:dyDescent="0.4">
      <c r="A1453" s="27">
        <v>44186</v>
      </c>
      <c r="B1453" s="29">
        <f>Cours_Hist_figé!B1517/Cours_Hist_figé!B1453 - 1</f>
        <v>8.5202780123096344E-2</v>
      </c>
      <c r="C1453" s="29">
        <f>Cours_Hist_figé!C1517/Cours_Hist_figé!C1453 - 1</f>
        <v>1.2922031998358285E-2</v>
      </c>
      <c r="D1453" s="29">
        <f>Cours_Hist_figé!D1517/Cours_Hist_figé!D1453 - 1</f>
        <v>-1.1759244817789449E-3</v>
      </c>
      <c r="E1453" s="29">
        <f>Cours_Hist_figé!E1517/Cours_Hist_figé!E1453 - 1</f>
        <v>-1.3880214125101542E-3</v>
      </c>
    </row>
    <row r="1454" spans="1:5" x14ac:dyDescent="0.4">
      <c r="A1454" s="27">
        <v>44187</v>
      </c>
      <c r="B1454" s="29">
        <f>Cours_Hist_figé!B1518/Cours_Hist_figé!B1454 - 1</f>
        <v>9.1180019418757086E-2</v>
      </c>
      <c r="C1454" s="29">
        <f>Cours_Hist_figé!C1518/Cours_Hist_figé!C1454 - 1</f>
        <v>1.3735414744407537E-2</v>
      </c>
      <c r="D1454" s="29">
        <f>Cours_Hist_figé!D1518/Cours_Hist_figé!D1454 - 1</f>
        <v>-1.1760171317806156E-3</v>
      </c>
      <c r="E1454" s="29">
        <f>Cours_Hist_figé!E1518/Cours_Hist_figé!E1454 - 1</f>
        <v>-1.3881633439415397E-3</v>
      </c>
    </row>
    <row r="1455" spans="1:5" x14ac:dyDescent="0.4">
      <c r="A1455" s="27">
        <v>44188</v>
      </c>
      <c r="B1455" s="29">
        <f>Cours_Hist_figé!B1519/Cours_Hist_figé!B1455 - 1</f>
        <v>0.11397925546123822</v>
      </c>
      <c r="C1455" s="29">
        <f>Cours_Hist_figé!C1519/Cours_Hist_figé!C1455 - 1</f>
        <v>1.0567536422145363E-2</v>
      </c>
      <c r="D1455" s="29">
        <f>Cours_Hist_figé!D1519/Cours_Hist_figé!D1455 - 1</f>
        <v>-1.1762256958393058E-3</v>
      </c>
      <c r="E1455" s="29">
        <f>Cours_Hist_figé!E1519/Cours_Hist_figé!E1455 - 1</f>
        <v>-1.3883655635390513E-3</v>
      </c>
    </row>
    <row r="1456" spans="1:5" x14ac:dyDescent="0.4">
      <c r="A1456" s="27">
        <v>44189</v>
      </c>
      <c r="B1456" s="29">
        <f>Cours_Hist_figé!B1520/Cours_Hist_figé!B1456 - 1</f>
        <v>0.11623893083997405</v>
      </c>
      <c r="C1456" s="29">
        <f>Cours_Hist_figé!C1520/Cours_Hist_figé!C1456 - 1</f>
        <v>1.0090278536258879E-2</v>
      </c>
      <c r="D1456" s="29">
        <f>Cours_Hist_figé!D1520/Cours_Hist_figé!D1456 - 1</f>
        <v>-1.1764189206191489E-3</v>
      </c>
      <c r="E1456" s="29">
        <f>Cours_Hist_figé!E1520/Cours_Hist_figé!E1456 - 1</f>
        <v>-1.3885276553494696E-3</v>
      </c>
    </row>
    <row r="1457" spans="1:5" x14ac:dyDescent="0.4">
      <c r="A1457" s="27">
        <v>44194</v>
      </c>
      <c r="B1457" s="29">
        <f>Cours_Hist_figé!B1521/Cours_Hist_figé!B1457 - 1</f>
        <v>0.10726692338116872</v>
      </c>
      <c r="C1457" s="29">
        <f>Cours_Hist_figé!C1521/Cours_Hist_figé!C1457 - 1</f>
        <v>1.2699623155164375E-2</v>
      </c>
      <c r="D1457" s="29">
        <f>Cours_Hist_figé!D1521/Cours_Hist_figé!D1457 - 1</f>
        <v>-1.2024899589487825E-3</v>
      </c>
      <c r="E1457" s="29">
        <f>Cours_Hist_figé!E1521/Cours_Hist_figé!E1457 - 1</f>
        <v>-1.4193396512695022E-3</v>
      </c>
    </row>
    <row r="1458" spans="1:5" x14ac:dyDescent="0.4">
      <c r="A1458" s="27">
        <v>44195</v>
      </c>
      <c r="B1458" s="29">
        <f>Cours_Hist_figé!B1522/Cours_Hist_figé!B1458 - 1</f>
        <v>0.10962248366209226</v>
      </c>
      <c r="C1458" s="29">
        <f>Cours_Hist_figé!C1522/Cours_Hist_figé!C1458 - 1</f>
        <v>1.0894733924347255E-2</v>
      </c>
      <c r="D1458" s="29">
        <f>Cours_Hist_figé!D1522/Cours_Hist_figé!D1458 - 1</f>
        <v>-1.202490236033249E-3</v>
      </c>
      <c r="E1458" s="29">
        <f>Cours_Hist_figé!E1522/Cours_Hist_figé!E1458 - 1</f>
        <v>-1.4194017497585198E-3</v>
      </c>
    </row>
    <row r="1459" spans="1:5" x14ac:dyDescent="0.4">
      <c r="A1459" s="27">
        <v>44196</v>
      </c>
      <c r="B1459" s="29">
        <f>Cours_Hist_figé!B1523/Cours_Hist_figé!B1459 - 1</f>
        <v>0.10802218764047522</v>
      </c>
      <c r="C1459" s="29">
        <f>Cours_Hist_figé!C1523/Cours_Hist_figé!C1459 - 1</f>
        <v>1.2554413736347136E-2</v>
      </c>
      <c r="D1459" s="29">
        <f>Cours_Hist_figé!D1523/Cours_Hist_figé!D1459 - 1</f>
        <v>-1.2024982496656733E-3</v>
      </c>
      <c r="E1459" s="29">
        <f>Cours_Hist_figé!E1523/Cours_Hist_figé!E1459 - 1</f>
        <v>-1.4193733960869981E-3</v>
      </c>
    </row>
    <row r="1460" spans="1:5" x14ac:dyDescent="0.4">
      <c r="A1460" s="27">
        <v>44200</v>
      </c>
      <c r="B1460" s="29">
        <f>Cours_Hist_figé!B1524/Cours_Hist_figé!B1460 - 1</f>
        <v>0.11361492663260031</v>
      </c>
      <c r="C1460" s="29">
        <f>Cours_Hist_figé!C1524/Cours_Hist_figé!C1460 - 1</f>
        <v>1.2949805727199504E-2</v>
      </c>
      <c r="D1460" s="29">
        <f>Cours_Hist_figé!D1524/Cours_Hist_figé!D1460 - 1</f>
        <v>-1.2442459475761058E-3</v>
      </c>
      <c r="E1460" s="29">
        <f>Cours_Hist_figé!E1524/Cours_Hist_figé!E1460 - 1</f>
        <v>-1.4682549015678781E-3</v>
      </c>
    </row>
    <row r="1461" spans="1:5" x14ac:dyDescent="0.4">
      <c r="A1461" s="27">
        <v>44201</v>
      </c>
      <c r="B1461" s="29">
        <f>Cours_Hist_figé!B1525/Cours_Hist_figé!B1461 - 1</f>
        <v>0.10882835907429778</v>
      </c>
      <c r="C1461" s="29">
        <f>Cours_Hist_figé!C1525/Cours_Hist_figé!C1461 - 1</f>
        <v>1.1727031534569443E-2</v>
      </c>
      <c r="D1461" s="29">
        <f>Cours_Hist_figé!D1525/Cours_Hist_figé!D1461 - 1</f>
        <v>-1.2445407775978357E-3</v>
      </c>
      <c r="E1461" s="29">
        <f>Cours_Hist_figé!E1525/Cours_Hist_figé!E1461 - 1</f>
        <v>-1.4684687227554116E-3</v>
      </c>
    </row>
    <row r="1462" spans="1:5" x14ac:dyDescent="0.4">
      <c r="A1462" s="27">
        <v>44202</v>
      </c>
      <c r="B1462" s="29">
        <f>Cours_Hist_figé!B1526/Cours_Hist_figé!B1462 - 1</f>
        <v>0.11534596275913178</v>
      </c>
      <c r="C1462" s="29">
        <f>Cours_Hist_figé!C1526/Cours_Hist_figé!C1462 - 1</f>
        <v>1.0830163133808801E-2</v>
      </c>
      <c r="D1462" s="29">
        <f>Cours_Hist_figé!D1526/Cours_Hist_figé!D1462 - 1</f>
        <v>-1.2186781789015333E-3</v>
      </c>
      <c r="E1462" s="29">
        <f>Cours_Hist_figé!E1526/Cours_Hist_figé!E1462 - 1</f>
        <v>-1.4379060885523209E-3</v>
      </c>
    </row>
    <row r="1463" spans="1:5" x14ac:dyDescent="0.4">
      <c r="A1463" s="27">
        <v>44203</v>
      </c>
      <c r="B1463" s="29">
        <f>Cours_Hist_figé!B1527/Cours_Hist_figé!B1463 - 1</f>
        <v>0.12037440855600301</v>
      </c>
      <c r="C1463" s="29">
        <f>Cours_Hist_figé!C1527/Cours_Hist_figé!C1463 - 1</f>
        <v>1.0313174529543945E-2</v>
      </c>
      <c r="D1463" s="29">
        <f>Cours_Hist_figé!D1527/Cours_Hist_figé!D1463 - 1</f>
        <v>-1.218964952082513E-3</v>
      </c>
      <c r="E1463" s="29">
        <f>Cours_Hist_figé!E1527/Cours_Hist_figé!E1463 - 1</f>
        <v>-1.4382098274908772E-3</v>
      </c>
    </row>
    <row r="1464" spans="1:5" x14ac:dyDescent="0.4">
      <c r="A1464" s="27">
        <v>44204</v>
      </c>
      <c r="B1464" s="29">
        <f>Cours_Hist_figé!B1528/Cours_Hist_figé!B1464 - 1</f>
        <v>0.12912778447242634</v>
      </c>
      <c r="C1464" s="29">
        <f>Cours_Hist_figé!C1528/Cours_Hist_figé!C1464 - 1</f>
        <v>1.1549133695561098E-2</v>
      </c>
      <c r="D1464" s="29">
        <f>Cours_Hist_figé!D1528/Cours_Hist_figé!D1464 - 1</f>
        <v>-1.2191666135696888E-3</v>
      </c>
      <c r="E1464" s="29">
        <f>Cours_Hist_figé!E1528/Cours_Hist_figé!E1464 - 1</f>
        <v>-1.4384633376886002E-3</v>
      </c>
    </row>
    <row r="1465" spans="1:5" x14ac:dyDescent="0.4">
      <c r="A1465" s="27">
        <v>44207</v>
      </c>
      <c r="B1465" s="29">
        <f>Cours_Hist_figé!B1529/Cours_Hist_figé!B1465 - 1</f>
        <v>0.11314683003161385</v>
      </c>
      <c r="C1465" s="29">
        <f>Cours_Hist_figé!C1529/Cours_Hist_figé!C1465 - 1</f>
        <v>8.0744612563043994E-3</v>
      </c>
      <c r="D1465" s="29">
        <f>Cours_Hist_figé!D1529/Cours_Hist_figé!D1465 - 1</f>
        <v>-1.2457371822688357E-3</v>
      </c>
      <c r="E1465" s="29">
        <f>Cours_Hist_figé!E1529/Cours_Hist_figé!E1465 - 1</f>
        <v>-1.4698314869847628E-3</v>
      </c>
    </row>
    <row r="1466" spans="1:5" x14ac:dyDescent="0.4">
      <c r="A1466" s="27">
        <v>44208</v>
      </c>
      <c r="B1466" s="29">
        <f>Cours_Hist_figé!B1530/Cours_Hist_figé!B1466 - 1</f>
        <v>0.10766709243820594</v>
      </c>
      <c r="C1466" s="29">
        <f>Cours_Hist_figé!C1530/Cours_Hist_figé!C1466 - 1</f>
        <v>3.1627825894604555E-3</v>
      </c>
      <c r="D1466" s="29">
        <f>Cours_Hist_figé!D1530/Cours_Hist_figé!D1466 - 1</f>
        <v>-1.2460396613247493E-3</v>
      </c>
      <c r="E1466" s="29">
        <f>Cours_Hist_figé!E1530/Cours_Hist_figé!E1466 - 1</f>
        <v>-1.47013565824472E-3</v>
      </c>
    </row>
    <row r="1467" spans="1:5" x14ac:dyDescent="0.4">
      <c r="A1467" s="27">
        <v>44209</v>
      </c>
      <c r="B1467" s="29">
        <f>Cours_Hist_figé!B1531/Cours_Hist_figé!B1467 - 1</f>
        <v>0.10110979993588121</v>
      </c>
      <c r="C1467" s="29">
        <f>Cours_Hist_figé!C1531/Cours_Hist_figé!C1467 - 1</f>
        <v>5.856002329233112E-3</v>
      </c>
      <c r="D1467" s="29">
        <f>Cours_Hist_figé!D1531/Cours_Hist_figé!D1467 - 1</f>
        <v>-1.2203756909663355E-3</v>
      </c>
      <c r="E1467" s="29">
        <f>Cours_Hist_figé!E1531/Cours_Hist_figé!E1467 - 1</f>
        <v>-1.439740527493516E-3</v>
      </c>
    </row>
    <row r="1468" spans="1:5" x14ac:dyDescent="0.4">
      <c r="A1468" s="27">
        <v>44210</v>
      </c>
      <c r="B1468" s="29">
        <f>Cours_Hist_figé!B1532/Cours_Hist_figé!B1468 - 1</f>
        <v>0.11488655684955296</v>
      </c>
      <c r="C1468" s="29">
        <f>Cours_Hist_figé!C1532/Cours_Hist_figé!C1468 - 1</f>
        <v>5.2356154853494541E-3</v>
      </c>
      <c r="D1468" s="29">
        <f>Cours_Hist_figé!D1532/Cours_Hist_figé!D1468 - 1</f>
        <v>-1.22046905669837E-3</v>
      </c>
      <c r="E1468" s="29">
        <f>Cours_Hist_figé!E1532/Cours_Hist_figé!E1468 - 1</f>
        <v>-1.4399035696768259E-3</v>
      </c>
    </row>
    <row r="1469" spans="1:5" x14ac:dyDescent="0.4">
      <c r="A1469" s="27">
        <v>44211</v>
      </c>
      <c r="B1469" s="29">
        <f>Cours_Hist_figé!B1533/Cours_Hist_figé!B1469 - 1</f>
        <v>0.10501653601960514</v>
      </c>
      <c r="C1469" s="29">
        <f>Cours_Hist_figé!C1533/Cours_Hist_figé!C1469 - 1</f>
        <v>3.7766746354281899E-3</v>
      </c>
      <c r="D1469" s="29">
        <f>Cours_Hist_figé!D1533/Cours_Hist_figé!D1469 - 1</f>
        <v>-1.2206707563017227E-3</v>
      </c>
      <c r="E1469" s="29">
        <f>Cours_Hist_figé!E1533/Cours_Hist_figé!E1469 - 1</f>
        <v>-1.4401470325219323E-3</v>
      </c>
    </row>
    <row r="1470" spans="1:5" x14ac:dyDescent="0.4">
      <c r="A1470" s="27">
        <v>44214</v>
      </c>
      <c r="B1470" s="29">
        <f>Cours_Hist_figé!B1534/Cours_Hist_figé!B1470 - 1</f>
        <v>0.13054714975055215</v>
      </c>
      <c r="C1470" s="29">
        <f>Cours_Hist_figé!C1534/Cours_Hist_figé!C1470 - 1</f>
        <v>1.6333206159495628E-3</v>
      </c>
      <c r="D1470" s="29">
        <f>Cours_Hist_figé!D1534/Cours_Hist_figé!D1470 - 1</f>
        <v>-1.2476384117096062E-3</v>
      </c>
      <c r="E1470" s="29">
        <f>Cours_Hist_figé!E1534/Cours_Hist_figé!E1470 - 1</f>
        <v>-1.4718304005950644E-3</v>
      </c>
    </row>
    <row r="1471" spans="1:5" x14ac:dyDescent="0.4">
      <c r="A1471" s="27">
        <v>44215</v>
      </c>
      <c r="B1471" s="29">
        <f>Cours_Hist_figé!B1535/Cours_Hist_figé!B1471 - 1</f>
        <v>0.11391213336045647</v>
      </c>
      <c r="C1471" s="29">
        <f>Cours_Hist_figé!C1535/Cours_Hist_figé!C1471 - 1</f>
        <v>1.2240646743313377E-3</v>
      </c>
      <c r="D1471" s="29">
        <f>Cours_Hist_figé!D1535/Cours_Hist_figé!D1471 - 1</f>
        <v>-1.2478404725355663E-3</v>
      </c>
      <c r="E1471" s="29">
        <f>Cours_Hist_figé!E1535/Cours_Hist_figé!E1471 - 1</f>
        <v>-1.4720744076319736E-3</v>
      </c>
    </row>
    <row r="1472" spans="1:5" x14ac:dyDescent="0.4">
      <c r="A1472" s="27">
        <v>44216</v>
      </c>
      <c r="B1472" s="29">
        <f>Cours_Hist_figé!B1536/Cours_Hist_figé!B1472 - 1</f>
        <v>0.12438024419869742</v>
      </c>
      <c r="C1472" s="29">
        <f>Cours_Hist_figé!C1536/Cours_Hist_figé!C1472 - 1</f>
        <v>2.0638145010412057E-3</v>
      </c>
      <c r="D1472" s="29">
        <f>Cours_Hist_figé!D1536/Cours_Hist_figé!D1472 - 1</f>
        <v>-1.2221664880885941E-3</v>
      </c>
      <c r="E1472" s="29">
        <f>Cours_Hist_figé!E1536/Cours_Hist_figé!E1472 - 1</f>
        <v>-1.4417062627868349E-3</v>
      </c>
    </row>
    <row r="1473" spans="1:5" x14ac:dyDescent="0.4">
      <c r="A1473" s="27">
        <v>44217</v>
      </c>
      <c r="B1473" s="29">
        <f>Cours_Hist_figé!B1537/Cours_Hist_figé!B1473 - 1</f>
        <v>0.12759507428540684</v>
      </c>
      <c r="C1473" s="29">
        <f>Cours_Hist_figé!C1537/Cours_Hist_figé!C1473 - 1</f>
        <v>-2.8550638866176037E-4</v>
      </c>
      <c r="D1473" s="29">
        <f>Cours_Hist_figé!D1537/Cours_Hist_figé!D1473 - 1</f>
        <v>-1.2224687040861548E-3</v>
      </c>
      <c r="E1473" s="29">
        <f>Cours_Hist_figé!E1537/Cours_Hist_figé!E1473 - 1</f>
        <v>-1.4420100387796397E-3</v>
      </c>
    </row>
    <row r="1474" spans="1:5" x14ac:dyDescent="0.4">
      <c r="A1474" s="27">
        <v>44218</v>
      </c>
      <c r="B1474" s="29">
        <f>Cours_Hist_figé!B1538/Cours_Hist_figé!B1474 - 1</f>
        <v>0.13652169826836769</v>
      </c>
      <c r="C1474" s="29">
        <f>Cours_Hist_figé!C1538/Cours_Hist_figé!C1474 - 1</f>
        <v>1.0218807428272747E-3</v>
      </c>
      <c r="D1474" s="29">
        <f>Cours_Hist_figé!D1538/Cours_Hist_figé!D1474 - 1</f>
        <v>-1.2226703253009896E-3</v>
      </c>
      <c r="E1474" s="29">
        <f>Cours_Hist_figé!E1538/Cours_Hist_figé!E1474 - 1</f>
        <v>-1.4422635317669075E-3</v>
      </c>
    </row>
    <row r="1475" spans="1:5" x14ac:dyDescent="0.4">
      <c r="A1475" s="27">
        <v>44221</v>
      </c>
      <c r="B1475" s="29">
        <f>Cours_Hist_figé!B1539/Cours_Hist_figé!B1475 - 1</f>
        <v>0.12863752865126332</v>
      </c>
      <c r="C1475" s="29">
        <f>Cours_Hist_figé!C1539/Cours_Hist_figé!C1475 - 1</f>
        <v>6.4446327811908954E-3</v>
      </c>
      <c r="D1475" s="29">
        <f>Cours_Hist_figé!D1539/Cours_Hist_figé!D1475 - 1</f>
        <v>-1.2493307902718964E-3</v>
      </c>
      <c r="E1475" s="29">
        <f>Cours_Hist_figé!E1539/Cours_Hist_figé!E1475 - 1</f>
        <v>-1.4736283205886158E-3</v>
      </c>
    </row>
    <row r="1476" spans="1:5" x14ac:dyDescent="0.4">
      <c r="A1476" s="27">
        <v>44222</v>
      </c>
      <c r="B1476" s="29">
        <f>Cours_Hist_figé!B1540/Cours_Hist_figé!B1476 - 1</f>
        <v>0.12773436112725878</v>
      </c>
      <c r="C1476" s="29">
        <f>Cours_Hist_figé!C1540/Cours_Hist_figé!C1476 - 1</f>
        <v>4.8345083849132831E-3</v>
      </c>
      <c r="D1476" s="29">
        <f>Cours_Hist_figé!D1540/Cours_Hist_figé!D1476 - 1</f>
        <v>-1.249633371227965E-3</v>
      </c>
      <c r="E1476" s="29">
        <f>Cours_Hist_figé!E1540/Cours_Hist_figé!E1476 - 1</f>
        <v>-1.4739024690363367E-3</v>
      </c>
    </row>
    <row r="1477" spans="1:5" x14ac:dyDescent="0.4">
      <c r="A1477" s="27">
        <v>44223</v>
      </c>
      <c r="B1477" s="29">
        <f>Cours_Hist_figé!B1541/Cours_Hist_figé!B1477 - 1</f>
        <v>0.13492089909225369</v>
      </c>
      <c r="C1477" s="29">
        <f>Cours_Hist_figé!C1541/Cours_Hist_figé!C1477 - 1</f>
        <v>4.3475319803210066E-3</v>
      </c>
      <c r="D1477" s="29">
        <f>Cours_Hist_figé!D1541/Cours_Hist_figé!D1477 - 1</f>
        <v>-1.2237713705604003E-3</v>
      </c>
      <c r="E1477" s="29">
        <f>Cours_Hist_figé!E1541/Cours_Hist_figé!E1477 - 1</f>
        <v>-1.4433701801956911E-3</v>
      </c>
    </row>
    <row r="1478" spans="1:5" x14ac:dyDescent="0.4">
      <c r="A1478" s="27">
        <v>44224</v>
      </c>
      <c r="B1478" s="29">
        <f>Cours_Hist_figé!B1542/Cours_Hist_figé!B1478 - 1</f>
        <v>0.14618730242120015</v>
      </c>
      <c r="C1478" s="29">
        <f>Cours_Hist_figé!C1542/Cours_Hist_figé!C1478 - 1</f>
        <v>1.6265020248289463E-3</v>
      </c>
      <c r="D1478" s="29">
        <f>Cours_Hist_figé!D1542/Cours_Hist_figé!D1478 - 1</f>
        <v>-1.2240658956595984E-3</v>
      </c>
      <c r="E1478" s="29">
        <f>Cours_Hist_figé!E1542/Cours_Hist_figé!E1478 - 1</f>
        <v>-1.4436739708465485E-3</v>
      </c>
    </row>
    <row r="1479" spans="1:5" x14ac:dyDescent="0.4">
      <c r="A1479" s="27">
        <v>44225</v>
      </c>
      <c r="B1479" s="29">
        <f>Cours_Hist_figé!B1543/Cours_Hist_figé!B1479 - 1</f>
        <v>0.15818591950611438</v>
      </c>
      <c r="C1479" s="29">
        <f>Cours_Hist_figé!C1543/Cours_Hist_figé!C1479 - 1</f>
        <v>6.8268556087192067E-4</v>
      </c>
      <c r="D1479" s="29">
        <f>Cours_Hist_figé!D1543/Cours_Hist_figé!D1479 - 1</f>
        <v>-1.2242598166213314E-3</v>
      </c>
      <c r="E1479" s="29">
        <f>Cours_Hist_figé!E1543/Cours_Hist_figé!E1479 - 1</f>
        <v>-1.443867202926552E-3</v>
      </c>
    </row>
    <row r="1480" spans="1:5" x14ac:dyDescent="0.4">
      <c r="A1480" s="27">
        <v>44228</v>
      </c>
      <c r="B1480" s="29">
        <f>Cours_Hist_figé!B1544/Cours_Hist_figé!B1480 - 1</f>
        <v>0.17378780509789982</v>
      </c>
      <c r="C1480" s="29">
        <f>Cours_Hist_figé!C1544/Cours_Hist_figé!C1480 - 1</f>
        <v>-5.9777460179666342E-4</v>
      </c>
      <c r="D1480" s="29">
        <f>Cours_Hist_figé!D1544/Cours_Hist_figé!D1480 - 1</f>
        <v>-1.2510389368184383E-3</v>
      </c>
      <c r="E1480" s="29">
        <f>Cours_Hist_figé!E1544/Cours_Hist_figé!E1480 - 1</f>
        <v>-1.4754065229596325E-3</v>
      </c>
    </row>
    <row r="1481" spans="1:5" x14ac:dyDescent="0.4">
      <c r="A1481" s="27">
        <v>44229</v>
      </c>
      <c r="B1481" s="29">
        <f>Cours_Hist_figé!B1545/Cours_Hist_figé!B1481 - 1</f>
        <v>0.1865747326957492</v>
      </c>
      <c r="C1481" s="29">
        <f>Cours_Hist_figé!C1545/Cours_Hist_figé!C1481 - 1</f>
        <v>-1.8670404637262106E-3</v>
      </c>
      <c r="D1481" s="29">
        <f>Cours_Hist_figé!D1545/Cours_Hist_figé!D1481 - 1</f>
        <v>-1.2514344424018331E-3</v>
      </c>
      <c r="E1481" s="29">
        <f>Cours_Hist_figé!E1545/Cours_Hist_figé!E1481 - 1</f>
        <v>-1.4757912976530729E-3</v>
      </c>
    </row>
    <row r="1482" spans="1:5" x14ac:dyDescent="0.4">
      <c r="A1482" s="27">
        <v>44230</v>
      </c>
      <c r="B1482" s="29">
        <f>Cours_Hist_figé!B1546/Cours_Hist_figé!B1482 - 1</f>
        <v>0.17153732462955595</v>
      </c>
      <c r="C1482" s="29">
        <f>Cours_Hist_figé!C1546/Cours_Hist_figé!C1482 - 1</f>
        <v>-2.2139406064489719E-3</v>
      </c>
      <c r="D1482" s="29">
        <f>Cours_Hist_figé!D1546/Cours_Hist_figé!D1482 - 1</f>
        <v>-1.2254621674865351E-3</v>
      </c>
      <c r="E1482" s="29">
        <f>Cours_Hist_figé!E1546/Cours_Hist_figé!E1482 - 1</f>
        <v>-1.4450852659361191E-3</v>
      </c>
    </row>
    <row r="1483" spans="1:5" x14ac:dyDescent="0.4">
      <c r="A1483" s="27">
        <v>44231</v>
      </c>
      <c r="B1483" s="29">
        <f>Cours_Hist_figé!B1547/Cours_Hist_figé!B1483 - 1</f>
        <v>0.15158640306101834</v>
      </c>
      <c r="C1483" s="29">
        <f>Cours_Hist_figé!C1547/Cours_Hist_figé!C1483 - 1</f>
        <v>-2.7158509088986982E-3</v>
      </c>
      <c r="D1483" s="29">
        <f>Cours_Hist_figé!D1547/Cours_Hist_figé!D1483 - 1</f>
        <v>-1.2254704762116875E-3</v>
      </c>
      <c r="E1483" s="29">
        <f>Cours_Hist_figé!E1547/Cours_Hist_figé!E1483 - 1</f>
        <v>-1.4451779619018001E-3</v>
      </c>
    </row>
    <row r="1484" spans="1:5" x14ac:dyDescent="0.4">
      <c r="A1484" s="27">
        <v>44232</v>
      </c>
      <c r="B1484" s="29">
        <f>Cours_Hist_figé!B1548/Cours_Hist_figé!B1484 - 1</f>
        <v>0.12848462646631265</v>
      </c>
      <c r="C1484" s="29">
        <f>Cours_Hist_figé!C1548/Cours_Hist_figé!C1484 - 1</f>
        <v>-4.6998367758406268E-3</v>
      </c>
      <c r="D1484" s="29">
        <f>Cours_Hist_figé!D1548/Cours_Hist_figé!D1484 - 1</f>
        <v>-1.2257650541849241E-3</v>
      </c>
      <c r="E1484" s="29">
        <f>Cours_Hist_figé!E1548/Cours_Hist_figé!E1484 - 1</f>
        <v>-1.4454818613592879E-3</v>
      </c>
    </row>
    <row r="1485" spans="1:5" x14ac:dyDescent="0.4">
      <c r="A1485" s="27">
        <v>44235</v>
      </c>
      <c r="B1485" s="29">
        <f>Cours_Hist_figé!B1549/Cours_Hist_figé!B1485 - 1</f>
        <v>0.12100454513141012</v>
      </c>
      <c r="C1485" s="29">
        <f>Cours_Hist_figé!C1549/Cours_Hist_figé!C1485 - 1</f>
        <v>-5.1971996385317132E-3</v>
      </c>
      <c r="D1485" s="29">
        <f>Cours_Hist_figé!D1549/Cours_Hist_figé!D1485 - 1</f>
        <v>-1.2526317864656189E-3</v>
      </c>
      <c r="E1485" s="29">
        <f>Cours_Hist_figé!E1549/Cours_Hist_figé!E1485 - 1</f>
        <v>-1.4770146691263086E-3</v>
      </c>
    </row>
    <row r="1486" spans="1:5" x14ac:dyDescent="0.4">
      <c r="A1486" s="27">
        <v>44236</v>
      </c>
      <c r="B1486" s="29">
        <f>Cours_Hist_figé!B1550/Cours_Hist_figé!B1486 - 1</f>
        <v>0.12265742176606143</v>
      </c>
      <c r="C1486" s="29">
        <f>Cours_Hist_figé!C1550/Cours_Hist_figé!C1486 - 1</f>
        <v>-3.9412770116207252E-3</v>
      </c>
      <c r="D1486" s="29">
        <f>Cours_Hist_figé!D1550/Cours_Hist_figé!D1486 - 1</f>
        <v>-1.2528339680389911E-3</v>
      </c>
      <c r="E1486" s="29">
        <f>Cours_Hist_figé!E1550/Cours_Hist_figé!E1486 - 1</f>
        <v>-1.477208515568984E-3</v>
      </c>
    </row>
    <row r="1487" spans="1:5" x14ac:dyDescent="0.4">
      <c r="A1487" s="27">
        <v>44237</v>
      </c>
      <c r="B1487" s="29">
        <f>Cours_Hist_figé!B1551/Cours_Hist_figé!B1487 - 1</f>
        <v>7.5727149028691709E-2</v>
      </c>
      <c r="C1487" s="29">
        <f>Cours_Hist_figé!C1551/Cours_Hist_figé!C1487 - 1</f>
        <v>1.0838889790094619E-3</v>
      </c>
      <c r="D1487" s="29">
        <f>Cours_Hist_figé!D1551/Cours_Hist_figé!D1487 - 1</f>
        <v>-1.2267665957597096E-3</v>
      </c>
      <c r="E1487" s="29">
        <f>Cours_Hist_figé!E1551/Cours_Hist_figé!E1487 - 1</f>
        <v>-1.4464188538990674E-3</v>
      </c>
    </row>
    <row r="1488" spans="1:5" x14ac:dyDescent="0.4">
      <c r="A1488" s="27">
        <v>44238</v>
      </c>
      <c r="B1488" s="29">
        <f>Cours_Hist_figé!B1552/Cours_Hist_figé!B1488 - 1</f>
        <v>6.9669169632093686E-2</v>
      </c>
      <c r="C1488" s="29">
        <f>Cours_Hist_figé!C1552/Cours_Hist_figé!C1488 - 1</f>
        <v>3.1656007165297151E-3</v>
      </c>
      <c r="D1488" s="29">
        <f>Cours_Hist_figé!D1552/Cours_Hist_figé!D1488 - 1</f>
        <v>-1.2269607082995293E-3</v>
      </c>
      <c r="E1488" s="29">
        <f>Cours_Hist_figé!E1552/Cours_Hist_figé!E1488 - 1</f>
        <v>-1.4465921894485367E-3</v>
      </c>
    </row>
    <row r="1489" spans="1:5" x14ac:dyDescent="0.4">
      <c r="A1489" s="27">
        <v>44239</v>
      </c>
      <c r="B1489" s="29">
        <f>Cours_Hist_figé!B1553/Cours_Hist_figé!B1489 - 1</f>
        <v>6.5821659754794037E-2</v>
      </c>
      <c r="C1489" s="29">
        <f>Cours_Hist_figé!C1553/Cours_Hist_figé!C1489 - 1</f>
        <v>-9.2237354042890018E-4</v>
      </c>
      <c r="D1489" s="29">
        <f>Cours_Hist_figé!D1553/Cours_Hist_figé!D1489 - 1</f>
        <v>-1.2271625572154443E-3</v>
      </c>
      <c r="E1489" s="29">
        <f>Cours_Hist_figé!E1553/Cours_Hist_figé!E1489 - 1</f>
        <v>-1.4468057481593632E-3</v>
      </c>
    </row>
    <row r="1490" spans="1:5" x14ac:dyDescent="0.4">
      <c r="A1490" s="27">
        <v>44242</v>
      </c>
      <c r="B1490" s="29">
        <f>Cours_Hist_figé!B1554/Cours_Hist_figé!B1490 - 1</f>
        <v>8.9753294023120711E-2</v>
      </c>
      <c r="C1490" s="29">
        <f>Cours_Hist_figé!C1554/Cours_Hist_figé!C1490 - 1</f>
        <v>-5.617282079727226E-3</v>
      </c>
      <c r="D1490" s="29">
        <f>Cours_Hist_figé!D1554/Cours_Hist_figé!D1490 - 1</f>
        <v>-1.2539311427941513E-3</v>
      </c>
      <c r="E1490" s="29">
        <f>Cours_Hist_figé!E1554/Cours_Hist_figé!E1490 - 1</f>
        <v>-1.4782615004015343E-3</v>
      </c>
    </row>
    <row r="1491" spans="1:5" x14ac:dyDescent="0.4">
      <c r="A1491" s="27">
        <v>44243</v>
      </c>
      <c r="B1491" s="29">
        <f>Cours_Hist_figé!B1555/Cours_Hist_figé!B1491 - 1</f>
        <v>8.8680394849122157E-2</v>
      </c>
      <c r="C1491" s="29">
        <f>Cours_Hist_figé!C1555/Cours_Hist_figé!C1491 - 1</f>
        <v>-8.4687371995973981E-3</v>
      </c>
      <c r="D1491" s="29">
        <f>Cours_Hist_figé!D1555/Cours_Hist_figé!D1491 - 1</f>
        <v>-1.2543266322687652E-3</v>
      </c>
      <c r="E1491" s="29">
        <f>Cours_Hist_figé!E1555/Cours_Hist_figé!E1491 - 1</f>
        <v>-1.4786764246136341E-3</v>
      </c>
    </row>
    <row r="1492" spans="1:5" x14ac:dyDescent="0.4">
      <c r="A1492" s="27">
        <v>44244</v>
      </c>
      <c r="B1492" s="29">
        <f>Cours_Hist_figé!B1556/Cours_Hist_figé!B1492 - 1</f>
        <v>6.8610669618689224E-2</v>
      </c>
      <c r="C1492" s="29">
        <f>Cours_Hist_figé!C1556/Cours_Hist_figé!C1492 - 1</f>
        <v>-9.3988284810377909E-3</v>
      </c>
      <c r="D1492" s="29">
        <f>Cours_Hist_figé!D1556/Cours_Hist_figé!D1492 - 1</f>
        <v>-1.2284579571489873E-3</v>
      </c>
      <c r="E1492" s="29">
        <f>Cours_Hist_figé!E1556/Cours_Hist_figé!E1492 - 1</f>
        <v>-1.4480643621729294E-3</v>
      </c>
    </row>
    <row r="1493" spans="1:5" x14ac:dyDescent="0.4">
      <c r="A1493" s="27">
        <v>44245</v>
      </c>
      <c r="B1493" s="29">
        <f>Cours_Hist_figé!B1557/Cours_Hist_figé!B1493 - 1</f>
        <v>6.2744898589053744E-2</v>
      </c>
      <c r="C1493" s="29">
        <f>Cours_Hist_figé!C1557/Cours_Hist_figé!C1493 - 1</f>
        <v>-1.3082403161353451E-2</v>
      </c>
      <c r="D1493" s="29">
        <f>Cours_Hist_figé!D1557/Cours_Hist_figé!D1493 - 1</f>
        <v>-1.2286598414823491E-3</v>
      </c>
      <c r="E1493" s="29">
        <f>Cours_Hist_figé!E1557/Cours_Hist_figé!E1493 - 1</f>
        <v>-1.4481874432347164E-3</v>
      </c>
    </row>
    <row r="1494" spans="1:5" x14ac:dyDescent="0.4">
      <c r="A1494" s="27">
        <v>44246</v>
      </c>
      <c r="B1494" s="29">
        <f>Cours_Hist_figé!B1558/Cours_Hist_figé!B1494 - 1</f>
        <v>6.3443559556786822E-2</v>
      </c>
      <c r="C1494" s="29">
        <f>Cours_Hist_figé!C1558/Cours_Hist_figé!C1494 - 1</f>
        <v>-1.4234194027259006E-2</v>
      </c>
      <c r="D1494" s="29">
        <f>Cours_Hist_figé!D1558/Cours_Hist_figé!D1494 - 1</f>
        <v>-1.2287610916660308E-3</v>
      </c>
      <c r="E1494" s="29">
        <f>Cours_Hist_figé!E1558/Cours_Hist_figé!E1494 - 1</f>
        <v>-1.4483406582560532E-3</v>
      </c>
    </row>
    <row r="1495" spans="1:5" x14ac:dyDescent="0.4">
      <c r="A1495" s="27">
        <v>44249</v>
      </c>
      <c r="B1495" s="29">
        <f>Cours_Hist_figé!B1559/Cours_Hist_figé!B1495 - 1</f>
        <v>6.7090192514259961E-2</v>
      </c>
      <c r="C1495" s="29">
        <f>Cours_Hist_figé!C1559/Cours_Hist_figé!C1495 - 1</f>
        <v>-1.2705612209261696E-2</v>
      </c>
      <c r="D1495" s="29">
        <f>Cours_Hist_figé!D1559/Cours_Hist_figé!D1495 - 1</f>
        <v>-1.2554315042109243E-3</v>
      </c>
      <c r="E1495" s="29">
        <f>Cours_Hist_figé!E1559/Cours_Hist_figé!E1495 - 1</f>
        <v>-1.4797293472007533E-3</v>
      </c>
    </row>
    <row r="1496" spans="1:5" x14ac:dyDescent="0.4">
      <c r="A1496" s="27">
        <v>44250</v>
      </c>
      <c r="B1496" s="29">
        <f>Cours_Hist_figé!B1560/Cours_Hist_figé!B1496 - 1</f>
        <v>5.7449267286963535E-2</v>
      </c>
      <c r="C1496" s="29">
        <f>Cours_Hist_figé!C1560/Cours_Hist_figé!C1496 - 1</f>
        <v>-1.5286775190675783E-2</v>
      </c>
      <c r="D1496" s="29">
        <f>Cours_Hist_figé!D1560/Cours_Hist_figé!D1496 - 1</f>
        <v>-1.2556337498026426E-3</v>
      </c>
      <c r="E1496" s="29">
        <f>Cours_Hist_figé!E1560/Cours_Hist_figé!E1496 - 1</f>
        <v>-1.4799333704440532E-3</v>
      </c>
    </row>
    <row r="1497" spans="1:5" x14ac:dyDescent="0.4">
      <c r="A1497" s="27">
        <v>44251</v>
      </c>
      <c r="B1497" s="29">
        <f>Cours_Hist_figé!B1561/Cours_Hist_figé!B1497 - 1</f>
        <v>6.4139424610919926E-2</v>
      </c>
      <c r="C1497" s="29">
        <f>Cours_Hist_figé!C1561/Cours_Hist_figé!C1497 - 1</f>
        <v>-1.6984171847473917E-2</v>
      </c>
      <c r="D1497" s="29">
        <f>Cours_Hist_figé!D1561/Cours_Hist_figé!D1497 - 1</f>
        <v>-1.2296544920091801E-3</v>
      </c>
      <c r="E1497" s="29">
        <f>Cours_Hist_figé!E1561/Cours_Hist_figé!E1497 - 1</f>
        <v>-1.4492477384895341E-3</v>
      </c>
    </row>
    <row r="1498" spans="1:5" x14ac:dyDescent="0.4">
      <c r="A1498" s="27">
        <v>44252</v>
      </c>
      <c r="B1498" s="29">
        <f>Cours_Hist_figé!B1562/Cours_Hist_figé!B1498 - 1</f>
        <v>5.0799056546531718E-2</v>
      </c>
      <c r="C1498" s="29">
        <f>Cours_Hist_figé!C1562/Cours_Hist_figé!C1498 - 1</f>
        <v>-2.10965077390598E-2</v>
      </c>
      <c r="D1498" s="29">
        <f>Cours_Hist_figé!D1562/Cours_Hist_figé!D1498 - 1</f>
        <v>-1.2298564105304166E-3</v>
      </c>
      <c r="E1498" s="29">
        <f>Cours_Hist_figé!E1562/Cours_Hist_figé!E1498 - 1</f>
        <v>-1.4494513028714406E-3</v>
      </c>
    </row>
    <row r="1499" spans="1:5" x14ac:dyDescent="0.4">
      <c r="A1499" s="27">
        <v>44253</v>
      </c>
      <c r="B1499" s="29">
        <f>Cours_Hist_figé!B1563/Cours_Hist_figé!B1499 - 1</f>
        <v>3.3840081166929714E-2</v>
      </c>
      <c r="C1499" s="29">
        <f>Cours_Hist_figé!C1563/Cours_Hist_figé!C1499 - 1</f>
        <v>-1.8761417716805506E-2</v>
      </c>
      <c r="D1499" s="29">
        <f>Cours_Hist_figé!D1563/Cours_Hist_figé!D1499 - 1</f>
        <v>-1.2300583343419769E-3</v>
      </c>
      <c r="E1499" s="29">
        <f>Cours_Hist_figé!E1563/Cours_Hist_figé!E1499 - 1</f>
        <v>-1.4496649082748059E-3</v>
      </c>
    </row>
    <row r="1500" spans="1:5" x14ac:dyDescent="0.4">
      <c r="A1500" s="27">
        <v>44256</v>
      </c>
      <c r="B1500" s="29">
        <f>Cours_Hist_figé!B1564/Cours_Hist_figé!B1500 - 1</f>
        <v>5.3943812337553743E-2</v>
      </c>
      <c r="C1500" s="29">
        <f>Cours_Hist_figé!C1564/Cours_Hist_figé!C1500 - 1</f>
        <v>-1.4450399738679343E-2</v>
      </c>
      <c r="D1500" s="29">
        <f>Cours_Hist_figé!D1564/Cours_Hist_figé!D1500 - 1</f>
        <v>-1.2571259408680202E-3</v>
      </c>
      <c r="E1500" s="29">
        <f>Cours_Hist_figé!E1564/Cours_Hist_figé!E1500 - 1</f>
        <v>-1.4813990605785365E-3</v>
      </c>
    </row>
    <row r="1501" spans="1:5" x14ac:dyDescent="0.4">
      <c r="A1501" s="27">
        <v>44257</v>
      </c>
      <c r="B1501" s="29">
        <f>Cours_Hist_figé!B1565/Cours_Hist_figé!B1501 - 1</f>
        <v>5.2225962308690477E-2</v>
      </c>
      <c r="C1501" s="29">
        <f>Cours_Hist_figé!C1565/Cours_Hist_figé!C1501 - 1</f>
        <v>-1.4621267423595374E-2</v>
      </c>
      <c r="D1501" s="29">
        <f>Cours_Hist_figé!D1565/Cours_Hist_figé!D1501 - 1</f>
        <v>-1.2573282271848285E-3</v>
      </c>
      <c r="E1501" s="29">
        <f>Cours_Hist_figé!E1565/Cours_Hist_figé!E1501 - 1</f>
        <v>-1.4815930376902431E-3</v>
      </c>
    </row>
    <row r="1502" spans="1:5" x14ac:dyDescent="0.4">
      <c r="A1502" s="27">
        <v>44258</v>
      </c>
      <c r="B1502" s="29">
        <f>Cours_Hist_figé!B1566/Cours_Hist_figé!B1502 - 1</f>
        <v>6.3901307344406133E-2</v>
      </c>
      <c r="C1502" s="29">
        <f>Cours_Hist_figé!C1566/Cours_Hist_figé!C1502 - 1</f>
        <v>-1.7068665611770228E-2</v>
      </c>
      <c r="D1502" s="29">
        <f>Cours_Hist_figé!D1566/Cours_Hist_figé!D1502 - 1</f>
        <v>-1.2313543891727674E-3</v>
      </c>
      <c r="E1502" s="29">
        <f>Cours_Hist_figé!E1566/Cours_Hist_figé!E1502 - 1</f>
        <v>-1.4509142131359232E-3</v>
      </c>
    </row>
    <row r="1503" spans="1:5" x14ac:dyDescent="0.4">
      <c r="A1503" s="27">
        <v>44259</v>
      </c>
      <c r="B1503" s="29">
        <f>Cours_Hist_figé!B1567/Cours_Hist_figé!B1503 - 1</f>
        <v>5.5275007999558312E-2</v>
      </c>
      <c r="C1503" s="29">
        <f>Cours_Hist_figé!C1567/Cours_Hist_figé!C1503 - 1</f>
        <v>-1.3528139120309812E-2</v>
      </c>
      <c r="D1503" s="29">
        <f>Cours_Hist_figé!D1567/Cours_Hist_figé!D1503 - 1</f>
        <v>-1.2314558158460498E-3</v>
      </c>
      <c r="E1503" s="29">
        <f>Cours_Hist_figé!E1567/Cours_Hist_figé!E1503 - 1</f>
        <v>-1.4510575531410108E-3</v>
      </c>
    </row>
    <row r="1504" spans="1:5" x14ac:dyDescent="0.4">
      <c r="A1504" s="27">
        <v>44260</v>
      </c>
      <c r="B1504" s="29">
        <f>Cours_Hist_figé!B1568/Cours_Hist_figé!B1504 - 1</f>
        <v>4.7419961084813611E-2</v>
      </c>
      <c r="C1504" s="29">
        <f>Cours_Hist_figé!C1568/Cours_Hist_figé!C1504 - 1</f>
        <v>-1.5155730868993911E-2</v>
      </c>
      <c r="D1504" s="29">
        <f>Cours_Hist_figé!D1568/Cours_Hist_figé!D1504 - 1</f>
        <v>-1.2316577791291472E-3</v>
      </c>
      <c r="E1504" s="29">
        <f>Cours_Hist_figé!E1568/Cours_Hist_figé!E1504 - 1</f>
        <v>-1.4512712503065295E-3</v>
      </c>
    </row>
    <row r="1505" spans="1:5" x14ac:dyDescent="0.4">
      <c r="A1505" s="27">
        <v>44263</v>
      </c>
      <c r="B1505" s="29">
        <f>Cours_Hist_figé!B1569/Cours_Hist_figé!B1505 - 1</f>
        <v>6.8949994178851615E-2</v>
      </c>
      <c r="C1505" s="29">
        <f>Cours_Hist_figé!C1569/Cours_Hist_figé!C1505 - 1</f>
        <v>-1.7498346757625072E-2</v>
      </c>
      <c r="D1505" s="29">
        <f>Cours_Hist_figé!D1569/Cours_Hist_figé!D1505 - 1</f>
        <v>-1.2582247193932972E-3</v>
      </c>
      <c r="E1505" s="29">
        <f>Cours_Hist_figé!E1569/Cours_Hist_figé!E1505 - 1</f>
        <v>-1.4826163977220697E-3</v>
      </c>
    </row>
    <row r="1506" spans="1:5" x14ac:dyDescent="0.4">
      <c r="A1506" s="27">
        <v>44264</v>
      </c>
      <c r="B1506" s="29">
        <f>Cours_Hist_figé!B1570/Cours_Hist_figé!B1506 - 1</f>
        <v>6.9862103837781353E-2</v>
      </c>
      <c r="C1506" s="29">
        <f>Cours_Hist_figé!C1570/Cours_Hist_figé!C1506 - 1</f>
        <v>-1.5029625493985899E-2</v>
      </c>
      <c r="D1506" s="29">
        <f>Cours_Hist_figé!D1570/Cours_Hist_figé!D1506 - 1</f>
        <v>-1.2582257078642689E-3</v>
      </c>
      <c r="E1506" s="29">
        <f>Cours_Hist_figé!E1570/Cours_Hist_figé!E1506 - 1</f>
        <v>-1.4826695004117596E-3</v>
      </c>
    </row>
    <row r="1507" spans="1:5" x14ac:dyDescent="0.4">
      <c r="A1507" s="27">
        <v>44265</v>
      </c>
      <c r="B1507" s="29">
        <f>Cours_Hist_figé!B1571/Cours_Hist_figé!B1507 - 1</f>
        <v>7.7596833255969777E-2</v>
      </c>
      <c r="C1507" s="29">
        <f>Cours_Hist_figé!C1571/Cours_Hist_figé!C1507 - 1</f>
        <v>-1.6870601674887853E-2</v>
      </c>
      <c r="D1507" s="29">
        <f>Cours_Hist_figé!D1571/Cours_Hist_figé!D1507 - 1</f>
        <v>-1.2322571399514537E-3</v>
      </c>
      <c r="E1507" s="29">
        <f>Cours_Hist_figé!E1571/Cours_Hist_figé!E1507 - 1</f>
        <v>-1.4520173506878953E-3</v>
      </c>
    </row>
    <row r="1508" spans="1:5" x14ac:dyDescent="0.4">
      <c r="A1508" s="27">
        <v>44266</v>
      </c>
      <c r="B1508" s="29">
        <f>Cours_Hist_figé!B1572/Cours_Hist_figé!B1508 - 1</f>
        <v>8.0489192873785198E-2</v>
      </c>
      <c r="C1508" s="29">
        <f>Cours_Hist_figé!C1572/Cours_Hist_figé!C1508 - 1</f>
        <v>-1.6698516021936283E-2</v>
      </c>
      <c r="D1508" s="29">
        <f>Cours_Hist_figé!D1572/Cours_Hist_figé!D1508 - 1</f>
        <v>-1.2323507202657291E-3</v>
      </c>
      <c r="E1508" s="29">
        <f>Cours_Hist_figé!E1572/Cours_Hist_figé!E1508 - 1</f>
        <v>-1.4522209142561193E-3</v>
      </c>
    </row>
    <row r="1509" spans="1:5" x14ac:dyDescent="0.4">
      <c r="A1509" s="27">
        <v>44267</v>
      </c>
      <c r="B1509" s="29">
        <f>Cours_Hist_figé!B1573/Cours_Hist_figé!B1509 - 1</f>
        <v>7.4571435777242012E-2</v>
      </c>
      <c r="C1509" s="29">
        <f>Cours_Hist_figé!C1573/Cours_Hist_figé!C1509 - 1</f>
        <v>-1.9181316668540616E-2</v>
      </c>
      <c r="D1509" s="29">
        <f>Cours_Hist_figé!D1573/Cours_Hist_figé!D1509 - 1</f>
        <v>-1.232359237677727E-3</v>
      </c>
      <c r="E1509" s="29">
        <f>Cours_Hist_figé!E1573/Cours_Hist_figé!E1509 - 1</f>
        <v>-1.4522736683367787E-3</v>
      </c>
    </row>
    <row r="1510" spans="1:5" x14ac:dyDescent="0.4">
      <c r="A1510" s="27">
        <v>44270</v>
      </c>
      <c r="B1510" s="29">
        <f>Cours_Hist_figé!B1574/Cours_Hist_figé!B1510 - 1</f>
        <v>7.8623716939340671E-2</v>
      </c>
      <c r="C1510" s="29">
        <f>Cours_Hist_figé!C1574/Cours_Hist_figé!C1510 - 1</f>
        <v>-1.6800509906648831E-2</v>
      </c>
      <c r="D1510" s="29">
        <f>Cours_Hist_figé!D1574/Cours_Hist_figé!D1510 - 1</f>
        <v>-1.2589208796262019E-3</v>
      </c>
      <c r="E1510" s="29">
        <f>Cours_Hist_figé!E1574/Cours_Hist_figé!E1510 - 1</f>
        <v>-1.4836222193671533E-3</v>
      </c>
    </row>
    <row r="1511" spans="1:5" x14ac:dyDescent="0.4">
      <c r="A1511" s="27">
        <v>44271</v>
      </c>
      <c r="B1511" s="29">
        <f>Cours_Hist_figé!B1575/Cours_Hist_figé!B1511 - 1</f>
        <v>9.6385255514301216E-2</v>
      </c>
      <c r="C1511" s="29">
        <f>Cours_Hist_figé!C1575/Cours_Hist_figé!C1511 - 1</f>
        <v>-1.9337447488781079E-2</v>
      </c>
      <c r="D1511" s="29">
        <f>Cours_Hist_figé!D1575/Cours_Hist_figé!D1511 - 1</f>
        <v>-1.2591232265849461E-3</v>
      </c>
      <c r="E1511" s="29">
        <f>Cours_Hist_figé!E1575/Cours_Hist_figé!E1511 - 1</f>
        <v>-1.4838464570536836E-3</v>
      </c>
    </row>
    <row r="1512" spans="1:5" x14ac:dyDescent="0.4">
      <c r="A1512" s="27">
        <v>44272</v>
      </c>
      <c r="B1512" s="29">
        <f>Cours_Hist_figé!B1576/Cours_Hist_figé!B1512 - 1</f>
        <v>8.8066786284922483E-2</v>
      </c>
      <c r="C1512" s="29">
        <f>Cours_Hist_figé!C1576/Cours_Hist_figé!C1512 - 1</f>
        <v>-2.2466147756482036E-2</v>
      </c>
      <c r="D1512" s="29">
        <f>Cours_Hist_figé!D1576/Cours_Hist_figé!D1512 - 1</f>
        <v>-1.2330517530616536E-3</v>
      </c>
      <c r="E1512" s="29">
        <f>Cours_Hist_figé!E1576/Cours_Hist_figé!E1512 - 1</f>
        <v>-1.4530805472698916E-3</v>
      </c>
    </row>
    <row r="1513" spans="1:5" x14ac:dyDescent="0.4">
      <c r="A1513" s="27">
        <v>44273</v>
      </c>
      <c r="B1513" s="29">
        <f>Cours_Hist_figé!B1577/Cours_Hist_figé!B1513 - 1</f>
        <v>9.067339136625252E-2</v>
      </c>
      <c r="C1513" s="29">
        <f>Cours_Hist_figé!C1577/Cours_Hist_figé!C1513 - 1</f>
        <v>-2.3607555895713284E-2</v>
      </c>
      <c r="D1513" s="29">
        <f>Cours_Hist_figé!D1577/Cours_Hist_figé!D1513 - 1</f>
        <v>-1.2331608312973197E-3</v>
      </c>
      <c r="E1513" s="29">
        <f>Cours_Hist_figé!E1577/Cours_Hist_figé!E1513 - 1</f>
        <v>-1.4531634767587231E-3</v>
      </c>
    </row>
    <row r="1514" spans="1:5" x14ac:dyDescent="0.4">
      <c r="A1514" s="27">
        <v>44274</v>
      </c>
      <c r="B1514" s="29">
        <f>Cours_Hist_figé!B1578/Cours_Hist_figé!B1514 - 1</f>
        <v>7.2923616152633874E-2</v>
      </c>
      <c r="C1514" s="29">
        <f>Cours_Hist_figé!C1578/Cours_Hist_figé!C1514 - 1</f>
        <v>-1.9427569957699897E-2</v>
      </c>
      <c r="D1514" s="29">
        <f>Cours_Hist_figé!D1578/Cours_Hist_figé!D1514 - 1</f>
        <v>-1.2336568903100753E-3</v>
      </c>
      <c r="E1514" s="29">
        <f>Cours_Hist_figé!E1578/Cours_Hist_figé!E1514 - 1</f>
        <v>-1.4535682802443439E-3</v>
      </c>
    </row>
    <row r="1515" spans="1:5" x14ac:dyDescent="0.4">
      <c r="A1515" s="27">
        <v>44277</v>
      </c>
      <c r="B1515" s="29">
        <f>Cours_Hist_figé!B1579/Cours_Hist_figé!B1515 - 1</f>
        <v>7.2368639221805031E-2</v>
      </c>
      <c r="C1515" s="29">
        <f>Cours_Hist_figé!C1579/Cours_Hist_figé!C1515 - 1</f>
        <v>-1.9060880474013886E-2</v>
      </c>
      <c r="D1515" s="29">
        <f>Cours_Hist_figé!D1579/Cours_Hist_figé!D1515 - 1</f>
        <v>-1.2605230128489575E-3</v>
      </c>
      <c r="E1515" s="29">
        <f>Cours_Hist_figé!E1579/Cours_Hist_figé!E1515 - 1</f>
        <v>-1.4851417518023657E-3</v>
      </c>
    </row>
    <row r="1516" spans="1:5" x14ac:dyDescent="0.4">
      <c r="A1516" s="27">
        <v>44278</v>
      </c>
      <c r="B1516" s="29">
        <f>Cours_Hist_figé!B1580/Cours_Hist_figé!B1516 - 1</f>
        <v>7.3319087589995613E-2</v>
      </c>
      <c r="C1516" s="29">
        <f>Cours_Hist_figé!C1580/Cours_Hist_figé!C1516 - 1</f>
        <v>-1.6594751115051154E-2</v>
      </c>
      <c r="D1516" s="29">
        <f>Cours_Hist_figé!D1580/Cours_Hist_figé!D1516 - 1</f>
        <v>-1.2608260685319506E-3</v>
      </c>
      <c r="E1516" s="29">
        <f>Cours_Hist_figé!E1580/Cours_Hist_figé!E1516 - 1</f>
        <v>-1.4854163895593464E-3</v>
      </c>
    </row>
    <row r="1517" spans="1:5" x14ac:dyDescent="0.4">
      <c r="A1517" s="27">
        <v>44279</v>
      </c>
      <c r="B1517" s="29">
        <f>Cours_Hist_figé!B1581/Cours_Hist_figé!B1517 - 1</f>
        <v>9.9534757746392755E-2</v>
      </c>
      <c r="C1517" s="29">
        <f>Cours_Hist_figé!C1581/Cours_Hist_figé!C1517 - 1</f>
        <v>-1.5748600416888525E-2</v>
      </c>
      <c r="D1517" s="29">
        <f>Cours_Hist_figé!D1581/Cours_Hist_figé!D1517 - 1</f>
        <v>-1.2347524005794641E-3</v>
      </c>
      <c r="E1517" s="29">
        <f>Cours_Hist_figé!E1581/Cours_Hist_figé!E1517 - 1</f>
        <v>-1.4546070557428514E-3</v>
      </c>
    </row>
    <row r="1518" spans="1:5" x14ac:dyDescent="0.4">
      <c r="A1518" s="27">
        <v>44280</v>
      </c>
      <c r="B1518" s="29">
        <f>Cours_Hist_figé!B1582/Cours_Hist_figé!B1518 - 1</f>
        <v>8.7163347966168425E-2</v>
      </c>
      <c r="C1518" s="29">
        <f>Cours_Hist_figé!C1582/Cours_Hist_figé!C1518 - 1</f>
        <v>-1.4800628998606791E-2</v>
      </c>
      <c r="D1518" s="29">
        <f>Cours_Hist_figé!D1582/Cours_Hist_figé!D1518 - 1</f>
        <v>-1.2349544504003385E-3</v>
      </c>
      <c r="E1518" s="29">
        <f>Cours_Hist_figé!E1582/Cours_Hist_figé!E1518 - 1</f>
        <v>-1.4548007230791304E-3</v>
      </c>
    </row>
    <row r="1519" spans="1:5" x14ac:dyDescent="0.4">
      <c r="A1519" s="27">
        <v>44281</v>
      </c>
      <c r="B1519" s="29">
        <f>Cours_Hist_figé!B1583/Cours_Hist_figé!B1519 - 1</f>
        <v>8.579266668917862E-2</v>
      </c>
      <c r="C1519" s="29">
        <f>Cours_Hist_figé!C1583/Cours_Hist_figé!C1519 - 1</f>
        <v>-1.3315138538098292E-2</v>
      </c>
      <c r="D1519" s="29">
        <f>Cours_Hist_figé!D1583/Cours_Hist_figé!D1519 - 1</f>
        <v>-1.2351487700354991E-3</v>
      </c>
      <c r="E1519" s="29">
        <f>Cours_Hist_figé!E1583/Cours_Hist_figé!E1519 - 1</f>
        <v>-1.4549642355775605E-3</v>
      </c>
    </row>
    <row r="1520" spans="1:5" x14ac:dyDescent="0.4">
      <c r="A1520" s="27">
        <v>44284</v>
      </c>
      <c r="B1520" s="29">
        <f>Cours_Hist_figé!B1584/Cours_Hist_figé!B1520 - 1</f>
        <v>8.6797001805014817E-2</v>
      </c>
      <c r="C1520" s="29">
        <f>Cours_Hist_figé!C1584/Cours_Hist_figé!C1520 - 1</f>
        <v>-1.5538344530450998E-2</v>
      </c>
      <c r="D1520" s="29">
        <f>Cours_Hist_figé!D1584/Cours_Hist_figé!D1520 - 1</f>
        <v>-1.2622188698472314E-3</v>
      </c>
      <c r="E1520" s="29">
        <f>Cours_Hist_figé!E1584/Cours_Hist_figé!E1520 - 1</f>
        <v>-1.4867224724743888E-3</v>
      </c>
    </row>
    <row r="1521" spans="1:5" x14ac:dyDescent="0.4">
      <c r="A1521" s="27">
        <v>44285</v>
      </c>
      <c r="B1521" s="29">
        <f>Cours_Hist_figé!B1585/Cours_Hist_figé!B1521 - 1</f>
        <v>7.9501330666664316E-2</v>
      </c>
      <c r="C1521" s="29">
        <f>Cours_Hist_figé!C1585/Cours_Hist_figé!C1521 - 1</f>
        <v>-2.0491056289498322E-2</v>
      </c>
      <c r="D1521" s="29">
        <f>Cours_Hist_figé!D1585/Cours_Hist_figé!D1521 - 1</f>
        <v>-1.2105834513881364E-3</v>
      </c>
      <c r="E1521" s="29">
        <f>Cours_Hist_figé!E1585/Cours_Hist_figé!E1521 - 1</f>
        <v>-1.4256163077890349E-3</v>
      </c>
    </row>
    <row r="1522" spans="1:5" x14ac:dyDescent="0.4">
      <c r="A1522" s="27">
        <v>44286</v>
      </c>
      <c r="B1522" s="29">
        <f>Cours_Hist_figé!B1586/Cours_Hist_figé!B1522 - 1</f>
        <v>8.017563804025829E-2</v>
      </c>
      <c r="C1522" s="29">
        <f>Cours_Hist_figé!C1586/Cours_Hist_figé!C1522 - 1</f>
        <v>-1.8918324091654504E-2</v>
      </c>
      <c r="D1522" s="29">
        <f>Cours_Hist_figé!D1586/Cours_Hist_figé!D1522 - 1</f>
        <v>-1.2109865953695564E-3</v>
      </c>
      <c r="E1522" s="29">
        <f>Cours_Hist_figé!E1586/Cours_Hist_figé!E1522 - 1</f>
        <v>-1.4259706599349942E-3</v>
      </c>
    </row>
    <row r="1523" spans="1:5" x14ac:dyDescent="0.4">
      <c r="A1523" s="27">
        <v>44287</v>
      </c>
      <c r="B1523" s="29">
        <f>Cours_Hist_figé!B1587/Cours_Hist_figé!B1523 - 1</f>
        <v>8.9854402784342646E-2</v>
      </c>
      <c r="C1523" s="29">
        <f>Cours_Hist_figé!C1587/Cours_Hist_figé!C1523 - 1</f>
        <v>-1.6766518387134166E-2</v>
      </c>
      <c r="D1523" s="29">
        <f>Cours_Hist_figé!D1587/Cours_Hist_figé!D1523 - 1</f>
        <v>-1.2114749637001099E-3</v>
      </c>
      <c r="E1523" s="29">
        <f>Cours_Hist_figé!E1587/Cours_Hist_figé!E1523 - 1</f>
        <v>-1.4265061879259466E-3</v>
      </c>
    </row>
    <row r="1524" spans="1:5" x14ac:dyDescent="0.4">
      <c r="A1524" s="27">
        <v>44292</v>
      </c>
      <c r="B1524" s="29">
        <f>Cours_Hist_figé!B1588/Cours_Hist_figé!B1524 - 1</f>
        <v>9.0008975133995639E-2</v>
      </c>
      <c r="C1524" s="29">
        <f>Cours_Hist_figé!C1588/Cours_Hist_figé!C1524 - 1</f>
        <v>-1.9277195820058823E-2</v>
      </c>
      <c r="D1524" s="29">
        <f>Cours_Hist_figé!D1588/Cours_Hist_figé!D1524 - 1</f>
        <v>-1.2229677271167194E-3</v>
      </c>
      <c r="E1524" s="29">
        <f>Cours_Hist_figé!E1588/Cours_Hist_figé!E1524 - 1</f>
        <v>-1.4403141501712069E-3</v>
      </c>
    </row>
    <row r="1525" spans="1:5" x14ac:dyDescent="0.4">
      <c r="A1525" s="27">
        <v>44293</v>
      </c>
      <c r="B1525" s="29">
        <f>Cours_Hist_figé!B1589/Cours_Hist_figé!B1525 - 1</f>
        <v>8.9436221800548221E-2</v>
      </c>
      <c r="C1525" s="29">
        <f>Cours_Hist_figé!C1589/Cours_Hist_figé!C1525 - 1</f>
        <v>-1.8626172799009688E-2</v>
      </c>
      <c r="D1525" s="29">
        <f>Cours_Hist_figé!D1589/Cours_Hist_figé!D1525 - 1</f>
        <v>-1.2229686236381321E-3</v>
      </c>
      <c r="E1525" s="29">
        <f>Cours_Hist_figé!E1589/Cours_Hist_figé!E1525 - 1</f>
        <v>-1.4403468618764403E-3</v>
      </c>
    </row>
    <row r="1526" spans="1:5" x14ac:dyDescent="0.4">
      <c r="A1526" s="27">
        <v>44294</v>
      </c>
      <c r="B1526" s="29">
        <f>Cours_Hist_figé!B1590/Cours_Hist_figé!B1526 - 1</f>
        <v>8.0914974848295573E-2</v>
      </c>
      <c r="C1526" s="29">
        <f>Cours_Hist_figé!C1590/Cours_Hist_figé!C1526 - 1</f>
        <v>-1.6350081795830973E-2</v>
      </c>
      <c r="D1526" s="29">
        <f>Cours_Hist_figé!D1590/Cours_Hist_figé!D1526 - 1</f>
        <v>-1.2230623549082109E-3</v>
      </c>
      <c r="E1526" s="29">
        <f>Cours_Hist_figé!E1590/Cours_Hist_figé!E1526 - 1</f>
        <v>-1.4404600223351105E-3</v>
      </c>
    </row>
    <row r="1527" spans="1:5" x14ac:dyDescent="0.4">
      <c r="A1527" s="27">
        <v>44295</v>
      </c>
      <c r="B1527" s="29">
        <f>Cours_Hist_figé!B1591/Cours_Hist_figé!B1527 - 1</f>
        <v>7.6479046632536019E-2</v>
      </c>
      <c r="C1527" s="29">
        <f>Cours_Hist_figé!C1591/Cours_Hist_figé!C1527 - 1</f>
        <v>-1.8402572913951643E-2</v>
      </c>
      <c r="D1527" s="29">
        <f>Cours_Hist_figé!D1591/Cours_Hist_figé!D1527 - 1</f>
        <v>-1.2231716955629635E-3</v>
      </c>
      <c r="E1527" s="29">
        <f>Cours_Hist_figé!E1591/Cours_Hist_figé!E1527 - 1</f>
        <v>-1.4405733023932221E-3</v>
      </c>
    </row>
    <row r="1528" spans="1:5" x14ac:dyDescent="0.4">
      <c r="A1528" s="27">
        <v>44298</v>
      </c>
      <c r="B1528" s="29">
        <f>Cours_Hist_figé!B1592/Cours_Hist_figé!B1528 - 1</f>
        <v>6.4744615265757144E-2</v>
      </c>
      <c r="C1528" s="29">
        <f>Cours_Hist_figé!C1592/Cours_Hist_figé!C1528 - 1</f>
        <v>-1.9592032135306026E-2</v>
      </c>
      <c r="D1528" s="29">
        <f>Cours_Hist_figé!D1592/Cours_Hist_figé!D1528 - 1</f>
        <v>-1.2501387239769457E-3</v>
      </c>
      <c r="E1528" s="29">
        <f>Cours_Hist_figé!E1592/Cours_Hist_figé!E1528 - 1</f>
        <v>-1.4721577675046449E-3</v>
      </c>
    </row>
    <row r="1529" spans="1:5" x14ac:dyDescent="0.4">
      <c r="A1529" s="27">
        <v>44299</v>
      </c>
      <c r="B1529" s="29">
        <f>Cours_Hist_figé!B1593/Cours_Hist_figé!B1529 - 1</f>
        <v>7.218633513143291E-2</v>
      </c>
      <c r="C1529" s="29">
        <f>Cours_Hist_figé!C1593/Cours_Hist_figé!C1529 - 1</f>
        <v>-1.8347952870595097E-2</v>
      </c>
      <c r="D1529" s="29">
        <f>Cours_Hist_figé!D1593/Cours_Hist_figé!D1529 - 1</f>
        <v>-1.2238640371565745E-3</v>
      </c>
      <c r="E1529" s="29">
        <f>Cours_Hist_figé!E1593/Cours_Hist_figé!E1529 - 1</f>
        <v>-1.4411266628806541E-3</v>
      </c>
    </row>
    <row r="1530" spans="1:5" x14ac:dyDescent="0.4">
      <c r="A1530" s="27">
        <v>44300</v>
      </c>
      <c r="B1530" s="29">
        <f>Cours_Hist_figé!B1594/Cours_Hist_figé!B1530 - 1</f>
        <v>7.3688004351412983E-2</v>
      </c>
      <c r="C1530" s="29">
        <f>Cours_Hist_figé!C1594/Cours_Hist_figé!C1530 - 1</f>
        <v>-1.648800372963366E-2</v>
      </c>
      <c r="D1530" s="29">
        <f>Cours_Hist_figé!D1594/Cours_Hist_figé!D1530 - 1</f>
        <v>-1.2238648225161297E-3</v>
      </c>
      <c r="E1530" s="29">
        <f>Cours_Hist_figé!E1594/Cours_Hist_figé!E1530 - 1</f>
        <v>-1.4410888184552828E-3</v>
      </c>
    </row>
    <row r="1531" spans="1:5" x14ac:dyDescent="0.4">
      <c r="A1531" s="27">
        <v>44301</v>
      </c>
      <c r="B1531" s="29">
        <f>Cours_Hist_figé!B1595/Cours_Hist_figé!B1531 - 1</f>
        <v>7.7980003221290284E-2</v>
      </c>
      <c r="C1531" s="29">
        <f>Cours_Hist_figé!C1595/Cours_Hist_figé!C1531 - 1</f>
        <v>-1.8308649917071484E-2</v>
      </c>
      <c r="D1531" s="29">
        <f>Cours_Hist_figé!D1595/Cours_Hist_figé!D1531 - 1</f>
        <v>-1.2237648941577639E-3</v>
      </c>
      <c r="E1531" s="29">
        <f>Cours_Hist_figé!E1595/Cours_Hist_figé!E1531 - 1</f>
        <v>-1.4410106430052805E-3</v>
      </c>
    </row>
    <row r="1532" spans="1:5" x14ac:dyDescent="0.4">
      <c r="A1532" s="27">
        <v>44302</v>
      </c>
      <c r="B1532" s="29">
        <f>Cours_Hist_figé!B1596/Cours_Hist_figé!B1532 - 1</f>
        <v>8.0056148682498218E-2</v>
      </c>
      <c r="C1532" s="29">
        <f>Cours_Hist_figé!C1596/Cours_Hist_figé!C1532 - 1</f>
        <v>-2.0087155931623024E-2</v>
      </c>
      <c r="D1532" s="29">
        <f>Cours_Hist_figé!D1596/Cours_Hist_figé!D1532 - 1</f>
        <v>-1.2239669756222149E-3</v>
      </c>
      <c r="E1532" s="29">
        <f>Cours_Hist_figé!E1596/Cours_Hist_figé!E1532 - 1</f>
        <v>-1.4411137127401386E-3</v>
      </c>
    </row>
    <row r="1533" spans="1:5" x14ac:dyDescent="0.4">
      <c r="A1533" s="27">
        <v>44305</v>
      </c>
      <c r="B1533" s="29">
        <f>Cours_Hist_figé!B1597/Cours_Hist_figé!B1533 - 1</f>
        <v>9.0909128551843077E-2</v>
      </c>
      <c r="C1533" s="29">
        <f>Cours_Hist_figé!C1597/Cours_Hist_figé!C1533 - 1</f>
        <v>-2.094121266582627E-2</v>
      </c>
      <c r="D1533" s="29">
        <f>Cours_Hist_figé!D1597/Cours_Hist_figé!D1533 - 1</f>
        <v>-1.2506343681027987E-3</v>
      </c>
      <c r="E1533" s="29">
        <f>Cours_Hist_figé!E1597/Cours_Hist_figé!E1533 - 1</f>
        <v>-1.4725001464955811E-3</v>
      </c>
    </row>
    <row r="1534" spans="1:5" x14ac:dyDescent="0.4">
      <c r="A1534" s="27">
        <v>44306</v>
      </c>
      <c r="B1534" s="29">
        <f>Cours_Hist_figé!B1598/Cours_Hist_figé!B1534 - 1</f>
        <v>6.8496854149959097E-2</v>
      </c>
      <c r="C1534" s="29">
        <f>Cours_Hist_figé!C1598/Cours_Hist_figé!C1534 - 1</f>
        <v>-1.8986341515994209E-2</v>
      </c>
      <c r="D1534" s="29">
        <f>Cours_Hist_figé!D1598/Cours_Hist_figé!D1534 - 1</f>
        <v>-1.2239703598632135E-3</v>
      </c>
      <c r="E1534" s="29">
        <f>Cours_Hist_figé!E1598/Cours_Hist_figé!E1534 - 1</f>
        <v>-1.4411236810301098E-3</v>
      </c>
    </row>
    <row r="1535" spans="1:5" x14ac:dyDescent="0.4">
      <c r="A1535" s="27">
        <v>44307</v>
      </c>
      <c r="B1535" s="29">
        <f>Cours_Hist_figé!B1599/Cours_Hist_figé!B1535 - 1</f>
        <v>7.8026824865654154E-2</v>
      </c>
      <c r="C1535" s="29">
        <f>Cours_Hist_figé!C1599/Cours_Hist_figé!C1535 - 1</f>
        <v>-1.8825366688583034E-2</v>
      </c>
      <c r="D1535" s="29">
        <f>Cours_Hist_figé!D1599/Cours_Hist_figé!D1535 - 1</f>
        <v>-1.224064120666668E-3</v>
      </c>
      <c r="E1535" s="29">
        <f>Cours_Hist_figé!E1599/Cours_Hist_figé!E1535 - 1</f>
        <v>-1.4411765141371102E-3</v>
      </c>
    </row>
    <row r="1536" spans="1:5" x14ac:dyDescent="0.4">
      <c r="A1536" s="27">
        <v>44308</v>
      </c>
      <c r="B1536" s="29">
        <f>Cours_Hist_figé!B1600/Cours_Hist_figé!B1536 - 1</f>
        <v>7.7601315924745506E-2</v>
      </c>
      <c r="C1536" s="29">
        <f>Cours_Hist_figé!C1600/Cours_Hist_figé!C1536 - 1</f>
        <v>-1.8393045159369681E-2</v>
      </c>
      <c r="D1536" s="29">
        <f>Cours_Hist_figé!D1600/Cours_Hist_figé!D1536 - 1</f>
        <v>-1.2240726472204644E-3</v>
      </c>
      <c r="E1536" s="29">
        <f>Cours_Hist_figé!E1600/Cours_Hist_figé!E1536 - 1</f>
        <v>-1.4411991018271619E-3</v>
      </c>
    </row>
    <row r="1537" spans="1:5" x14ac:dyDescent="0.4">
      <c r="A1537" s="27">
        <v>44309</v>
      </c>
      <c r="B1537" s="29">
        <f>Cours_Hist_figé!B1601/Cours_Hist_figé!B1537 - 1</f>
        <v>7.6059352003237102E-2</v>
      </c>
      <c r="C1537" s="29">
        <f>Cours_Hist_figé!C1601/Cours_Hist_figé!C1537 - 1</f>
        <v>-1.5871311597243754E-2</v>
      </c>
      <c r="D1537" s="29">
        <f>Cours_Hist_figé!D1601/Cours_Hist_figé!D1537 - 1</f>
        <v>-1.2240656874136224E-3</v>
      </c>
      <c r="E1537" s="29">
        <f>Cours_Hist_figé!E1601/Cours_Hist_figé!E1537 - 1</f>
        <v>-1.4412317485462678E-3</v>
      </c>
    </row>
    <row r="1538" spans="1:5" x14ac:dyDescent="0.4">
      <c r="A1538" s="27">
        <v>44312</v>
      </c>
      <c r="B1538" s="29">
        <f>Cours_Hist_figé!B1602/Cours_Hist_figé!B1538 - 1</f>
        <v>8.4445592962798299E-2</v>
      </c>
      <c r="C1538" s="29">
        <f>Cours_Hist_figé!C1602/Cours_Hist_figé!C1538 - 1</f>
        <v>-1.6550926728534976E-2</v>
      </c>
      <c r="D1538" s="29">
        <f>Cours_Hist_figé!D1602/Cours_Hist_figé!D1538 - 1</f>
        <v>-1.2508284212398024E-3</v>
      </c>
      <c r="E1538" s="29">
        <f>Cours_Hist_figé!E1602/Cours_Hist_figé!E1538 - 1</f>
        <v>-1.4726618502706179E-3</v>
      </c>
    </row>
    <row r="1539" spans="1:5" x14ac:dyDescent="0.4">
      <c r="A1539" s="27">
        <v>44313</v>
      </c>
      <c r="B1539" s="29">
        <f>Cours_Hist_figé!B1603/Cours_Hist_figé!B1539 - 1</f>
        <v>9.2647573640955549E-2</v>
      </c>
      <c r="C1539" s="29">
        <f>Cours_Hist_figé!C1603/Cours_Hist_figé!C1539 - 1</f>
        <v>-2.0033261400399516E-2</v>
      </c>
      <c r="D1539" s="29">
        <f>Cours_Hist_figé!D1603/Cours_Hist_figé!D1539 - 1</f>
        <v>-1.2245721002244192E-3</v>
      </c>
      <c r="E1539" s="29">
        <f>Cours_Hist_figé!E1603/Cours_Hist_figé!E1539 - 1</f>
        <v>-1.4417044224380726E-3</v>
      </c>
    </row>
    <row r="1540" spans="1:5" x14ac:dyDescent="0.4">
      <c r="A1540" s="27">
        <v>44314</v>
      </c>
      <c r="B1540" s="29">
        <f>Cours_Hist_figé!B1604/Cours_Hist_figé!B1540 - 1</f>
        <v>8.6830356957873445E-2</v>
      </c>
      <c r="C1540" s="29">
        <f>Cours_Hist_figé!C1604/Cours_Hist_figé!C1540 - 1</f>
        <v>-2.0434421748838361E-2</v>
      </c>
      <c r="D1540" s="29">
        <f>Cours_Hist_figé!D1604/Cours_Hist_figé!D1540 - 1</f>
        <v>-1.224464415467752E-3</v>
      </c>
      <c r="E1540" s="29">
        <f>Cours_Hist_figé!E1604/Cours_Hist_figé!E1540 - 1</f>
        <v>-1.4415960488827206E-3</v>
      </c>
    </row>
    <row r="1541" spans="1:5" x14ac:dyDescent="0.4">
      <c r="A1541" s="27">
        <v>44315</v>
      </c>
      <c r="B1541" s="29">
        <f>Cours_Hist_figé!B1605/Cours_Hist_figé!B1541 - 1</f>
        <v>9.6351524038964964E-2</v>
      </c>
      <c r="C1541" s="29">
        <f>Cours_Hist_figé!C1605/Cours_Hist_figé!C1541 - 1</f>
        <v>-2.3608413503108272E-2</v>
      </c>
      <c r="D1541" s="29">
        <f>Cours_Hist_figé!D1605/Cours_Hist_figé!D1541 - 1</f>
        <v>-1.224759410995313E-3</v>
      </c>
      <c r="E1541" s="29">
        <f>Cours_Hist_figé!E1605/Cours_Hist_figé!E1541 - 1</f>
        <v>-1.4418198743414434E-3</v>
      </c>
    </row>
    <row r="1542" spans="1:5" x14ac:dyDescent="0.4">
      <c r="A1542" s="27">
        <v>44316</v>
      </c>
      <c r="B1542" s="29">
        <f>Cours_Hist_figé!B1606/Cours_Hist_figé!B1542 - 1</f>
        <v>9.3017604617362748E-2</v>
      </c>
      <c r="C1542" s="29">
        <f>Cours_Hist_figé!C1606/Cours_Hist_figé!C1542 - 1</f>
        <v>-2.3178346094667512E-2</v>
      </c>
      <c r="D1542" s="29">
        <f>Cours_Hist_figé!D1606/Cours_Hist_figé!D1542 - 1</f>
        <v>-1.2248686814902987E-3</v>
      </c>
      <c r="E1542" s="29">
        <f>Cours_Hist_figé!E1606/Cours_Hist_figé!E1542 - 1</f>
        <v>-1.4419028604633066E-3</v>
      </c>
    </row>
    <row r="1543" spans="1:5" x14ac:dyDescent="0.4">
      <c r="A1543" s="27">
        <v>44319</v>
      </c>
      <c r="B1543" s="29">
        <f>Cours_Hist_figé!B1607/Cours_Hist_figé!B1543 - 1</f>
        <v>0.12067675338786721</v>
      </c>
      <c r="C1543" s="29">
        <f>Cours_Hist_figé!C1607/Cours_Hist_figé!C1543 - 1</f>
        <v>-2.0495780452176926E-2</v>
      </c>
      <c r="D1543" s="29">
        <f>Cours_Hist_figé!D1607/Cours_Hist_figé!D1543 - 1</f>
        <v>-1.2519360999924123E-3</v>
      </c>
      <c r="E1543" s="29">
        <f>Cours_Hist_figé!E1607/Cours_Hist_figé!E1543 - 1</f>
        <v>-1.4736889527737773E-3</v>
      </c>
    </row>
    <row r="1544" spans="1:5" x14ac:dyDescent="0.4">
      <c r="A1544" s="27">
        <v>44320</v>
      </c>
      <c r="B1544" s="29">
        <f>Cours_Hist_figé!B1608/Cours_Hist_figé!B1544 - 1</f>
        <v>9.2018909688683648E-2</v>
      </c>
      <c r="C1544" s="29">
        <f>Cours_Hist_figé!C1608/Cours_Hist_figé!C1544 - 1</f>
        <v>-1.8905352516841445E-2</v>
      </c>
      <c r="D1544" s="29">
        <f>Cours_Hist_figé!D1608/Cours_Hist_figé!D1544 - 1</f>
        <v>-1.2254606713806293E-3</v>
      </c>
      <c r="E1544" s="29">
        <f>Cours_Hist_figé!E1608/Cours_Hist_figé!E1544 - 1</f>
        <v>-1.442476693191419E-3</v>
      </c>
    </row>
    <row r="1545" spans="1:5" x14ac:dyDescent="0.4">
      <c r="A1545" s="27">
        <v>44321</v>
      </c>
      <c r="B1545" s="29">
        <f>Cours_Hist_figé!B1609/Cours_Hist_figé!B1545 - 1</f>
        <v>9.8936713291813083E-2</v>
      </c>
      <c r="C1545" s="29">
        <f>Cours_Hist_figé!C1609/Cours_Hist_figé!C1545 - 1</f>
        <v>-1.8299802571105861E-2</v>
      </c>
      <c r="D1545" s="29">
        <f>Cours_Hist_figé!D1609/Cours_Hist_figé!D1545 - 1</f>
        <v>-1.2253608516680226E-3</v>
      </c>
      <c r="E1545" s="29">
        <f>Cours_Hist_figé!E1609/Cours_Hist_figé!E1545 - 1</f>
        <v>-1.4424288408957375E-3</v>
      </c>
    </row>
    <row r="1546" spans="1:5" x14ac:dyDescent="0.4">
      <c r="A1546" s="27">
        <v>44322</v>
      </c>
      <c r="B1546" s="29">
        <f>Cours_Hist_figé!B1610/Cours_Hist_figé!B1546 - 1</f>
        <v>9.4721070785207528E-2</v>
      </c>
      <c r="C1546" s="29">
        <f>Cours_Hist_figé!C1610/Cours_Hist_figé!C1546 - 1</f>
        <v>-1.8289093306935178E-2</v>
      </c>
      <c r="D1546" s="29">
        <f>Cours_Hist_figé!D1610/Cours_Hist_figé!D1546 - 1</f>
        <v>-1.2254623895094907E-3</v>
      </c>
      <c r="E1546" s="29">
        <f>Cours_Hist_figé!E1610/Cours_Hist_figé!E1546 - 1</f>
        <v>-1.4424816632819804E-3</v>
      </c>
    </row>
    <row r="1547" spans="1:5" x14ac:dyDescent="0.4">
      <c r="A1547" s="27">
        <v>44323</v>
      </c>
      <c r="B1547" s="29">
        <f>Cours_Hist_figé!B1611/Cours_Hist_figé!B1547 - 1</f>
        <v>9.8117545339571288E-2</v>
      </c>
      <c r="C1547" s="29">
        <f>Cours_Hist_figé!C1611/Cours_Hist_figé!C1547 - 1</f>
        <v>-1.9298133387920191E-2</v>
      </c>
      <c r="D1547" s="29">
        <f>Cours_Hist_figé!D1611/Cours_Hist_figé!D1547 - 1</f>
        <v>-1.2256644357664381E-3</v>
      </c>
      <c r="E1547" s="29">
        <f>Cours_Hist_figé!E1611/Cours_Hist_figé!E1547 - 1</f>
        <v>-1.4426753053559116E-3</v>
      </c>
    </row>
    <row r="1548" spans="1:5" x14ac:dyDescent="0.4">
      <c r="A1548" s="27">
        <v>44326</v>
      </c>
      <c r="B1548" s="29">
        <f>Cours_Hist_figé!B1612/Cours_Hist_figé!B1548 - 1</f>
        <v>0.10003717042225602</v>
      </c>
      <c r="C1548" s="29">
        <f>Cours_Hist_figé!C1612/Cours_Hist_figé!C1548 - 1</f>
        <v>-1.9015365061442302E-2</v>
      </c>
      <c r="D1548" s="29">
        <f>Cours_Hist_figé!D1612/Cours_Hist_figé!D1548 - 1</f>
        <v>-1.2521300388510515E-3</v>
      </c>
      <c r="E1548" s="29">
        <f>Cours_Hist_figé!E1612/Cours_Hist_figé!E1548 - 1</f>
        <v>-1.4738806472028854E-3</v>
      </c>
    </row>
    <row r="1549" spans="1:5" x14ac:dyDescent="0.4">
      <c r="A1549" s="27">
        <v>44327</v>
      </c>
      <c r="B1549" s="29">
        <f>Cours_Hist_figé!B1613/Cours_Hist_figé!B1549 - 1</f>
        <v>7.5069088615028035E-2</v>
      </c>
      <c r="C1549" s="29">
        <f>Cours_Hist_figé!C1613/Cours_Hist_figé!C1549 - 1</f>
        <v>-2.2406639307632537E-2</v>
      </c>
      <c r="D1549" s="29">
        <f>Cours_Hist_figé!D1613/Cours_Hist_figé!D1549 - 1</f>
        <v>-1.2255670111274153E-3</v>
      </c>
      <c r="E1549" s="29">
        <f>Cours_Hist_figé!E1613/Cours_Hist_figé!E1549 - 1</f>
        <v>-1.4425945486538083E-3</v>
      </c>
    </row>
    <row r="1550" spans="1:5" x14ac:dyDescent="0.4">
      <c r="A1550" s="27">
        <v>44328</v>
      </c>
      <c r="B1550" s="29">
        <f>Cours_Hist_figé!B1614/Cours_Hist_figé!B1550 - 1</f>
        <v>7.968325100281759E-2</v>
      </c>
      <c r="C1550" s="29">
        <f>Cours_Hist_figé!C1614/Cours_Hist_figé!C1550 - 1</f>
        <v>-2.4956735419635279E-2</v>
      </c>
      <c r="D1550" s="29">
        <f>Cours_Hist_figé!D1614/Cours_Hist_figé!D1550 - 1</f>
        <v>-1.2255600694506263E-3</v>
      </c>
      <c r="E1550" s="29">
        <f>Cours_Hist_figé!E1614/Cours_Hist_figé!E1550 - 1</f>
        <v>-1.4426171074987115E-3</v>
      </c>
    </row>
    <row r="1551" spans="1:5" x14ac:dyDescent="0.4">
      <c r="A1551" s="27">
        <v>44329</v>
      </c>
      <c r="B1551" s="29">
        <f>Cours_Hist_figé!B1615/Cours_Hist_figé!B1551 - 1</f>
        <v>8.0780042033892219E-2</v>
      </c>
      <c r="C1551" s="29">
        <f>Cours_Hist_figé!C1615/Cours_Hist_figé!C1551 - 1</f>
        <v>-2.5102903689169898E-2</v>
      </c>
      <c r="D1551" s="29">
        <f>Cours_Hist_figé!D1615/Cours_Hist_figé!D1551 - 1</f>
        <v>-1.225560868183817E-3</v>
      </c>
      <c r="E1551" s="29">
        <f>Cours_Hist_figé!E1615/Cours_Hist_figé!E1551 - 1</f>
        <v>-1.4426195586804136E-3</v>
      </c>
    </row>
    <row r="1552" spans="1:5" x14ac:dyDescent="0.4">
      <c r="A1552" s="27">
        <v>44330</v>
      </c>
      <c r="B1552" s="29">
        <f>Cours_Hist_figé!B1616/Cours_Hist_figé!B1552 - 1</f>
        <v>8.9528434157994496E-2</v>
      </c>
      <c r="C1552" s="29">
        <f>Cours_Hist_figé!C1616/Cours_Hist_figé!C1552 - 1</f>
        <v>-2.6477471244044315E-2</v>
      </c>
      <c r="D1552" s="29">
        <f>Cours_Hist_figé!D1616/Cours_Hist_figé!D1552 - 1</f>
        <v>-1.2255616669377689E-3</v>
      </c>
      <c r="E1552" s="29">
        <f>Cours_Hist_figé!E1616/Cours_Hist_figé!E1552 - 1</f>
        <v>-1.4426220099389431E-3</v>
      </c>
    </row>
    <row r="1553" spans="1:5" x14ac:dyDescent="0.4">
      <c r="A1553" s="27">
        <v>44333</v>
      </c>
      <c r="B1553" s="29">
        <f>Cours_Hist_figé!B1617/Cours_Hist_figé!B1553 - 1</f>
        <v>8.2105719679784084E-2</v>
      </c>
      <c r="C1553" s="29">
        <f>Cours_Hist_figé!C1617/Cours_Hist_figé!C1553 - 1</f>
        <v>-2.5187821924856579E-2</v>
      </c>
      <c r="D1553" s="29">
        <f>Cours_Hist_figé!D1617/Cours_Hist_figé!D1553 - 1</f>
        <v>-1.2521304892663121E-3</v>
      </c>
      <c r="E1553" s="29">
        <f>Cours_Hist_figé!E1617/Cours_Hist_figé!E1553 - 1</f>
        <v>-1.4738811863659329E-3</v>
      </c>
    </row>
    <row r="1554" spans="1:5" x14ac:dyDescent="0.4">
      <c r="A1554" s="27">
        <v>44334</v>
      </c>
      <c r="B1554" s="29">
        <f>Cours_Hist_figé!B1618/Cours_Hist_figé!B1554 - 1</f>
        <v>6.9088122518918826E-2</v>
      </c>
      <c r="C1554" s="29">
        <f>Cours_Hist_figé!C1618/Cours_Hist_figé!C1554 - 1</f>
        <v>-2.2484420501408198E-2</v>
      </c>
      <c r="D1554" s="29">
        <f>Cours_Hist_figé!D1618/Cours_Hist_figé!D1554 - 1</f>
        <v>-1.2255648621668502E-3</v>
      </c>
      <c r="E1554" s="29">
        <f>Cours_Hist_figé!E1618/Cours_Hist_figé!E1554 - 1</f>
        <v>-1.4426217680371112E-3</v>
      </c>
    </row>
    <row r="1555" spans="1:5" x14ac:dyDescent="0.4">
      <c r="A1555" s="27">
        <v>44335</v>
      </c>
      <c r="B1555" s="29">
        <f>Cours_Hist_figé!B1619/Cours_Hist_figé!B1555 - 1</f>
        <v>5.3483603087217668E-2</v>
      </c>
      <c r="C1555" s="29">
        <f>Cours_Hist_figé!C1619/Cours_Hist_figé!C1555 - 1</f>
        <v>-2.099731643120295E-2</v>
      </c>
      <c r="D1555" s="29">
        <f>Cours_Hist_figé!D1619/Cours_Hist_figé!D1555 - 1</f>
        <v>-1.2253641425434836E-3</v>
      </c>
      <c r="E1555" s="29">
        <f>Cours_Hist_figé!E1619/Cours_Hist_figé!E1555 - 1</f>
        <v>-1.4424830988124526E-3</v>
      </c>
    </row>
    <row r="1556" spans="1:5" x14ac:dyDescent="0.4">
      <c r="A1556" s="27">
        <v>44336</v>
      </c>
      <c r="B1556" s="29">
        <f>Cours_Hist_figé!B1620/Cours_Hist_figé!B1556 - 1</f>
        <v>7.4683344421978548E-2</v>
      </c>
      <c r="C1556" s="29">
        <f>Cours_Hist_figé!C1620/Cours_Hist_figé!C1556 - 1</f>
        <v>-1.9911565469255099E-2</v>
      </c>
      <c r="D1556" s="29">
        <f>Cours_Hist_figé!D1620/Cours_Hist_figé!D1556 - 1</f>
        <v>-1.2253649387449217E-3</v>
      </c>
      <c r="E1556" s="29">
        <f>Cours_Hist_figé!E1620/Cours_Hist_figé!E1556 - 1</f>
        <v>-1.4424754710695709E-3</v>
      </c>
    </row>
    <row r="1557" spans="1:5" x14ac:dyDescent="0.4">
      <c r="A1557" s="27">
        <v>44337</v>
      </c>
      <c r="B1557" s="29">
        <f>Cours_Hist_figé!B1621/Cours_Hist_figé!B1557 - 1</f>
        <v>8.9255365404618869E-2</v>
      </c>
      <c r="C1557" s="29">
        <f>Cours_Hist_figé!C1621/Cours_Hist_figé!C1557 - 1</f>
        <v>-1.5935530601647541E-2</v>
      </c>
      <c r="D1557" s="29">
        <f>Cours_Hist_figé!D1621/Cours_Hist_figé!D1557 - 1</f>
        <v>-1.225365734967232E-3</v>
      </c>
      <c r="E1557" s="29">
        <f>Cours_Hist_figé!E1621/Cours_Hist_figé!E1557 - 1</f>
        <v>-1.4424879394452361E-3</v>
      </c>
    </row>
    <row r="1558" spans="1:5" x14ac:dyDescent="0.4">
      <c r="A1558" s="27">
        <v>44340</v>
      </c>
      <c r="B1558" s="29">
        <f>Cours_Hist_figé!B1622/Cours_Hist_figé!B1558 - 1</f>
        <v>8.5771963955750596E-2</v>
      </c>
      <c r="C1558" s="29">
        <f>Cours_Hist_figé!C1622/Cours_Hist_figé!C1558 - 1</f>
        <v>-1.387435860034103E-2</v>
      </c>
      <c r="D1558" s="29">
        <f>Cours_Hist_figé!D1622/Cours_Hist_figé!D1558 - 1</f>
        <v>-1.2520299144702651E-3</v>
      </c>
      <c r="E1558" s="29">
        <f>Cours_Hist_figé!E1622/Cours_Hist_figé!E1558 - 1</f>
        <v>-1.4738209789917356E-3</v>
      </c>
    </row>
    <row r="1559" spans="1:5" x14ac:dyDescent="0.4">
      <c r="A1559" s="27">
        <v>44341</v>
      </c>
      <c r="B1559" s="29">
        <f>Cours_Hist_figé!B1623/Cours_Hist_figé!B1559 - 1</f>
        <v>9.0255921079250401E-2</v>
      </c>
      <c r="C1559" s="29">
        <f>Cours_Hist_figé!C1623/Cours_Hist_figé!C1559 - 1</f>
        <v>-1.3882409988732247E-2</v>
      </c>
      <c r="D1559" s="29">
        <f>Cours_Hist_figé!D1623/Cours_Hist_figé!D1559 - 1</f>
        <v>-1.225663223575868E-3</v>
      </c>
      <c r="E1559" s="29">
        <f>Cours_Hist_figé!E1623/Cours_Hist_figé!E1559 - 1</f>
        <v>-1.4426789217196756E-3</v>
      </c>
    </row>
    <row r="1560" spans="1:5" x14ac:dyDescent="0.4">
      <c r="A1560" s="27">
        <v>44342</v>
      </c>
      <c r="B1560" s="29">
        <f>Cours_Hist_figé!B1624/Cours_Hist_figé!B1560 - 1</f>
        <v>9.4876570011236172E-2</v>
      </c>
      <c r="C1560" s="29">
        <f>Cours_Hist_figé!C1624/Cours_Hist_figé!C1560 - 1</f>
        <v>-9.2134353553119386E-3</v>
      </c>
      <c r="D1560" s="29">
        <f>Cours_Hist_figé!D1624/Cours_Hist_figé!D1560 - 1</f>
        <v>-1.225664023818851E-3</v>
      </c>
      <c r="E1560" s="29">
        <f>Cours_Hist_figé!E1624/Cours_Hist_figé!E1560 - 1</f>
        <v>-1.4427015304470103E-3</v>
      </c>
    </row>
    <row r="1561" spans="1:5" x14ac:dyDescent="0.4">
      <c r="A1561" s="27">
        <v>44343</v>
      </c>
      <c r="B1561" s="29">
        <f>Cours_Hist_figé!B1625/Cours_Hist_figé!B1561 - 1</f>
        <v>9.2357598569265731E-2</v>
      </c>
      <c r="C1561" s="29">
        <f>Cours_Hist_figé!C1625/Cours_Hist_figé!C1561 - 1</f>
        <v>-9.1267089451665395E-3</v>
      </c>
      <c r="D1561" s="29">
        <f>Cours_Hist_figé!D1625/Cours_Hist_figé!D1561 - 1</f>
        <v>-1.2256648145823057E-3</v>
      </c>
      <c r="E1561" s="29">
        <f>Cours_Hist_figé!E1625/Cours_Hist_figé!E1561 - 1</f>
        <v>-1.4427040125687407E-3</v>
      </c>
    </row>
    <row r="1562" spans="1:5" x14ac:dyDescent="0.4">
      <c r="A1562" s="27">
        <v>44344</v>
      </c>
      <c r="B1562" s="29">
        <f>Cours_Hist_figé!B1626/Cours_Hist_figé!B1562 - 1</f>
        <v>0.10146610152138757</v>
      </c>
      <c r="C1562" s="29">
        <f>Cours_Hist_figé!C1626/Cours_Hist_figé!C1562 - 1</f>
        <v>-4.41932210556506E-3</v>
      </c>
      <c r="D1562" s="29">
        <f>Cours_Hist_figé!D1626/Cours_Hist_figé!D1562 - 1</f>
        <v>-1.2256656148676992E-3</v>
      </c>
      <c r="E1562" s="29">
        <f>Cours_Hist_figé!E1626/Cours_Hist_figé!E1562 - 1</f>
        <v>-1.4426963873329646E-3</v>
      </c>
    </row>
    <row r="1563" spans="1:5" x14ac:dyDescent="0.4">
      <c r="A1563" s="27">
        <v>44347</v>
      </c>
      <c r="B1563" s="29">
        <f>Cours_Hist_figé!B1627/Cours_Hist_figé!B1563 - 1</f>
        <v>0.11453574756457385</v>
      </c>
      <c r="C1563" s="29">
        <f>Cours_Hist_figé!C1627/Cours_Hist_figé!C1563 - 1</f>
        <v>-6.7941046115718162E-3</v>
      </c>
      <c r="D1563" s="29">
        <f>Cours_Hist_figé!D1627/Cours_Hist_figé!D1563 - 1</f>
        <v>-1.2524331743786199E-3</v>
      </c>
      <c r="E1563" s="29">
        <f>Cours_Hist_figé!E1627/Cours_Hist_figé!E1563 - 1</f>
        <v>-1.4741639435027487E-3</v>
      </c>
    </row>
    <row r="1564" spans="1:5" x14ac:dyDescent="0.4">
      <c r="A1564" s="27">
        <v>44348</v>
      </c>
      <c r="B1564" s="29">
        <f>Cours_Hist_figé!B1628/Cours_Hist_figé!B1564 - 1</f>
        <v>0.10277555949754857</v>
      </c>
      <c r="C1564" s="29">
        <f>Cours_Hist_figé!C1628/Cours_Hist_figé!C1564 - 1</f>
        <v>-1.1937385410648704E-2</v>
      </c>
      <c r="D1564" s="29">
        <f>Cours_Hist_figé!D1628/Cours_Hist_figé!D1564 - 1</f>
        <v>-1.2258628550370076E-3</v>
      </c>
      <c r="E1564" s="29">
        <f>Cours_Hist_figé!E1628/Cours_Hist_figé!E1564 - 1</f>
        <v>-1.4428979043020762E-3</v>
      </c>
    </row>
    <row r="1565" spans="1:5" x14ac:dyDescent="0.4">
      <c r="A1565" s="27">
        <v>44349</v>
      </c>
      <c r="B1565" s="29">
        <f>Cours_Hist_figé!B1629/Cours_Hist_figé!B1565 - 1</f>
        <v>0.10399118630203086</v>
      </c>
      <c r="C1565" s="29">
        <f>Cours_Hist_figé!C1629/Cours_Hist_figé!C1565 - 1</f>
        <v>-1.0518288635646189E-2</v>
      </c>
      <c r="D1565" s="29">
        <f>Cours_Hist_figé!D1629/Cours_Hist_figé!D1565 - 1</f>
        <v>-1.2258636580100291E-3</v>
      </c>
      <c r="E1565" s="29">
        <f>Cours_Hist_figé!E1629/Cours_Hist_figé!E1565 - 1</f>
        <v>-1.4429204753155789E-3</v>
      </c>
    </row>
    <row r="1566" spans="1:5" x14ac:dyDescent="0.4">
      <c r="A1566" s="27">
        <v>44350</v>
      </c>
      <c r="B1566" s="29">
        <f>Cours_Hist_figé!B1630/Cours_Hist_figé!B1566 - 1</f>
        <v>0.10243561598911421</v>
      </c>
      <c r="C1566" s="29">
        <f>Cours_Hist_figé!C1630/Cours_Hist_figé!C1566 - 1</f>
        <v>-8.0202517183215472E-3</v>
      </c>
      <c r="D1566" s="29">
        <f>Cours_Hist_figé!D1630/Cours_Hist_figé!D1566 - 1</f>
        <v>-1.2258644515015238E-3</v>
      </c>
      <c r="E1566" s="29">
        <f>Cours_Hist_figé!E1630/Cours_Hist_figé!E1566 - 1</f>
        <v>-1.4428624853202177E-3</v>
      </c>
    </row>
    <row r="1567" spans="1:5" x14ac:dyDescent="0.4">
      <c r="A1567" s="27">
        <v>44351</v>
      </c>
      <c r="B1567" s="29">
        <f>Cours_Hist_figé!B1631/Cours_Hist_figé!B1567 - 1</f>
        <v>0.10855379570700108</v>
      </c>
      <c r="C1567" s="29">
        <f>Cours_Hist_figé!C1631/Cours_Hist_figé!C1567 - 1</f>
        <v>-7.2247607616136023E-3</v>
      </c>
      <c r="D1567" s="29">
        <f>Cours_Hist_figé!D1631/Cours_Hist_figé!D1567 - 1</f>
        <v>-1.2258652545173998E-3</v>
      </c>
      <c r="E1567" s="29">
        <f>Cours_Hist_figé!E1631/Cours_Hist_figé!E1567 - 1</f>
        <v>-1.4428145729674657E-3</v>
      </c>
    </row>
    <row r="1568" spans="1:5" x14ac:dyDescent="0.4">
      <c r="A1568" s="27">
        <v>44354</v>
      </c>
      <c r="B1568" s="29">
        <f>Cours_Hist_figé!B1632/Cours_Hist_figé!B1568 - 1</f>
        <v>0.11971734456688488</v>
      </c>
      <c r="C1568" s="29">
        <f>Cours_Hist_figé!C1632/Cours_Hist_figé!C1568 - 1</f>
        <v>-6.7315831217216182E-3</v>
      </c>
      <c r="D1568" s="29">
        <f>Cours_Hist_figé!D1632/Cours_Hist_figé!D1568 - 1</f>
        <v>-1.2523329682491147E-3</v>
      </c>
      <c r="E1568" s="29">
        <f>Cours_Hist_figé!E1632/Cours_Hist_figé!E1568 - 1</f>
        <v>-1.4739933238439029E-3</v>
      </c>
    </row>
    <row r="1569" spans="1:5" x14ac:dyDescent="0.4">
      <c r="A1569" s="27">
        <v>44355</v>
      </c>
      <c r="B1569" s="29">
        <f>Cours_Hist_figé!B1633/Cours_Hist_figé!B1569 - 1</f>
        <v>9.8152748207567919E-2</v>
      </c>
      <c r="C1569" s="29">
        <f>Cours_Hist_figé!C1633/Cours_Hist_figé!C1569 - 1</f>
        <v>-4.6611437749669582E-3</v>
      </c>
      <c r="D1569" s="29">
        <f>Cours_Hist_figé!D1633/Cours_Hist_figé!D1569 - 1</f>
        <v>-1.2259612434462053E-3</v>
      </c>
      <c r="E1569" s="29">
        <f>Cours_Hist_figé!E1633/Cours_Hist_figé!E1569 - 1</f>
        <v>-1.4428745472891968E-3</v>
      </c>
    </row>
    <row r="1570" spans="1:5" x14ac:dyDescent="0.4">
      <c r="A1570" s="27">
        <v>44356</v>
      </c>
      <c r="B1570" s="29">
        <f>Cours_Hist_figé!B1634/Cours_Hist_figé!B1570 - 1</f>
        <v>9.1637951786236904E-2</v>
      </c>
      <c r="C1570" s="29">
        <f>Cours_Hist_figé!C1634/Cours_Hist_figé!C1570 - 1</f>
        <v>-4.3153858981427318E-3</v>
      </c>
      <c r="D1570" s="29">
        <f>Cours_Hist_figé!D1634/Cours_Hist_figé!D1570 - 1</f>
        <v>-1.2261633658706694E-3</v>
      </c>
      <c r="E1570" s="29">
        <f>Cours_Hist_figé!E1634/Cours_Hist_figé!E1570 - 1</f>
        <v>-1.4430077995221113E-3</v>
      </c>
    </row>
    <row r="1571" spans="1:5" x14ac:dyDescent="0.4">
      <c r="A1571" s="27">
        <v>44357</v>
      </c>
      <c r="B1571" s="29">
        <f>Cours_Hist_figé!B1635/Cours_Hist_figé!B1571 - 1</f>
        <v>8.7770014873028934E-2</v>
      </c>
      <c r="C1571" s="29">
        <f>Cours_Hist_figé!C1635/Cours_Hist_figé!C1571 - 1</f>
        <v>-5.3249502079458777E-3</v>
      </c>
      <c r="D1571" s="29">
        <f>Cours_Hist_figé!D1635/Cours_Hist_figé!D1571 - 1</f>
        <v>-1.2262648380219066E-3</v>
      </c>
      <c r="E1571" s="29">
        <f>Cours_Hist_figé!E1635/Cours_Hist_figé!E1571 - 1</f>
        <v>-1.4431209678124057E-3</v>
      </c>
    </row>
    <row r="1572" spans="1:5" x14ac:dyDescent="0.4">
      <c r="A1572" s="27">
        <v>44358</v>
      </c>
      <c r="B1572" s="29">
        <f>Cours_Hist_figé!B1636/Cours_Hist_figé!B1572 - 1</f>
        <v>8.9707639800931105E-2</v>
      </c>
      <c r="C1572" s="29">
        <f>Cours_Hist_figé!C1636/Cours_Hist_figé!C1572 - 1</f>
        <v>-5.2887844500368875E-3</v>
      </c>
      <c r="D1572" s="29">
        <f>Cours_Hist_figé!D1636/Cours_Hist_figé!D1572 - 1</f>
        <v>-1.2262655133363776E-3</v>
      </c>
      <c r="E1572" s="29">
        <f>Cours_Hist_figé!E1636/Cours_Hist_figé!E1572 - 1</f>
        <v>-1.44309309903079E-3</v>
      </c>
    </row>
    <row r="1573" spans="1:5" x14ac:dyDescent="0.4">
      <c r="A1573" s="27">
        <v>44361</v>
      </c>
      <c r="B1573" s="29">
        <f>Cours_Hist_figé!B1637/Cours_Hist_figé!B1573 - 1</f>
        <v>9.4214728748778898E-2</v>
      </c>
      <c r="C1573" s="29">
        <f>Cours_Hist_figé!C1637/Cours_Hist_figé!C1573 - 1</f>
        <v>-3.966385933123262E-3</v>
      </c>
      <c r="D1573" s="29">
        <f>Cours_Hist_figé!D1637/Cours_Hist_figé!D1573 - 1</f>
        <v>-1.2531309666532486E-3</v>
      </c>
      <c r="E1573" s="29">
        <f>Cours_Hist_figé!E1637/Cours_Hist_figé!E1573 - 1</f>
        <v>-1.4746279208673885E-3</v>
      </c>
    </row>
    <row r="1574" spans="1:5" x14ac:dyDescent="0.4">
      <c r="A1574" s="27">
        <v>44362</v>
      </c>
      <c r="B1574" s="29">
        <f>Cours_Hist_figé!B1638/Cours_Hist_figé!B1574 - 1</f>
        <v>9.6506864358493649E-2</v>
      </c>
      <c r="C1574" s="29">
        <f>Cours_Hist_figé!C1638/Cours_Hist_figé!C1574 - 1</f>
        <v>-7.2221560131809914E-3</v>
      </c>
      <c r="D1574" s="29">
        <f>Cours_Hist_figé!D1638/Cours_Hist_figé!D1574 - 1</f>
        <v>-1.2267645806044447E-3</v>
      </c>
      <c r="E1574" s="29">
        <f>Cours_Hist_figé!E1638/Cours_Hist_figé!E1574 - 1</f>
        <v>-1.4435259414031787E-3</v>
      </c>
    </row>
    <row r="1575" spans="1:5" x14ac:dyDescent="0.4">
      <c r="A1575" s="27">
        <v>44363</v>
      </c>
      <c r="B1575" s="29">
        <f>Cours_Hist_figé!B1639/Cours_Hist_figé!B1575 - 1</f>
        <v>8.9671183302939328E-2</v>
      </c>
      <c r="C1575" s="29">
        <f>Cours_Hist_figé!C1639/Cours_Hist_figé!C1575 - 1</f>
        <v>-6.5173135632753398E-3</v>
      </c>
      <c r="D1575" s="29">
        <f>Cours_Hist_figé!D1639/Cours_Hist_figé!D1575 - 1</f>
        <v>-1.2266645990425262E-3</v>
      </c>
      <c r="E1575" s="29">
        <f>Cours_Hist_figé!E1639/Cours_Hist_figé!E1575 - 1</f>
        <v>-1.4434477427811565E-3</v>
      </c>
    </row>
    <row r="1576" spans="1:5" x14ac:dyDescent="0.4">
      <c r="A1576" s="27">
        <v>44364</v>
      </c>
      <c r="B1576" s="29">
        <f>Cours_Hist_figé!B1640/Cours_Hist_figé!B1576 - 1</f>
        <v>9.3015151119126616E-2</v>
      </c>
      <c r="C1576" s="29">
        <f>Cours_Hist_figé!C1640/Cours_Hist_figé!C1576 - 1</f>
        <v>-3.7510008288215158E-3</v>
      </c>
      <c r="D1576" s="29">
        <f>Cours_Hist_figé!D1640/Cours_Hist_figé!D1576 - 1</f>
        <v>-1.2266652796860678E-3</v>
      </c>
      <c r="E1576" s="29">
        <f>Cours_Hist_figé!E1640/Cours_Hist_figé!E1576 - 1</f>
        <v>-1.4434501064622962E-3</v>
      </c>
    </row>
    <row r="1577" spans="1:5" x14ac:dyDescent="0.4">
      <c r="A1577" s="27">
        <v>44365</v>
      </c>
      <c r="B1577" s="29">
        <f>Cours_Hist_figé!B1641/Cours_Hist_figé!B1577 - 1</f>
        <v>7.0124170746502568E-2</v>
      </c>
      <c r="C1577" s="29">
        <f>Cours_Hist_figé!C1641/Cours_Hist_figé!C1577 - 1</f>
        <v>-2.1720299669649723E-3</v>
      </c>
      <c r="D1577" s="29">
        <f>Cours_Hist_figé!D1641/Cours_Hist_figé!D1577 - 1</f>
        <v>-1.2267590154061425E-3</v>
      </c>
      <c r="E1577" s="29">
        <f>Cours_Hist_figé!E1641/Cours_Hist_figé!E1577 - 1</f>
        <v>-1.4435028494363955E-3</v>
      </c>
    </row>
    <row r="1578" spans="1:5" x14ac:dyDescent="0.4">
      <c r="A1578" s="27">
        <v>44368</v>
      </c>
      <c r="B1578" s="29">
        <f>Cours_Hist_figé!B1642/Cours_Hist_figé!B1578 - 1</f>
        <v>8.6517690090950561E-2</v>
      </c>
      <c r="C1578" s="29">
        <f>Cours_Hist_figé!C1642/Cours_Hist_figé!C1578 - 1</f>
        <v>-5.1885679663516981E-3</v>
      </c>
      <c r="D1578" s="29">
        <f>Cours_Hist_figé!D1642/Cours_Hist_figé!D1578 - 1</f>
        <v>-1.253130956763604E-3</v>
      </c>
      <c r="E1578" s="29">
        <f>Cours_Hist_figé!E1642/Cours_Hist_figé!E1578 - 1</f>
        <v>-1.4746582080437109E-3</v>
      </c>
    </row>
    <row r="1579" spans="1:5" x14ac:dyDescent="0.4">
      <c r="A1579" s="27">
        <v>44369</v>
      </c>
      <c r="B1579" s="29">
        <f>Cours_Hist_figé!B1643/Cours_Hist_figé!B1579 - 1</f>
        <v>8.6797162463738697E-2</v>
      </c>
      <c r="C1579" s="29">
        <f>Cours_Hist_figé!C1643/Cours_Hist_figé!C1579 - 1</f>
        <v>-6.7315559400772385E-3</v>
      </c>
      <c r="D1579" s="29">
        <f>Cours_Hist_figé!D1643/Cours_Hist_figé!D1579 - 1</f>
        <v>-1.2264600804601233E-3</v>
      </c>
      <c r="E1579" s="29">
        <f>Cours_Hist_figé!E1643/Cours_Hist_figé!E1579 - 1</f>
        <v>-1.4432910362786044E-3</v>
      </c>
    </row>
    <row r="1580" spans="1:5" x14ac:dyDescent="0.4">
      <c r="A1580" s="27">
        <v>44370</v>
      </c>
      <c r="B1580" s="29">
        <f>Cours_Hist_figé!B1644/Cours_Hist_figé!B1580 - 1</f>
        <v>8.1627332988669421E-2</v>
      </c>
      <c r="C1580" s="29">
        <f>Cours_Hist_figé!C1644/Cours_Hist_figé!C1580 - 1</f>
        <v>-8.1993730629802419E-3</v>
      </c>
      <c r="D1580" s="29">
        <f>Cours_Hist_figé!D1644/Cours_Hist_figé!D1580 - 1</f>
        <v>-1.2263601996518325E-3</v>
      </c>
      <c r="E1580" s="29">
        <f>Cours_Hist_figé!E1644/Cours_Hist_figé!E1580 - 1</f>
        <v>-1.4432330776199542E-3</v>
      </c>
    </row>
    <row r="1581" spans="1:5" x14ac:dyDescent="0.4">
      <c r="A1581" s="27">
        <v>44371</v>
      </c>
      <c r="B1581" s="29">
        <f>Cours_Hist_figé!B1645/Cours_Hist_figé!B1581 - 1</f>
        <v>9.1344858794951689E-2</v>
      </c>
      <c r="C1581" s="29">
        <f>Cours_Hist_figé!C1645/Cours_Hist_figé!C1581 - 1</f>
        <v>-8.7854751925419139E-3</v>
      </c>
      <c r="D1581" s="29">
        <f>Cours_Hist_figé!D1645/Cours_Hist_figé!D1581 - 1</f>
        <v>-1.2263609999677572E-3</v>
      </c>
      <c r="E1581" s="29">
        <f>Cours_Hist_figé!E1645/Cours_Hist_figé!E1581 - 1</f>
        <v>-1.4432253992506805E-3</v>
      </c>
    </row>
    <row r="1582" spans="1:5" x14ac:dyDescent="0.4">
      <c r="A1582" s="27">
        <v>44372</v>
      </c>
      <c r="B1582" s="29">
        <f>Cours_Hist_figé!B1646/Cours_Hist_figé!B1582 - 1</f>
        <v>9.2908118141877383E-2</v>
      </c>
      <c r="C1582" s="29">
        <f>Cours_Hist_figé!C1646/Cours_Hist_figé!C1582 - 1</f>
        <v>-1.3160163081996412E-2</v>
      </c>
      <c r="D1582" s="29">
        <f>Cours_Hist_figé!D1646/Cours_Hist_figé!D1582 - 1</f>
        <v>-1.2263618003048871E-3</v>
      </c>
      <c r="E1582" s="29">
        <f>Cours_Hist_figé!E1646/Cours_Hist_figé!E1582 - 1</f>
        <v>-1.443258095384703E-3</v>
      </c>
    </row>
    <row r="1583" spans="1:5" x14ac:dyDescent="0.4">
      <c r="A1583" s="27">
        <v>44375</v>
      </c>
      <c r="B1583" s="29">
        <f>Cours_Hist_figé!B1647/Cours_Hist_figé!B1583 - 1</f>
        <v>7.6049917329344074E-2</v>
      </c>
      <c r="C1583" s="29">
        <f>Cours_Hist_figé!C1647/Cours_Hist_figé!C1583 - 1</f>
        <v>-9.2774839280561627E-3</v>
      </c>
      <c r="D1583" s="29">
        <f>Cours_Hist_figé!D1647/Cours_Hist_figé!D1583 - 1</f>
        <v>-1.2530307489798664E-3</v>
      </c>
      <c r="E1583" s="29">
        <f>Cours_Hist_figé!E1647/Cours_Hist_figé!E1583 - 1</f>
        <v>-1.4746285395584868E-3</v>
      </c>
    </row>
    <row r="1584" spans="1:5" x14ac:dyDescent="0.4">
      <c r="A1584" s="27">
        <v>44376</v>
      </c>
      <c r="B1584" s="29">
        <f>Cours_Hist_figé!B1648/Cours_Hist_figé!B1584 - 1</f>
        <v>7.7399412432894721E-2</v>
      </c>
      <c r="C1584" s="29">
        <f>Cours_Hist_figé!C1648/Cours_Hist_figé!C1584 - 1</f>
        <v>-7.4134341219151967E-3</v>
      </c>
      <c r="D1584" s="29">
        <f>Cours_Hist_figé!D1648/Cours_Hist_figé!D1584 - 1</f>
        <v>-1.2261638680837184E-3</v>
      </c>
      <c r="E1584" s="29">
        <f>Cours_Hist_figé!E1648/Cours_Hist_figé!E1584 - 1</f>
        <v>-1.4430666868671116E-3</v>
      </c>
    </row>
    <row r="1585" spans="1:5" x14ac:dyDescent="0.4">
      <c r="A1585" s="27">
        <v>44377</v>
      </c>
      <c r="B1585" s="29">
        <f>Cours_Hist_figé!B1649/Cours_Hist_figé!B1585 - 1</f>
        <v>6.1780114518322993E-2</v>
      </c>
      <c r="C1585" s="29">
        <f>Cours_Hist_figé!C1649/Cours_Hist_figé!C1585 - 1</f>
        <v>-2.6369742036905786E-3</v>
      </c>
      <c r="D1585" s="29">
        <f>Cours_Hist_figé!D1649/Cours_Hist_figé!D1585 - 1</f>
        <v>-1.2260640975629844E-3</v>
      </c>
      <c r="E1585" s="29">
        <f>Cours_Hist_figé!E1649/Cours_Hist_figé!E1585 - 1</f>
        <v>-1.4430088638084371E-3</v>
      </c>
    </row>
    <row r="1586" spans="1:5" x14ac:dyDescent="0.4">
      <c r="A1586" s="27">
        <v>44378</v>
      </c>
      <c r="B1586" s="29">
        <f>Cours_Hist_figé!B1650/Cours_Hist_figé!B1586 - 1</f>
        <v>7.093426147051729E-2</v>
      </c>
      <c r="C1586" s="29">
        <f>Cours_Hist_figé!C1650/Cours_Hist_figé!C1586 - 1</f>
        <v>-3.8580324034741542E-3</v>
      </c>
      <c r="D1586" s="29">
        <f>Cours_Hist_figé!D1650/Cours_Hist_figé!D1586 - 1</f>
        <v>-1.2263598367373563E-3</v>
      </c>
      <c r="E1586" s="29">
        <f>Cours_Hist_figé!E1650/Cours_Hist_figé!E1586 - 1</f>
        <v>-1.4433140530798472E-3</v>
      </c>
    </row>
    <row r="1587" spans="1:5" x14ac:dyDescent="0.4">
      <c r="A1587" s="27">
        <v>44379</v>
      </c>
      <c r="B1587" s="29">
        <f>Cours_Hist_figé!B1651/Cours_Hist_figé!B1587 - 1</f>
        <v>6.7110149393413865E-2</v>
      </c>
      <c r="C1587" s="29">
        <f>Cours_Hist_figé!C1651/Cours_Hist_figé!C1587 - 1</f>
        <v>-4.0385386060134421E-3</v>
      </c>
      <c r="D1587" s="29">
        <f>Cours_Hist_figé!D1651/Cours_Hist_figé!D1587 - 1</f>
        <v>-1.2260662990301041E-3</v>
      </c>
      <c r="E1587" s="29">
        <f>Cours_Hist_figé!E1651/Cours_Hist_figé!E1587 - 1</f>
        <v>-1.4430547289989715E-3</v>
      </c>
    </row>
    <row r="1588" spans="1:5" x14ac:dyDescent="0.4">
      <c r="A1588" s="27">
        <v>44382</v>
      </c>
      <c r="B1588" s="29">
        <f>Cours_Hist_figé!B1652/Cours_Hist_figé!B1588 - 1</f>
        <v>6.2969631524634195E-2</v>
      </c>
      <c r="C1588" s="29">
        <f>Cours_Hist_figé!C1652/Cours_Hist_figé!C1588 - 1</f>
        <v>-4.2979714890992726E-3</v>
      </c>
      <c r="D1588" s="29">
        <f>Cours_Hist_figé!D1652/Cours_Hist_figé!D1588 - 1</f>
        <v>-1.1992977399868376E-3</v>
      </c>
      <c r="E1588" s="29">
        <f>Cours_Hist_figé!E1652/Cours_Hist_figé!E1588 - 1</f>
        <v>-1.4115829490969345E-3</v>
      </c>
    </row>
    <row r="1589" spans="1:5" x14ac:dyDescent="0.4">
      <c r="A1589" s="27">
        <v>44383</v>
      </c>
      <c r="B1589" s="29">
        <f>Cours_Hist_figé!B1653/Cours_Hist_figé!B1589 - 1</f>
        <v>5.9611441098808671E-2</v>
      </c>
      <c r="C1589" s="29">
        <f>Cours_Hist_figé!C1653/Cours_Hist_figé!C1589 - 1</f>
        <v>-5.0211216179973928E-4</v>
      </c>
      <c r="D1589" s="29">
        <f>Cours_Hist_figé!D1653/Cours_Hist_figé!D1589 - 1</f>
        <v>-1.1992905455349145E-3</v>
      </c>
      <c r="E1589" s="29">
        <f>Cours_Hist_figé!E1653/Cours_Hist_figé!E1589 - 1</f>
        <v>-1.4115547608881673E-3</v>
      </c>
    </row>
    <row r="1590" spans="1:5" x14ac:dyDescent="0.4">
      <c r="A1590" s="27">
        <v>44384</v>
      </c>
      <c r="B1590" s="29">
        <f>Cours_Hist_figé!B1654/Cours_Hist_figé!B1590 - 1</f>
        <v>6.1328116134477195E-2</v>
      </c>
      <c r="C1590" s="29">
        <f>Cours_Hist_figé!C1654/Cours_Hist_figé!C1590 - 1</f>
        <v>3.5907186572181615E-4</v>
      </c>
      <c r="D1590" s="29">
        <f>Cours_Hist_figé!D1654/Cours_Hist_figé!D1590 - 1</f>
        <v>-1.1991980258496682E-3</v>
      </c>
      <c r="E1590" s="29">
        <f>Cours_Hist_figé!E1654/Cours_Hist_figé!E1590 - 1</f>
        <v>-1.4114963167973782E-3</v>
      </c>
    </row>
    <row r="1591" spans="1:5" x14ac:dyDescent="0.4">
      <c r="A1591" s="27">
        <v>44385</v>
      </c>
      <c r="B1591" s="29">
        <f>Cours_Hist_figé!B1655/Cours_Hist_figé!B1591 - 1</f>
        <v>4.2502130851579611E-2</v>
      </c>
      <c r="C1591" s="29">
        <f>Cours_Hist_figé!C1655/Cours_Hist_figé!C1591 - 1</f>
        <v>3.2408842492137602E-3</v>
      </c>
      <c r="D1591" s="29">
        <f>Cours_Hist_figé!D1655/Cours_Hist_figé!D1591 - 1</f>
        <v>-1.1989970487570334E-3</v>
      </c>
      <c r="E1591" s="29">
        <f>Cours_Hist_figé!E1655/Cours_Hist_figé!E1591 - 1</f>
        <v>-1.4113573034805205E-3</v>
      </c>
    </row>
    <row r="1592" spans="1:5" x14ac:dyDescent="0.4">
      <c r="A1592" s="27">
        <v>44386</v>
      </c>
      <c r="B1592" s="29">
        <f>Cours_Hist_figé!B1656/Cours_Hist_figé!B1592 - 1</f>
        <v>6.106006390688834E-2</v>
      </c>
      <c r="C1592" s="29">
        <f>Cours_Hist_figé!C1656/Cours_Hist_figé!C1592 - 1</f>
        <v>1.8105565785040412E-3</v>
      </c>
      <c r="D1592" s="29">
        <f>Cours_Hist_figé!D1656/Cours_Hist_figé!D1592 - 1</f>
        <v>-1.1721229288790269E-3</v>
      </c>
      <c r="E1592" s="29">
        <f>Cours_Hist_figé!E1656/Cours_Hist_figé!E1592 - 1</f>
        <v>-1.3797955542944607E-3</v>
      </c>
    </row>
    <row r="1593" spans="1:5" x14ac:dyDescent="0.4">
      <c r="A1593" s="27">
        <v>44389</v>
      </c>
      <c r="B1593" s="29">
        <f>Cours_Hist_figé!B1657/Cours_Hist_figé!B1593 - 1</f>
        <v>6.773015941590721E-2</v>
      </c>
      <c r="C1593" s="29">
        <f>Cours_Hist_figé!C1657/Cours_Hist_figé!C1593 - 1</f>
        <v>3.0872869312390527E-3</v>
      </c>
      <c r="D1593" s="29">
        <f>Cours_Hist_figé!D1657/Cours_Hist_figé!D1593 - 1</f>
        <v>-1.1987977118641524E-3</v>
      </c>
      <c r="E1593" s="29">
        <f>Cours_Hist_figé!E1657/Cours_Hist_figé!E1593 - 1</f>
        <v>-1.4111639390427255E-3</v>
      </c>
    </row>
    <row r="1594" spans="1:5" x14ac:dyDescent="0.4">
      <c r="A1594" s="27">
        <v>44390</v>
      </c>
      <c r="B1594" s="29">
        <f>Cours_Hist_figé!B1658/Cours_Hist_figé!B1594 - 1</f>
        <v>6.5971110139321665E-2</v>
      </c>
      <c r="C1594" s="29">
        <f>Cours_Hist_figé!C1658/Cours_Hist_figé!C1594 - 1</f>
        <v>5.1745001818868097E-3</v>
      </c>
      <c r="D1594" s="29">
        <f>Cours_Hist_figé!D1658/Cours_Hist_figé!D1594 - 1</f>
        <v>-1.1988989815623352E-3</v>
      </c>
      <c r="E1594" s="29">
        <f>Cours_Hist_figé!E1658/Cours_Hist_figé!E1594 - 1</f>
        <v>-1.4113070315048271E-3</v>
      </c>
    </row>
    <row r="1595" spans="1:5" x14ac:dyDescent="0.4">
      <c r="A1595" s="27">
        <v>44391</v>
      </c>
      <c r="B1595" s="29">
        <f>Cours_Hist_figé!B1659/Cours_Hist_figé!B1595 - 1</f>
        <v>6.0242662467770769E-2</v>
      </c>
      <c r="C1595" s="29">
        <f>Cours_Hist_figé!C1659/Cours_Hist_figé!C1595 - 1</f>
        <v>3.8972310434584045E-3</v>
      </c>
      <c r="D1595" s="29">
        <f>Cours_Hist_figé!D1659/Cours_Hist_figé!D1595 - 1</f>
        <v>-1.1990932134874344E-3</v>
      </c>
      <c r="E1595" s="29">
        <f>Cours_Hist_figé!E1659/Cours_Hist_figé!E1595 - 1</f>
        <v>-1.4114601148972339E-3</v>
      </c>
    </row>
    <row r="1596" spans="1:5" x14ac:dyDescent="0.4">
      <c r="A1596" s="27">
        <v>44392</v>
      </c>
      <c r="B1596" s="29">
        <f>Cours_Hist_figé!B1660/Cours_Hist_figé!B1596 - 1</f>
        <v>4.0311799443844443E-2</v>
      </c>
      <c r="C1596" s="29">
        <f>Cours_Hist_figé!C1660/Cours_Hist_figé!C1596 - 1</f>
        <v>5.9890989941013828E-3</v>
      </c>
      <c r="D1596" s="29">
        <f>Cours_Hist_figé!D1660/Cours_Hist_figé!D1596 - 1</f>
        <v>-1.199101519739898E-3</v>
      </c>
      <c r="E1596" s="29">
        <f>Cours_Hist_figé!E1660/Cours_Hist_figé!E1596 - 1</f>
        <v>-1.4114722088848231E-3</v>
      </c>
    </row>
    <row r="1597" spans="1:5" x14ac:dyDescent="0.4">
      <c r="A1597" s="27">
        <v>44393</v>
      </c>
      <c r="B1597" s="29">
        <f>Cours_Hist_figé!B1661/Cours_Hist_figé!B1597 - 1</f>
        <v>3.6879236650435354E-2</v>
      </c>
      <c r="C1597" s="29">
        <f>Cours_Hist_figé!C1661/Cours_Hist_figé!C1597 - 1</f>
        <v>8.8217519516500253E-3</v>
      </c>
      <c r="D1597" s="29">
        <f>Cours_Hist_figé!D1661/Cours_Hist_figé!D1597 - 1</f>
        <v>-1.1725270614600936E-3</v>
      </c>
      <c r="E1597" s="29">
        <f>Cours_Hist_figé!E1661/Cours_Hist_figé!E1597 - 1</f>
        <v>-1.3801487409139668E-3</v>
      </c>
    </row>
    <row r="1598" spans="1:5" x14ac:dyDescent="0.4">
      <c r="A1598" s="27">
        <v>44396</v>
      </c>
      <c r="B1598" s="29">
        <f>Cours_Hist_figé!B1662/Cours_Hist_figé!B1598 - 1</f>
        <v>3.2698999287360753E-2</v>
      </c>
      <c r="C1598" s="29">
        <f>Cours_Hist_figé!C1662/Cours_Hist_figé!C1598 - 1</f>
        <v>1.0356003152198312E-2</v>
      </c>
      <c r="D1598" s="29">
        <f>Cours_Hist_figé!D1662/Cours_Hist_figé!D1598 - 1</f>
        <v>-1.1992896774554174E-3</v>
      </c>
      <c r="E1598" s="29">
        <f>Cours_Hist_figé!E1662/Cours_Hist_figé!E1598 - 1</f>
        <v>-1.4116113422683041E-3</v>
      </c>
    </row>
    <row r="1599" spans="1:5" x14ac:dyDescent="0.4">
      <c r="A1599" s="27">
        <v>44397</v>
      </c>
      <c r="B1599" s="29">
        <f>Cours_Hist_figé!B1663/Cours_Hist_figé!B1599 - 1</f>
        <v>3.0528119996681147E-2</v>
      </c>
      <c r="C1599" s="29">
        <f>Cours_Hist_figé!C1663/Cours_Hist_figé!C1599 - 1</f>
        <v>1.0834484484948392E-2</v>
      </c>
      <c r="D1599" s="29">
        <f>Cours_Hist_figé!D1663/Cours_Hist_figé!D1599 - 1</f>
        <v>-1.1992979868951092E-3</v>
      </c>
      <c r="E1599" s="29">
        <f>Cours_Hist_figé!E1663/Cours_Hist_figé!E1599 - 1</f>
        <v>-1.4115831340608676E-3</v>
      </c>
    </row>
    <row r="1600" spans="1:5" x14ac:dyDescent="0.4">
      <c r="A1600" s="27">
        <v>44398</v>
      </c>
      <c r="B1600" s="29">
        <f>Cours_Hist_figé!B1664/Cours_Hist_figé!B1600 - 1</f>
        <v>4.0470040149485298E-2</v>
      </c>
      <c r="C1600" s="29">
        <f>Cours_Hist_figé!C1664/Cours_Hist_figé!C1600 - 1</f>
        <v>8.9962259897646835E-3</v>
      </c>
      <c r="D1600" s="29">
        <f>Cours_Hist_figé!D1664/Cours_Hist_figé!D1600 - 1</f>
        <v>-1.1993915166269575E-3</v>
      </c>
      <c r="E1600" s="29">
        <f>Cours_Hist_figé!E1664/Cours_Hist_figé!E1600 - 1</f>
        <v>-1.4116355515162438E-3</v>
      </c>
    </row>
    <row r="1601" spans="1:5" x14ac:dyDescent="0.4">
      <c r="A1601" s="27">
        <v>44399</v>
      </c>
      <c r="B1601" s="29">
        <f>Cours_Hist_figé!B1665/Cours_Hist_figé!B1601 - 1</f>
        <v>4.679784319195357E-2</v>
      </c>
      <c r="C1601" s="29">
        <f>Cours_Hist_figé!C1665/Cours_Hist_figé!C1601 - 1</f>
        <v>1.1850441153768765E-2</v>
      </c>
      <c r="D1601" s="29">
        <f>Cours_Hist_figé!D1665/Cours_Hist_figé!D1601 - 1</f>
        <v>-1.1994927970736535E-3</v>
      </c>
      <c r="E1601" s="29">
        <f>Cours_Hist_figé!E1665/Cours_Hist_figé!E1601 - 1</f>
        <v>-1.4117182327461064E-3</v>
      </c>
    </row>
    <row r="1602" spans="1:5" x14ac:dyDescent="0.4">
      <c r="A1602" s="27">
        <v>44400</v>
      </c>
      <c r="B1602" s="29">
        <f>Cours_Hist_figé!B1666/Cours_Hist_figé!B1602 - 1</f>
        <v>5.6078340316294106E-2</v>
      </c>
      <c r="C1602" s="29">
        <f>Cours_Hist_figé!C1666/Cours_Hist_figé!C1602 - 1</f>
        <v>1.2259891136174872E-2</v>
      </c>
      <c r="D1602" s="29">
        <f>Cours_Hist_figé!D1666/Cours_Hist_figé!D1602 - 1</f>
        <v>-1.1728305267102446E-3</v>
      </c>
      <c r="E1602" s="29">
        <f>Cours_Hist_figé!E1666/Cours_Hist_figé!E1602 - 1</f>
        <v>-1.3803106144261168E-3</v>
      </c>
    </row>
    <row r="1603" spans="1:5" x14ac:dyDescent="0.4">
      <c r="A1603" s="27">
        <v>44403</v>
      </c>
      <c r="B1603" s="29">
        <f>Cours_Hist_figé!B1667/Cours_Hist_figé!B1603 - 1</f>
        <v>5.5690281357822391E-2</v>
      </c>
      <c r="C1603" s="29">
        <f>Cours_Hist_figé!C1667/Cours_Hist_figé!C1603 - 1</f>
        <v>1.2801164552449507E-2</v>
      </c>
      <c r="D1603" s="29">
        <f>Cours_Hist_figé!D1667/Cours_Hist_figé!D1603 - 1</f>
        <v>-1.1995956465542523E-3</v>
      </c>
      <c r="E1603" s="29">
        <f>Cours_Hist_figé!E1667/Cours_Hist_figé!E1603 - 1</f>
        <v>-1.4117766785702868E-3</v>
      </c>
    </row>
    <row r="1604" spans="1:5" x14ac:dyDescent="0.4">
      <c r="A1604" s="27">
        <v>44404</v>
      </c>
      <c r="B1604" s="29">
        <f>Cours_Hist_figé!B1668/Cours_Hist_figé!B1604 - 1</f>
        <v>4.9473691033055545E-2</v>
      </c>
      <c r="C1604" s="29">
        <f>Cours_Hist_figé!C1668/Cours_Hist_figé!C1604 - 1</f>
        <v>1.4973899032139526E-2</v>
      </c>
      <c r="D1604" s="29">
        <f>Cours_Hist_figé!D1668/Cours_Hist_figé!D1604 - 1</f>
        <v>-1.19979767010292E-3</v>
      </c>
      <c r="E1604" s="29">
        <f>Cours_Hist_figé!E1668/Cours_Hist_figé!E1604 - 1</f>
        <v>-1.4119701389445627E-3</v>
      </c>
    </row>
    <row r="1605" spans="1:5" x14ac:dyDescent="0.4">
      <c r="A1605" s="27">
        <v>44405</v>
      </c>
      <c r="B1605" s="29">
        <f>Cours_Hist_figé!B1669/Cours_Hist_figé!B1605 - 1</f>
        <v>5.8810715870306174E-2</v>
      </c>
      <c r="C1605" s="29">
        <f>Cours_Hist_figé!C1669/Cours_Hist_figé!C1605 - 1</f>
        <v>1.7918079829137845E-2</v>
      </c>
      <c r="D1605" s="29">
        <f>Cours_Hist_figé!D1669/Cours_Hist_figé!D1605 - 1</f>
        <v>-1.1996973731042138E-3</v>
      </c>
      <c r="E1605" s="29">
        <f>Cours_Hist_figé!E1669/Cours_Hist_figé!E1605 - 1</f>
        <v>-1.4118813744032899E-3</v>
      </c>
    </row>
    <row r="1606" spans="1:5" x14ac:dyDescent="0.4">
      <c r="A1606" s="27">
        <v>44406</v>
      </c>
      <c r="B1606" s="29">
        <f>Cours_Hist_figé!B1670/Cours_Hist_figé!B1606 - 1</f>
        <v>6.7638288844092287E-2</v>
      </c>
      <c r="C1606" s="29">
        <f>Cours_Hist_figé!C1670/Cours_Hist_figé!C1606 - 1</f>
        <v>1.8152474071489344E-2</v>
      </c>
      <c r="D1606" s="29">
        <f>Cours_Hist_figé!D1670/Cours_Hist_figé!D1606 - 1</f>
        <v>-1.1996901817989958E-3</v>
      </c>
      <c r="E1606" s="29">
        <f>Cours_Hist_figé!E1670/Cours_Hist_figé!E1606 - 1</f>
        <v>-1.4119136546395517E-3</v>
      </c>
    </row>
    <row r="1607" spans="1:5" x14ac:dyDescent="0.4">
      <c r="A1607" s="27">
        <v>44407</v>
      </c>
      <c r="B1607" s="29">
        <f>Cours_Hist_figé!B1671/Cours_Hist_figé!B1607 - 1</f>
        <v>5.631640087261558E-2</v>
      </c>
      <c r="C1607" s="29">
        <f>Cours_Hist_figé!C1671/Cours_Hist_figé!C1607 - 1</f>
        <v>1.7822823583396374E-2</v>
      </c>
      <c r="D1607" s="29">
        <f>Cours_Hist_figé!D1671/Cours_Hist_figé!D1607 - 1</f>
        <v>-1.1728240517742128E-3</v>
      </c>
      <c r="E1607" s="29">
        <f>Cours_Hist_figé!E1671/Cours_Hist_figé!E1607 - 1</f>
        <v>-1.3802911729132727E-3</v>
      </c>
    </row>
    <row r="1608" spans="1:5" x14ac:dyDescent="0.4">
      <c r="A1608" s="27">
        <v>44410</v>
      </c>
      <c r="B1608" s="29">
        <f>Cours_Hist_figé!B1672/Cours_Hist_figé!B1608 - 1</f>
        <v>7.6984660871137756E-2</v>
      </c>
      <c r="C1608" s="29">
        <f>Cours_Hist_figé!C1672/Cours_Hist_figé!C1608 - 1</f>
        <v>1.7677106563376732E-2</v>
      </c>
      <c r="D1608" s="29">
        <f>Cours_Hist_figé!D1672/Cours_Hist_figé!D1608 - 1</f>
        <v>-1.1998942586007866E-3</v>
      </c>
      <c r="E1608" s="29">
        <f>Cours_Hist_figé!E1672/Cours_Hist_figé!E1608 - 1</f>
        <v>-1.4120835553612654E-3</v>
      </c>
    </row>
    <row r="1609" spans="1:5" x14ac:dyDescent="0.4">
      <c r="A1609" s="27">
        <v>44411</v>
      </c>
      <c r="B1609" s="29">
        <f>Cours_Hist_figé!B1673/Cours_Hist_figé!B1609 - 1</f>
        <v>5.94282164860922E-2</v>
      </c>
      <c r="C1609" s="29">
        <f>Cours_Hist_figé!C1673/Cours_Hist_figé!C1609 - 1</f>
        <v>1.9455561352805351E-2</v>
      </c>
      <c r="D1609" s="29">
        <f>Cours_Hist_figé!D1673/Cours_Hist_figé!D1609 - 1</f>
        <v>-1.1998946978930558E-3</v>
      </c>
      <c r="E1609" s="29">
        <f>Cours_Hist_figé!E1673/Cours_Hist_figé!E1609 - 1</f>
        <v>-1.4121056808062971E-3</v>
      </c>
    </row>
    <row r="1610" spans="1:5" x14ac:dyDescent="0.4">
      <c r="A1610" s="27">
        <v>44412</v>
      </c>
      <c r="B1610" s="29">
        <f>Cours_Hist_figé!B1674/Cours_Hist_figé!B1610 - 1</f>
        <v>6.5866019270161669E-2</v>
      </c>
      <c r="C1610" s="29">
        <f>Cours_Hist_figé!C1674/Cours_Hist_figé!C1610 - 1</f>
        <v>1.9654569142006473E-2</v>
      </c>
      <c r="D1610" s="29">
        <f>Cours_Hist_figé!D1674/Cours_Hist_figé!D1610 - 1</f>
        <v>-1.1999961236636159E-3</v>
      </c>
      <c r="E1610" s="29">
        <f>Cours_Hist_figé!E1674/Cours_Hist_figé!E1610 - 1</f>
        <v>-1.4122186831275751E-3</v>
      </c>
    </row>
    <row r="1611" spans="1:5" x14ac:dyDescent="0.4">
      <c r="A1611" s="27">
        <v>44413</v>
      </c>
      <c r="B1611" s="29">
        <f>Cours_Hist_figé!B1675/Cours_Hist_figé!B1611 - 1</f>
        <v>6.0651147330666122E-2</v>
      </c>
      <c r="C1611" s="29">
        <f>Cours_Hist_figé!C1675/Cours_Hist_figé!C1611 - 1</f>
        <v>2.2910935174517588E-2</v>
      </c>
      <c r="D1611" s="29">
        <f>Cours_Hist_figé!D1675/Cours_Hist_figé!D1611 - 1</f>
        <v>-1.2001905482116326E-3</v>
      </c>
      <c r="E1611" s="29">
        <f>Cours_Hist_figé!E1675/Cours_Hist_figé!E1611 - 1</f>
        <v>-1.4123518396951251E-3</v>
      </c>
    </row>
    <row r="1612" spans="1:5" x14ac:dyDescent="0.4">
      <c r="A1612" s="27">
        <v>44414</v>
      </c>
      <c r="B1612" s="29">
        <f>Cours_Hist_figé!B1676/Cours_Hist_figé!B1612 - 1</f>
        <v>5.9411345531327431E-2</v>
      </c>
      <c r="C1612" s="29">
        <f>Cours_Hist_figé!C1676/Cours_Hist_figé!C1612 - 1</f>
        <v>1.9638166612433006E-2</v>
      </c>
      <c r="D1612" s="29">
        <f>Cours_Hist_figé!D1676/Cours_Hist_figé!D1612 - 1</f>
        <v>-1.1738256829597615E-3</v>
      </c>
      <c r="E1612" s="29">
        <f>Cours_Hist_figé!E1676/Cours_Hist_figé!E1612 - 1</f>
        <v>-1.3811994286316853E-3</v>
      </c>
    </row>
    <row r="1613" spans="1:5" x14ac:dyDescent="0.4">
      <c r="A1613" s="27">
        <v>44417</v>
      </c>
      <c r="B1613" s="29">
        <f>Cours_Hist_figé!B1677/Cours_Hist_figé!B1613 - 1</f>
        <v>8.2939409760060423E-2</v>
      </c>
      <c r="C1613" s="29">
        <f>Cours_Hist_figé!C1677/Cours_Hist_figé!C1613 - 1</f>
        <v>2.3831086800953472E-2</v>
      </c>
      <c r="D1613" s="29">
        <f>Cours_Hist_figé!D1677/Cours_Hist_figé!D1613 - 1</f>
        <v>-1.2006966820171661E-3</v>
      </c>
      <c r="E1613" s="29">
        <f>Cours_Hist_figé!E1677/Cours_Hist_figé!E1613 - 1</f>
        <v>-1.4128237810715483E-3</v>
      </c>
    </row>
    <row r="1614" spans="1:5" x14ac:dyDescent="0.4">
      <c r="A1614" s="27">
        <v>44418</v>
      </c>
      <c r="B1614" s="29">
        <f>Cours_Hist_figé!B1678/Cours_Hist_figé!B1614 - 1</f>
        <v>8.2452729759790122E-2</v>
      </c>
      <c r="C1614" s="29">
        <f>Cours_Hist_figé!C1678/Cours_Hist_figé!C1614 - 1</f>
        <v>2.6942233969762475E-2</v>
      </c>
      <c r="D1614" s="29">
        <f>Cours_Hist_figé!D1678/Cours_Hist_figé!D1614 - 1</f>
        <v>-1.2007980055107614E-3</v>
      </c>
      <c r="E1614" s="29">
        <f>Cours_Hist_figé!E1678/Cours_Hist_figé!E1614 - 1</f>
        <v>-1.4129468101592435E-3</v>
      </c>
    </row>
    <row r="1615" spans="1:5" x14ac:dyDescent="0.4">
      <c r="A1615" s="27">
        <v>44419</v>
      </c>
      <c r="B1615" s="29">
        <f>Cours_Hist_figé!B1679/Cours_Hist_figé!B1615 - 1</f>
        <v>8.8152934656019033E-2</v>
      </c>
      <c r="C1615" s="29">
        <f>Cours_Hist_figé!C1679/Cours_Hist_figé!C1615 - 1</f>
        <v>2.6937546689058456E-2</v>
      </c>
      <c r="D1615" s="29">
        <f>Cours_Hist_figé!D1679/Cours_Hist_figé!D1615 - 1</f>
        <v>-1.2008915720971292E-3</v>
      </c>
      <c r="E1615" s="29">
        <f>Cours_Hist_figé!E1679/Cours_Hist_figé!E1615 - 1</f>
        <v>-1.4130194046330091E-3</v>
      </c>
    </row>
    <row r="1616" spans="1:5" x14ac:dyDescent="0.4">
      <c r="A1616" s="27">
        <v>44420</v>
      </c>
      <c r="B1616" s="29">
        <f>Cours_Hist_figé!B1680/Cours_Hist_figé!B1616 - 1</f>
        <v>7.7327308345028989E-2</v>
      </c>
      <c r="C1616" s="29">
        <f>Cours_Hist_figé!C1680/Cours_Hist_figé!C1616 - 1</f>
        <v>2.7401357215441902E-2</v>
      </c>
      <c r="D1616" s="29">
        <f>Cours_Hist_figé!D1680/Cours_Hist_figé!D1616 - 1</f>
        <v>-1.2009929008782727E-3</v>
      </c>
      <c r="E1616" s="29">
        <f>Cours_Hist_figé!E1680/Cours_Hist_figé!E1616 - 1</f>
        <v>-1.4131020920853388E-3</v>
      </c>
    </row>
    <row r="1617" spans="1:5" x14ac:dyDescent="0.4">
      <c r="A1617" s="27">
        <v>44421</v>
      </c>
      <c r="B1617" s="29">
        <f>Cours_Hist_figé!B1681/Cours_Hist_figé!B1617 - 1</f>
        <v>7.9314281401251074E-2</v>
      </c>
      <c r="C1617" s="29">
        <f>Cours_Hist_figé!C1681/Cours_Hist_figé!C1617 - 1</f>
        <v>2.8766286507284633E-2</v>
      </c>
      <c r="D1617" s="29">
        <f>Cours_Hist_figé!D1681/Cours_Hist_figé!D1617 - 1</f>
        <v>-1.1745248511690898E-3</v>
      </c>
      <c r="E1617" s="29">
        <f>Cours_Hist_figé!E1681/Cours_Hist_figé!E1617 - 1</f>
        <v>-1.3819262146621547E-3</v>
      </c>
    </row>
    <row r="1618" spans="1:5" x14ac:dyDescent="0.4">
      <c r="A1618" s="27">
        <v>44424</v>
      </c>
      <c r="B1618" s="29">
        <f>Cours_Hist_figé!B1682/Cours_Hist_figé!B1618 - 1</f>
        <v>7.1903952196183729E-2</v>
      </c>
      <c r="C1618" s="29">
        <f>Cours_Hist_figé!C1682/Cours_Hist_figé!C1618 - 1</f>
        <v>2.8983035438569837E-2</v>
      </c>
      <c r="D1618" s="29">
        <f>Cours_Hist_figé!D1682/Cours_Hist_figé!D1618 - 1</f>
        <v>-1.2014913643774161E-3</v>
      </c>
      <c r="E1618" s="29">
        <f>Cours_Hist_figé!E1682/Cours_Hist_figé!E1618 - 1</f>
        <v>-1.4136044347869969E-3</v>
      </c>
    </row>
    <row r="1619" spans="1:5" x14ac:dyDescent="0.4">
      <c r="A1619" s="27">
        <v>44425</v>
      </c>
      <c r="B1619" s="29">
        <f>Cours_Hist_figé!B1683/Cours_Hist_figé!B1619 - 1</f>
        <v>8.9631852296952363E-2</v>
      </c>
      <c r="C1619" s="29">
        <f>Cours_Hist_figé!C1683/Cours_Hist_figé!C1619 - 1</f>
        <v>2.8846255010678945E-2</v>
      </c>
      <c r="D1619" s="29">
        <f>Cours_Hist_figé!D1683/Cours_Hist_figé!D1619 - 1</f>
        <v>-1.2017942311548513E-3</v>
      </c>
      <c r="E1619" s="29">
        <f>Cours_Hist_figé!E1683/Cours_Hist_figé!E1619 - 1</f>
        <v>-1.4139089081953715E-3</v>
      </c>
    </row>
    <row r="1620" spans="1:5" x14ac:dyDescent="0.4">
      <c r="A1620" s="27">
        <v>44426</v>
      </c>
      <c r="B1620" s="29">
        <f>Cours_Hist_figé!B1684/Cours_Hist_figé!B1620 - 1</f>
        <v>7.6267005909810948E-2</v>
      </c>
      <c r="C1620" s="29">
        <f>Cours_Hist_figé!C1684/Cours_Hist_figé!C1620 - 1</f>
        <v>2.8508516744830903E-2</v>
      </c>
      <c r="D1620" s="29">
        <f>Cours_Hist_figé!D1684/Cours_Hist_figé!D1620 - 1</f>
        <v>-1.2018955800086051E-3</v>
      </c>
      <c r="E1620" s="29">
        <f>Cours_Hist_figé!E1684/Cours_Hist_figé!E1620 - 1</f>
        <v>-1.41402187803219E-3</v>
      </c>
    </row>
    <row r="1621" spans="1:5" x14ac:dyDescent="0.4">
      <c r="A1621" s="27">
        <v>44427</v>
      </c>
      <c r="B1621" s="29">
        <f>Cours_Hist_figé!B1685/Cours_Hist_figé!B1621 - 1</f>
        <v>5.3974231250326188E-2</v>
      </c>
      <c r="C1621" s="29">
        <f>Cours_Hist_figé!C1685/Cours_Hist_figé!C1621 - 1</f>
        <v>2.721829313951063E-2</v>
      </c>
      <c r="D1621" s="29">
        <f>Cours_Hist_figé!D1685/Cours_Hist_figé!D1621 - 1</f>
        <v>-1.2019891711320119E-3</v>
      </c>
      <c r="E1621" s="29">
        <f>Cours_Hist_figé!E1685/Cours_Hist_figé!E1621 - 1</f>
        <v>-1.4141247310571758E-3</v>
      </c>
    </row>
    <row r="1622" spans="1:5" x14ac:dyDescent="0.4">
      <c r="A1622" s="27">
        <v>44428</v>
      </c>
      <c r="B1622" s="29">
        <f>Cours_Hist_figé!B1686/Cours_Hist_figé!B1622 - 1</f>
        <v>5.5464591486362957E-2</v>
      </c>
      <c r="C1622" s="29">
        <f>Cours_Hist_figé!C1686/Cours_Hist_figé!C1622 - 1</f>
        <v>2.6987979960859443E-2</v>
      </c>
      <c r="D1622" s="29">
        <f>Cours_Hist_figé!D1686/Cours_Hist_figé!D1622 - 1</f>
        <v>-1.1755264536059684E-3</v>
      </c>
      <c r="E1622" s="29">
        <f>Cours_Hist_figé!E1686/Cours_Hist_figé!E1622 - 1</f>
        <v>-1.3829253030197552E-3</v>
      </c>
    </row>
    <row r="1623" spans="1:5" x14ac:dyDescent="0.4">
      <c r="A1623" s="27">
        <v>44431</v>
      </c>
      <c r="B1623" s="29">
        <f>Cours_Hist_figé!B1687/Cours_Hist_figé!B1623 - 1</f>
        <v>6.2445270140588427E-2</v>
      </c>
      <c r="C1623" s="29">
        <f>Cours_Hist_figé!C1687/Cours_Hist_figé!C1623 - 1</f>
        <v>2.35287128091346E-2</v>
      </c>
      <c r="D1623" s="29">
        <f>Cours_Hist_figé!D1687/Cours_Hist_figé!D1623 - 1</f>
        <v>-1.2022938249401927E-3</v>
      </c>
      <c r="E1623" s="29">
        <f>Cours_Hist_figé!E1687/Cours_Hist_figé!E1623 - 1</f>
        <v>-1.4144051877408303E-3</v>
      </c>
    </row>
    <row r="1624" spans="1:5" x14ac:dyDescent="0.4">
      <c r="A1624" s="27">
        <v>44432</v>
      </c>
      <c r="B1624" s="29">
        <f>Cours_Hist_figé!B1688/Cours_Hist_figé!B1624 - 1</f>
        <v>6.2186136363465927E-2</v>
      </c>
      <c r="C1624" s="29">
        <f>Cours_Hist_figé!C1688/Cours_Hist_figé!C1624 - 1</f>
        <v>2.0603082114953652E-2</v>
      </c>
      <c r="D1624" s="29">
        <f>Cours_Hist_figé!D1688/Cours_Hist_figé!D1624 - 1</f>
        <v>-1.2023874275945978E-3</v>
      </c>
      <c r="E1624" s="29">
        <f>Cours_Hist_figé!E1688/Cours_Hist_figé!E1624 - 1</f>
        <v>-1.4144879410036282E-3</v>
      </c>
    </row>
    <row r="1625" spans="1:5" x14ac:dyDescent="0.4">
      <c r="A1625" s="27">
        <v>44433</v>
      </c>
      <c r="B1625" s="29">
        <f>Cours_Hist_figé!B1689/Cours_Hist_figé!B1625 - 1</f>
        <v>5.9559180168904158E-2</v>
      </c>
      <c r="C1625" s="29">
        <f>Cours_Hist_figé!C1689/Cours_Hist_figé!C1625 - 1</f>
        <v>1.8310631302437042E-2</v>
      </c>
      <c r="D1625" s="29">
        <f>Cours_Hist_figé!D1689/Cours_Hist_figé!D1625 - 1</f>
        <v>-1.2024965455000869E-3</v>
      </c>
      <c r="E1625" s="29">
        <f>Cours_Hist_figé!E1689/Cours_Hist_figé!E1625 - 1</f>
        <v>-1.4145505113476453E-3</v>
      </c>
    </row>
    <row r="1626" spans="1:5" x14ac:dyDescent="0.4">
      <c r="A1626" s="27">
        <v>44434</v>
      </c>
      <c r="B1626" s="29">
        <f>Cours_Hist_figé!B1690/Cours_Hist_figé!B1626 - 1</f>
        <v>5.0198634377039086E-2</v>
      </c>
      <c r="C1626" s="29">
        <f>Cours_Hist_figé!C1690/Cours_Hist_figé!C1626 - 1</f>
        <v>1.723774374698861E-2</v>
      </c>
      <c r="D1626" s="29">
        <f>Cours_Hist_figé!D1690/Cours_Hist_figé!D1626 - 1</f>
        <v>-1.2024892583942792E-3</v>
      </c>
      <c r="E1626" s="29">
        <f>Cours_Hist_figé!E1690/Cours_Hist_figé!E1626 - 1</f>
        <v>-1.4145524833256706E-3</v>
      </c>
    </row>
    <row r="1627" spans="1:5" x14ac:dyDescent="0.4">
      <c r="A1627" s="27">
        <v>44435</v>
      </c>
      <c r="B1627" s="29">
        <f>Cours_Hist_figé!B1691/Cours_Hist_figé!B1627 - 1</f>
        <v>5.9999043232439098E-2</v>
      </c>
      <c r="C1627" s="29">
        <f>Cours_Hist_figé!C1691/Cours_Hist_figé!C1627 - 1</f>
        <v>1.713801525418801E-2</v>
      </c>
      <c r="D1627" s="29">
        <f>Cours_Hist_figé!D1691/Cours_Hist_figé!D1627 - 1</f>
        <v>-1.1759234326285117E-3</v>
      </c>
      <c r="E1627" s="29">
        <f>Cours_Hist_figé!E1691/Cours_Hist_figé!E1627 - 1</f>
        <v>-1.3832489535826609E-3</v>
      </c>
    </row>
    <row r="1628" spans="1:5" x14ac:dyDescent="0.4">
      <c r="A1628" s="27">
        <v>44439</v>
      </c>
      <c r="B1628" s="29">
        <f>Cours_Hist_figé!B1692/Cours_Hist_figé!B1628 - 1</f>
        <v>4.8481314045276003E-2</v>
      </c>
      <c r="C1628" s="29">
        <f>Cours_Hist_figé!C1692/Cours_Hist_figé!C1628 - 1</f>
        <v>1.4864792255591563E-2</v>
      </c>
      <c r="D1628" s="29">
        <f>Cours_Hist_figé!D1692/Cours_Hist_figé!D1628 - 1</f>
        <v>-1.2161752613705223E-3</v>
      </c>
      <c r="E1628" s="29">
        <f>Cours_Hist_figé!E1692/Cours_Hist_figé!E1628 - 1</f>
        <v>-1.4306096484449915E-3</v>
      </c>
    </row>
    <row r="1629" spans="1:5" x14ac:dyDescent="0.4">
      <c r="A1629" s="27">
        <v>44440</v>
      </c>
      <c r="B1629" s="29">
        <f>Cours_Hist_figé!B1693/Cours_Hist_figé!B1629 - 1</f>
        <v>5.0136749362101218E-2</v>
      </c>
      <c r="C1629" s="29">
        <f>Cours_Hist_figé!C1693/Cours_Hist_figé!C1629 - 1</f>
        <v>1.2893336771854669E-2</v>
      </c>
      <c r="D1629" s="29">
        <f>Cours_Hist_figé!D1693/Cours_Hist_figé!D1629 - 1</f>
        <v>-1.2163699591462018E-3</v>
      </c>
      <c r="E1629" s="29">
        <f>Cours_Hist_figé!E1693/Cours_Hist_figé!E1629 - 1</f>
        <v>-1.4307733715198667E-3</v>
      </c>
    </row>
    <row r="1630" spans="1:5" x14ac:dyDescent="0.4">
      <c r="A1630" s="27">
        <v>44441</v>
      </c>
      <c r="B1630" s="29">
        <f>Cours_Hist_figé!B1694/Cours_Hist_figé!B1630 - 1</f>
        <v>5.4451186957289011E-2</v>
      </c>
      <c r="C1630" s="29">
        <f>Cours_Hist_figé!C1694/Cours_Hist_figé!C1630 - 1</f>
        <v>1.4727877226786479E-2</v>
      </c>
      <c r="D1630" s="29">
        <f>Cours_Hist_figé!D1694/Cours_Hist_figé!D1630 - 1</f>
        <v>-1.2164792731652607E-3</v>
      </c>
      <c r="E1630" s="29">
        <f>Cours_Hist_figé!E1694/Cours_Hist_figé!E1630 - 1</f>
        <v>-1.4309471502618187E-3</v>
      </c>
    </row>
    <row r="1631" spans="1:5" x14ac:dyDescent="0.4">
      <c r="A1631" s="27">
        <v>44442</v>
      </c>
      <c r="B1631" s="29">
        <f>Cours_Hist_figé!B1695/Cours_Hist_figé!B1631 - 1</f>
        <v>4.4477236810237741E-2</v>
      </c>
      <c r="C1631" s="29">
        <f>Cours_Hist_figé!C1695/Cours_Hist_figé!C1631 - 1</f>
        <v>1.20349094690686E-2</v>
      </c>
      <c r="D1631" s="29">
        <f>Cours_Hist_figé!D1695/Cours_Hist_figé!D1631 - 1</f>
        <v>-1.2165730757834892E-3</v>
      </c>
      <c r="E1631" s="29">
        <f>Cours_Hist_figé!E1695/Cours_Hist_figé!E1631 - 1</f>
        <v>-1.4311007608310833E-3</v>
      </c>
    </row>
    <row r="1632" spans="1:5" x14ac:dyDescent="0.4">
      <c r="A1632" s="27">
        <v>44445</v>
      </c>
      <c r="B1632" s="29">
        <f>Cours_Hist_figé!B1696/Cours_Hist_figé!B1632 - 1</f>
        <v>4.882162494407627E-2</v>
      </c>
      <c r="C1632" s="29">
        <f>Cours_Hist_figé!C1696/Cours_Hist_figé!C1632 - 1</f>
        <v>1.3454130105922779E-2</v>
      </c>
      <c r="D1632" s="29">
        <f>Cours_Hist_figé!D1696/Cours_Hist_figé!D1632 - 1</f>
        <v>-1.2170717075409287E-3</v>
      </c>
      <c r="E1632" s="29">
        <f>Cours_Hist_figé!E1696/Cours_Hist_figé!E1632 - 1</f>
        <v>-1.4315212144796474E-3</v>
      </c>
    </row>
    <row r="1633" spans="1:5" x14ac:dyDescent="0.4">
      <c r="A1633" s="27">
        <v>44446</v>
      </c>
      <c r="B1633" s="29">
        <f>Cours_Hist_figé!B1697/Cours_Hist_figé!B1633 - 1</f>
        <v>4.3324941098856318E-2</v>
      </c>
      <c r="C1633" s="29">
        <f>Cours_Hist_figé!C1697/Cours_Hist_figé!C1633 - 1</f>
        <v>8.4548798292796157E-3</v>
      </c>
      <c r="D1633" s="29">
        <f>Cours_Hist_figé!D1697/Cours_Hist_figé!D1633 - 1</f>
        <v>-1.2171732758624598E-3</v>
      </c>
      <c r="E1633" s="29">
        <f>Cours_Hist_figé!E1697/Cours_Hist_figé!E1633 - 1</f>
        <v>-1.4316546832309207E-3</v>
      </c>
    </row>
    <row r="1634" spans="1:5" x14ac:dyDescent="0.4">
      <c r="A1634" s="27">
        <v>44447</v>
      </c>
      <c r="B1634" s="29">
        <f>Cours_Hist_figé!B1698/Cours_Hist_figé!B1634 - 1</f>
        <v>3.1513544671125659E-2</v>
      </c>
      <c r="C1634" s="29">
        <f>Cours_Hist_figé!C1698/Cours_Hist_figé!C1634 - 1</f>
        <v>6.8021173200913942E-3</v>
      </c>
      <c r="D1634" s="29">
        <f>Cours_Hist_figé!D1698/Cours_Hist_figé!D1634 - 1</f>
        <v>-1.2172748468853856E-3</v>
      </c>
      <c r="E1634" s="29">
        <f>Cours_Hist_figé!E1698/Cours_Hist_figé!E1634 - 1</f>
        <v>-1.4318284920666891E-3</v>
      </c>
    </row>
    <row r="1635" spans="1:5" x14ac:dyDescent="0.4">
      <c r="A1635" s="27">
        <v>44448</v>
      </c>
      <c r="B1635" s="29">
        <f>Cours_Hist_figé!B1699/Cours_Hist_figé!B1635 - 1</f>
        <v>2.9496033046821024E-2</v>
      </c>
      <c r="C1635" s="29">
        <f>Cours_Hist_figé!C1699/Cours_Hist_figé!C1635 - 1</f>
        <v>1.0514816940971894E-2</v>
      </c>
      <c r="D1635" s="29">
        <f>Cours_Hist_figé!D1699/Cours_Hist_figé!D1635 - 1</f>
        <v>-1.2173686675650552E-3</v>
      </c>
      <c r="E1635" s="29">
        <f>Cours_Hist_figé!E1699/Cours_Hist_figé!E1635 - 1</f>
        <v>-1.4319619698101027E-3</v>
      </c>
    </row>
    <row r="1636" spans="1:5" x14ac:dyDescent="0.4">
      <c r="A1636" s="27">
        <v>44449</v>
      </c>
      <c r="B1636" s="29">
        <f>Cours_Hist_figé!B1700/Cours_Hist_figé!B1636 - 1</f>
        <v>2.0100526306204403E-2</v>
      </c>
      <c r="C1636" s="29">
        <f>Cours_Hist_figé!C1700/Cours_Hist_figé!C1636 - 1</f>
        <v>6.681449235595327E-3</v>
      </c>
      <c r="D1636" s="29">
        <f>Cours_Hist_figé!D1700/Cours_Hist_figé!D1636 - 1</f>
        <v>-1.2176719485392784E-3</v>
      </c>
      <c r="E1636" s="29">
        <f>Cours_Hist_figé!E1700/Cours_Hist_figé!E1636 - 1</f>
        <v>-1.4322164776551238E-3</v>
      </c>
    </row>
    <row r="1637" spans="1:5" x14ac:dyDescent="0.4">
      <c r="A1637" s="27">
        <v>44452</v>
      </c>
      <c r="B1637" s="29">
        <f>Cours_Hist_figé!B1701/Cours_Hist_figé!B1637 - 1</f>
        <v>2.1330060436140608E-2</v>
      </c>
      <c r="C1637" s="29">
        <f>Cours_Hist_figé!C1701/Cours_Hist_figé!C1637 - 1</f>
        <v>7.7694478446066473E-3</v>
      </c>
      <c r="D1637" s="29">
        <f>Cours_Hist_figé!D1701/Cours_Hist_figé!D1637 - 1</f>
        <v>-1.2179769570190846E-3</v>
      </c>
      <c r="E1637" s="29">
        <f>Cours_Hist_figé!E1701/Cours_Hist_figé!E1637 - 1</f>
        <v>-1.4325465163445017E-3</v>
      </c>
    </row>
    <row r="1638" spans="1:5" x14ac:dyDescent="0.4">
      <c r="A1638" s="27">
        <v>44453</v>
      </c>
      <c r="B1638" s="29">
        <f>Cours_Hist_figé!B1702/Cours_Hist_figé!B1638 - 1</f>
        <v>1.9414548119978781E-2</v>
      </c>
      <c r="C1638" s="29">
        <f>Cours_Hist_figé!C1702/Cours_Hist_figé!C1638 - 1</f>
        <v>9.7959747976079647E-3</v>
      </c>
      <c r="D1638" s="29">
        <f>Cours_Hist_figé!D1702/Cours_Hist_figé!D1638 - 1</f>
        <v>-1.2181717029782213E-3</v>
      </c>
      <c r="E1638" s="29">
        <f>Cours_Hist_figé!E1702/Cours_Hist_figé!E1638 - 1</f>
        <v>-1.4327204277978511E-3</v>
      </c>
    </row>
    <row r="1639" spans="1:5" x14ac:dyDescent="0.4">
      <c r="A1639" s="27">
        <v>44454</v>
      </c>
      <c r="B1639" s="29">
        <f>Cours_Hist_figé!B1703/Cours_Hist_figé!B1639 - 1</f>
        <v>9.4595749364894122E-3</v>
      </c>
      <c r="C1639" s="29">
        <f>Cours_Hist_figé!C1703/Cours_Hist_figé!C1639 - 1</f>
        <v>7.5816535055444056E-3</v>
      </c>
      <c r="D1639" s="29">
        <f>Cours_Hist_figé!D1703/Cours_Hist_figé!D1639 - 1</f>
        <v>-1.2183663406173384E-3</v>
      </c>
      <c r="E1639" s="29">
        <f>Cours_Hist_figé!E1703/Cours_Hist_figé!E1639 - 1</f>
        <v>-1.4329143918910825E-3</v>
      </c>
    </row>
    <row r="1640" spans="1:5" x14ac:dyDescent="0.4">
      <c r="A1640" s="27">
        <v>44455</v>
      </c>
      <c r="B1640" s="29">
        <f>Cours_Hist_figé!B1704/Cours_Hist_figé!B1640 - 1</f>
        <v>1.4133507441758342E-2</v>
      </c>
      <c r="C1640" s="29">
        <f>Cours_Hist_figé!C1704/Cours_Hist_figé!C1640 - 1</f>
        <v>8.108925284755264E-3</v>
      </c>
      <c r="D1640" s="29">
        <f>Cours_Hist_figé!D1704/Cours_Hist_figé!D1640 - 1</f>
        <v>-1.2187705807710225E-3</v>
      </c>
      <c r="E1640" s="29">
        <f>Cours_Hist_figé!E1704/Cours_Hist_figé!E1640 - 1</f>
        <v>-1.4332194478583471E-3</v>
      </c>
    </row>
    <row r="1641" spans="1:5" x14ac:dyDescent="0.4">
      <c r="A1641" s="27">
        <v>44456</v>
      </c>
      <c r="B1641" s="29">
        <f>Cours_Hist_figé!B1705/Cours_Hist_figé!B1641 - 1</f>
        <v>2.1516172673031519E-2</v>
      </c>
      <c r="C1641" s="29">
        <f>Cours_Hist_figé!C1705/Cours_Hist_figé!C1641 - 1</f>
        <v>6.1224338049952198E-3</v>
      </c>
      <c r="D1641" s="29">
        <f>Cours_Hist_figé!D1705/Cours_Hist_figé!D1641 - 1</f>
        <v>-1.2188721851844608E-3</v>
      </c>
      <c r="E1641" s="29">
        <f>Cours_Hist_figé!E1705/Cours_Hist_figé!E1641 - 1</f>
        <v>-1.4333327282319841E-3</v>
      </c>
    </row>
    <row r="1642" spans="1:5" x14ac:dyDescent="0.4">
      <c r="A1642" s="27">
        <v>44459</v>
      </c>
      <c r="B1642" s="29">
        <f>Cours_Hist_figé!B1706/Cours_Hist_figé!B1642 - 1</f>
        <v>-2.4508029286767208E-3</v>
      </c>
      <c r="C1642" s="29">
        <f>Cours_Hist_figé!C1706/Cours_Hist_figé!C1642 - 1</f>
        <v>9.1565757325429153E-3</v>
      </c>
      <c r="D1642" s="29">
        <f>Cours_Hist_figé!D1706/Cours_Hist_figé!D1642 - 1</f>
        <v>-1.2195728461014133E-3</v>
      </c>
      <c r="E1642" s="29">
        <f>Cours_Hist_figé!E1706/Cours_Hist_figé!E1642 - 1</f>
        <v>-1.4339956854122482E-3</v>
      </c>
    </row>
    <row r="1643" spans="1:5" x14ac:dyDescent="0.4">
      <c r="A1643" s="27">
        <v>44460</v>
      </c>
      <c r="B1643" s="29">
        <f>Cours_Hist_figé!B1707/Cours_Hist_figé!B1643 - 1</f>
        <v>5.671114742855643E-3</v>
      </c>
      <c r="C1643" s="29">
        <f>Cours_Hist_figé!C1707/Cours_Hist_figé!C1643 - 1</f>
        <v>1.099712535336983E-2</v>
      </c>
      <c r="D1643" s="29">
        <f>Cours_Hist_figé!D1707/Cours_Hist_figé!D1643 - 1</f>
        <v>-1.2196744665800008E-3</v>
      </c>
      <c r="E1643" s="29">
        <f>Cours_Hist_figé!E1707/Cours_Hist_figé!E1643 - 1</f>
        <v>-1.4340484472290527E-3</v>
      </c>
    </row>
    <row r="1644" spans="1:5" x14ac:dyDescent="0.4">
      <c r="A1644" s="27">
        <v>44461</v>
      </c>
      <c r="B1644" s="29">
        <f>Cours_Hist_figé!B1708/Cours_Hist_figé!B1644 - 1</f>
        <v>2.2797169449125798E-2</v>
      </c>
      <c r="C1644" s="29">
        <f>Cours_Hist_figé!C1708/Cours_Hist_figé!C1644 - 1</f>
        <v>1.0813735354111564E-2</v>
      </c>
      <c r="D1644" s="29">
        <f>Cours_Hist_figé!D1708/Cours_Hist_figé!D1644 - 1</f>
        <v>-1.2198692557792157E-3</v>
      </c>
      <c r="E1644" s="29">
        <f>Cours_Hist_figé!E1708/Cours_Hist_figé!E1644 - 1</f>
        <v>-1.434232472075192E-3</v>
      </c>
    </row>
    <row r="1645" spans="1:5" x14ac:dyDescent="0.4">
      <c r="A1645" s="27">
        <v>44462</v>
      </c>
      <c r="B1645" s="29">
        <f>Cours_Hist_figé!B1709/Cours_Hist_figé!B1645 - 1</f>
        <v>2.2801050351106023E-2</v>
      </c>
      <c r="C1645" s="29">
        <f>Cours_Hist_figé!C1709/Cours_Hist_figé!C1645 - 1</f>
        <v>6.2284566334032121E-3</v>
      </c>
      <c r="D1645" s="29">
        <f>Cours_Hist_figé!D1709/Cours_Hist_figé!D1645 - 1</f>
        <v>-1.2199708829029321E-3</v>
      </c>
      <c r="E1645" s="29">
        <f>Cours_Hist_figé!E1709/Cours_Hist_figé!E1645 - 1</f>
        <v>-1.4343255700741686E-3</v>
      </c>
    </row>
    <row r="1646" spans="1:5" x14ac:dyDescent="0.4">
      <c r="A1646" s="27">
        <v>44463</v>
      </c>
      <c r="B1646" s="29">
        <f>Cours_Hist_figé!B1710/Cours_Hist_figé!B1646 - 1</f>
        <v>1.2512237584917818E-2</v>
      </c>
      <c r="C1646" s="29">
        <f>Cours_Hist_figé!C1710/Cours_Hist_figé!C1646 - 1</f>
        <v>6.913446973514592E-3</v>
      </c>
      <c r="D1646" s="29">
        <f>Cours_Hist_figé!D1710/Cours_Hist_figé!D1646 - 1</f>
        <v>-1.2201734452674806E-3</v>
      </c>
      <c r="E1646" s="29">
        <f>Cours_Hist_figé!E1710/Cours_Hist_figé!E1646 - 1</f>
        <v>-1.4344591617515556E-3</v>
      </c>
    </row>
    <row r="1647" spans="1:5" x14ac:dyDescent="0.4">
      <c r="A1647" s="27">
        <v>44466</v>
      </c>
      <c r="B1647" s="29">
        <f>Cours_Hist_figé!B1711/Cours_Hist_figé!B1647 - 1</f>
        <v>1.7650661341883644E-2</v>
      </c>
      <c r="C1647" s="29">
        <f>Cours_Hist_figé!C1711/Cours_Hist_figé!C1647 - 1</f>
        <v>4.208413101614239E-3</v>
      </c>
      <c r="D1647" s="29">
        <f>Cours_Hist_figé!D1711/Cours_Hist_figé!D1647 - 1</f>
        <v>-1.2204707138350201E-3</v>
      </c>
      <c r="E1647" s="29">
        <f>Cours_Hist_figé!E1711/Cours_Hist_figé!E1647 - 1</f>
        <v>-1.43478924823226E-3</v>
      </c>
    </row>
    <row r="1648" spans="1:5" x14ac:dyDescent="0.4">
      <c r="A1648" s="27">
        <v>44467</v>
      </c>
      <c r="B1648" s="29">
        <f>Cours_Hist_figé!B1712/Cours_Hist_figé!B1648 - 1</f>
        <v>-6.3003773078468273E-3</v>
      </c>
      <c r="C1648" s="29">
        <f>Cours_Hist_figé!C1712/Cours_Hist_figé!C1648 - 1</f>
        <v>2.9907256580190555E-3</v>
      </c>
      <c r="D1648" s="29">
        <f>Cours_Hist_figé!D1712/Cours_Hist_figé!D1648 - 1</f>
        <v>-1.2205724789291494E-3</v>
      </c>
      <c r="E1648" s="29">
        <f>Cours_Hist_figé!E1712/Cours_Hist_figé!E1648 - 1</f>
        <v>-1.4349329825376067E-3</v>
      </c>
    </row>
    <row r="1649" spans="1:5" x14ac:dyDescent="0.4">
      <c r="A1649" s="27">
        <v>44468</v>
      </c>
      <c r="B1649" s="29">
        <f>Cours_Hist_figé!B1713/Cours_Hist_figé!B1649 - 1</f>
        <v>7.7767487670246105E-3</v>
      </c>
      <c r="C1649" s="29">
        <f>Cours_Hist_figé!C1713/Cours_Hist_figé!C1649 - 1</f>
        <v>1.7174129168331387E-3</v>
      </c>
      <c r="D1649" s="29">
        <f>Cours_Hist_figé!D1713/Cours_Hist_figé!D1649 - 1</f>
        <v>-1.2207674214715913E-3</v>
      </c>
      <c r="E1649" s="29">
        <f>Cours_Hist_figé!E1713/Cours_Hist_figé!E1649 - 1</f>
        <v>-1.435076793820711E-3</v>
      </c>
    </row>
    <row r="1650" spans="1:5" x14ac:dyDescent="0.4">
      <c r="A1650" s="27">
        <v>44469</v>
      </c>
      <c r="B1650" s="29">
        <f>Cours_Hist_figé!B1714/Cours_Hist_figé!B1650 - 1</f>
        <v>1.4152901015909158E-3</v>
      </c>
      <c r="C1650" s="29">
        <f>Cours_Hist_figé!C1714/Cours_Hist_figé!C1650 - 1</f>
        <v>-1.1594396784786465E-4</v>
      </c>
      <c r="D1650" s="29">
        <f>Cours_Hist_figé!D1714/Cours_Hist_figé!D1650 - 1</f>
        <v>-1.2204736787062576E-3</v>
      </c>
      <c r="E1650" s="29">
        <f>Cours_Hist_figé!E1714/Cours_Hist_figé!E1650 - 1</f>
        <v>-1.4348272976322241E-3</v>
      </c>
    </row>
    <row r="1651" spans="1:5" x14ac:dyDescent="0.4">
      <c r="A1651" s="27">
        <v>44470</v>
      </c>
      <c r="B1651" s="29">
        <f>Cours_Hist_figé!B1715/Cours_Hist_figé!B1651 - 1</f>
        <v>-5.13633841876171E-3</v>
      </c>
      <c r="C1651" s="29">
        <f>Cours_Hist_figé!C1715/Cours_Hist_figé!C1651 - 1</f>
        <v>-4.9805654109924546E-4</v>
      </c>
      <c r="D1651" s="29">
        <f>Cours_Hist_figé!D1715/Cours_Hist_figé!D1651 - 1</f>
        <v>-1.2209713280573187E-3</v>
      </c>
      <c r="E1651" s="29">
        <f>Cours_Hist_figé!E1715/Cours_Hist_figé!E1651 - 1</f>
        <v>-1.4352436543345615E-3</v>
      </c>
    </row>
    <row r="1652" spans="1:5" x14ac:dyDescent="0.4">
      <c r="A1652" s="27">
        <v>44473</v>
      </c>
      <c r="B1652" s="29">
        <f>Cours_Hist_figé!B1716/Cours_Hist_figé!B1652 - 1</f>
        <v>-1.2073862346124731E-2</v>
      </c>
      <c r="C1652" s="29">
        <f>Cours_Hist_figé!C1716/Cours_Hist_figé!C1652 - 1</f>
        <v>2.7741919191170972E-4</v>
      </c>
      <c r="D1652" s="29">
        <f>Cours_Hist_figé!D1716/Cours_Hist_figé!D1652 - 1</f>
        <v>-1.2214627834882252E-3</v>
      </c>
      <c r="E1652" s="29">
        <f>Cours_Hist_figé!E1716/Cours_Hist_figé!E1652 - 1</f>
        <v>-1.4357353971787834E-3</v>
      </c>
    </row>
    <row r="1653" spans="1:5" x14ac:dyDescent="0.4">
      <c r="A1653" s="27">
        <v>44474</v>
      </c>
      <c r="B1653" s="29">
        <f>Cours_Hist_figé!B1717/Cours_Hist_figé!B1653 - 1</f>
        <v>4.7541468653313768E-3</v>
      </c>
      <c r="C1653" s="29">
        <f>Cours_Hist_figé!C1717/Cours_Hist_figé!C1653 - 1</f>
        <v>-5.4102204891431915E-3</v>
      </c>
      <c r="D1653" s="29">
        <f>Cours_Hist_figé!D1717/Cours_Hist_figé!D1653 - 1</f>
        <v>-1.2214713797292776E-3</v>
      </c>
      <c r="E1653" s="29">
        <f>Cours_Hist_figé!E1717/Cours_Hist_figé!E1653 - 1</f>
        <v>-1.4358185676660584E-3</v>
      </c>
    </row>
    <row r="1654" spans="1:5" x14ac:dyDescent="0.4">
      <c r="A1654" s="27">
        <v>44475</v>
      </c>
      <c r="B1654" s="29">
        <f>Cours_Hist_figé!B1718/Cours_Hist_figé!B1654 - 1</f>
        <v>-1.308935439769543E-2</v>
      </c>
      <c r="C1654" s="29">
        <f>Cours_Hist_figé!C1718/Cours_Hist_figé!C1654 - 1</f>
        <v>-7.6256918976747023E-3</v>
      </c>
      <c r="D1654" s="29">
        <f>Cours_Hist_figé!D1718/Cours_Hist_figé!D1654 - 1</f>
        <v>-1.2215652805509514E-3</v>
      </c>
      <c r="E1654" s="29">
        <f>Cours_Hist_figé!E1718/Cours_Hist_figé!E1654 - 1</f>
        <v>-1.4359319950234539E-3</v>
      </c>
    </row>
    <row r="1655" spans="1:5" x14ac:dyDescent="0.4">
      <c r="A1655" s="27">
        <v>44476</v>
      </c>
      <c r="B1655" s="29">
        <f>Cours_Hist_figé!B1719/Cours_Hist_figé!B1655 - 1</f>
        <v>1.9979379596416491E-2</v>
      </c>
      <c r="C1655" s="29">
        <f>Cours_Hist_figé!C1719/Cours_Hist_figé!C1655 - 1</f>
        <v>-7.5295133890007637E-3</v>
      </c>
      <c r="D1655" s="29">
        <f>Cours_Hist_figé!D1719/Cours_Hist_figé!D1655 - 1</f>
        <v>-1.221666949262179E-3</v>
      </c>
      <c r="E1655" s="29">
        <f>Cours_Hist_figé!E1719/Cours_Hist_figé!E1655 - 1</f>
        <v>-1.4360454259411126E-3</v>
      </c>
    </row>
    <row r="1656" spans="1:5" x14ac:dyDescent="0.4">
      <c r="A1656" s="27">
        <v>44477</v>
      </c>
      <c r="B1656" s="29">
        <f>Cours_Hist_figé!B1720/Cours_Hist_figé!B1656 - 1</f>
        <v>4.1980080468186909E-3</v>
      </c>
      <c r="C1656" s="29">
        <f>Cours_Hist_figé!C1720/Cours_Hist_figé!C1656 - 1</f>
        <v>-7.6403714862520733E-3</v>
      </c>
      <c r="D1656" s="29">
        <f>Cours_Hist_figé!D1720/Cours_Hist_figé!D1656 - 1</f>
        <v>-1.2216677830860778E-3</v>
      </c>
      <c r="E1656" s="29">
        <f>Cours_Hist_figé!E1720/Cours_Hist_figé!E1656 - 1</f>
        <v>-1.4360983065110355E-3</v>
      </c>
    </row>
    <row r="1657" spans="1:5" x14ac:dyDescent="0.4">
      <c r="A1657" s="27">
        <v>44480</v>
      </c>
      <c r="B1657" s="29">
        <f>Cours_Hist_figé!B1721/Cours_Hist_figé!B1657 - 1</f>
        <v>-1.691442212790939E-3</v>
      </c>
      <c r="C1657" s="29">
        <f>Cours_Hist_figé!C1721/Cours_Hist_figé!C1657 - 1</f>
        <v>-1.0382951236934002E-2</v>
      </c>
      <c r="D1657" s="29">
        <f>Cours_Hist_figé!D1721/Cours_Hist_figé!D1657 - 1</f>
        <v>-1.2218720913169667E-3</v>
      </c>
      <c r="E1657" s="29">
        <f>Cours_Hist_figé!E1721/Cours_Hist_figé!E1657 - 1</f>
        <v>-1.4362670437405578E-3</v>
      </c>
    </row>
    <row r="1658" spans="1:5" x14ac:dyDescent="0.4">
      <c r="A1658" s="27">
        <v>44481</v>
      </c>
      <c r="B1658" s="29">
        <f>Cours_Hist_figé!B1722/Cours_Hist_figé!B1658 - 1</f>
        <v>-2.9496916510508564E-3</v>
      </c>
      <c r="C1658" s="29">
        <f>Cours_Hist_figé!C1722/Cours_Hist_figé!C1658 - 1</f>
        <v>-1.2206047446010171E-2</v>
      </c>
      <c r="D1658" s="29">
        <f>Cours_Hist_figé!D1722/Cours_Hist_figé!D1658 - 1</f>
        <v>-1.2219661283570105E-3</v>
      </c>
      <c r="E1658" s="29">
        <f>Cours_Hist_figé!E1722/Cours_Hist_figé!E1658 - 1</f>
        <v>-1.4363200036571211E-3</v>
      </c>
    </row>
    <row r="1659" spans="1:5" x14ac:dyDescent="0.4">
      <c r="A1659" s="27">
        <v>44482</v>
      </c>
      <c r="B1659" s="29">
        <f>Cours_Hist_figé!B1723/Cours_Hist_figé!B1659 - 1</f>
        <v>3.9606772429263692E-3</v>
      </c>
      <c r="C1659" s="29">
        <f>Cours_Hist_figé!C1723/Cours_Hist_figé!C1659 - 1</f>
        <v>-1.019692782265047E-2</v>
      </c>
      <c r="D1659" s="29">
        <f>Cours_Hist_figé!D1723/Cours_Hist_figé!D1659 - 1</f>
        <v>-1.2217728158634422E-3</v>
      </c>
      <c r="E1659" s="29">
        <f>Cours_Hist_figé!E1723/Cours_Hist_figé!E1659 - 1</f>
        <v>-1.4362112723607101E-3</v>
      </c>
    </row>
    <row r="1660" spans="1:5" x14ac:dyDescent="0.4">
      <c r="A1660" s="27">
        <v>44483</v>
      </c>
      <c r="B1660" s="29">
        <f>Cours_Hist_figé!B1724/Cours_Hist_figé!B1660 - 1</f>
        <v>2.5539311625137229E-2</v>
      </c>
      <c r="C1660" s="29">
        <f>Cours_Hist_figé!C1724/Cours_Hist_figé!C1660 - 1</f>
        <v>-7.6230326646619107E-3</v>
      </c>
      <c r="D1660" s="29">
        <f>Cours_Hist_figé!D1724/Cours_Hist_figé!D1660 - 1</f>
        <v>-1.2217658945417043E-3</v>
      </c>
      <c r="E1660" s="29">
        <f>Cours_Hist_figé!E1724/Cours_Hist_figé!E1660 - 1</f>
        <v>-1.4362944621010287E-3</v>
      </c>
    </row>
    <row r="1661" spans="1:5" x14ac:dyDescent="0.4">
      <c r="A1661" s="27">
        <v>44484</v>
      </c>
      <c r="B1661" s="29">
        <f>Cours_Hist_figé!B1725/Cours_Hist_figé!B1661 - 1</f>
        <v>3.6772982702366619E-2</v>
      </c>
      <c r="C1661" s="29">
        <f>Cours_Hist_figé!C1725/Cours_Hist_figé!C1661 - 1</f>
        <v>-9.7832846519404493E-3</v>
      </c>
      <c r="D1661" s="29">
        <f>Cours_Hist_figé!D1725/Cours_Hist_figé!D1661 - 1</f>
        <v>-1.2218676906732284E-3</v>
      </c>
      <c r="E1661" s="29">
        <f>Cours_Hist_figé!E1725/Cours_Hist_figé!E1661 - 1</f>
        <v>-1.4363978558230572E-3</v>
      </c>
    </row>
    <row r="1662" spans="1:5" x14ac:dyDescent="0.4">
      <c r="A1662" s="27">
        <v>44487</v>
      </c>
      <c r="B1662" s="29">
        <f>Cours_Hist_figé!B1726/Cours_Hist_figé!B1662 - 1</f>
        <v>5.5694856697150463E-2</v>
      </c>
      <c r="C1662" s="29">
        <f>Cours_Hist_figé!C1726/Cours_Hist_figé!C1662 - 1</f>
        <v>-1.3117346316459333E-2</v>
      </c>
      <c r="D1662" s="29">
        <f>Cours_Hist_figé!D1726/Cours_Hist_figé!D1662 - 1</f>
        <v>-1.2222740698878409E-3</v>
      </c>
      <c r="E1662" s="29">
        <f>Cours_Hist_figé!E1726/Cours_Hist_figé!E1662 - 1</f>
        <v>-1.4368192708471561E-3</v>
      </c>
    </row>
    <row r="1663" spans="1:5" x14ac:dyDescent="0.4">
      <c r="A1663" s="27">
        <v>44488</v>
      </c>
      <c r="B1663" s="29">
        <f>Cours_Hist_figé!B1727/Cours_Hist_figé!B1663 - 1</f>
        <v>5.3800118908058803E-2</v>
      </c>
      <c r="C1663" s="29">
        <f>Cours_Hist_figé!C1727/Cours_Hist_figé!C1663 - 1</f>
        <v>-1.7064771290241976E-2</v>
      </c>
      <c r="D1663" s="29">
        <f>Cours_Hist_figé!D1727/Cours_Hist_figé!D1663 - 1</f>
        <v>-1.2224690874537147E-3</v>
      </c>
      <c r="E1663" s="29">
        <f>Cours_Hist_figé!E1727/Cours_Hist_figé!E1663 - 1</f>
        <v>-1.4370438806429187E-3</v>
      </c>
    </row>
    <row r="1664" spans="1:5" x14ac:dyDescent="0.4">
      <c r="A1664" s="27">
        <v>44489</v>
      </c>
      <c r="B1664" s="29">
        <f>Cours_Hist_figé!B1728/Cours_Hist_figé!B1664 - 1</f>
        <v>4.0230228640528054E-2</v>
      </c>
      <c r="C1664" s="29">
        <f>Cours_Hist_figé!C1728/Cours_Hist_figé!C1664 - 1</f>
        <v>-1.4657923601682166E-2</v>
      </c>
      <c r="D1664" s="29">
        <f>Cours_Hist_figé!D1728/Cours_Hist_figé!D1664 - 1</f>
        <v>-1.2226641007520023E-3</v>
      </c>
      <c r="E1664" s="29">
        <f>Cours_Hist_figé!E1728/Cours_Hist_figé!E1664 - 1</f>
        <v>-1.4372079321893771E-3</v>
      </c>
    </row>
    <row r="1665" spans="1:5" x14ac:dyDescent="0.4">
      <c r="A1665" s="27">
        <v>44490</v>
      </c>
      <c r="B1665" s="29">
        <f>Cours_Hist_figé!B1729/Cours_Hist_figé!B1665 - 1</f>
        <v>3.4531185430396016E-2</v>
      </c>
      <c r="C1665" s="29">
        <f>Cours_Hist_figé!C1729/Cours_Hist_figé!C1665 - 1</f>
        <v>-1.8066620065530281E-2</v>
      </c>
      <c r="D1665" s="29">
        <f>Cours_Hist_figé!D1729/Cours_Hist_figé!D1665 - 1</f>
        <v>-1.2227736839499626E-3</v>
      </c>
      <c r="E1665" s="29">
        <f>Cours_Hist_figé!E1729/Cours_Hist_figé!E1665 - 1</f>
        <v>-1.4372912193660881E-3</v>
      </c>
    </row>
    <row r="1666" spans="1:5" x14ac:dyDescent="0.4">
      <c r="A1666" s="27">
        <v>44491</v>
      </c>
      <c r="B1666" s="29">
        <f>Cours_Hist_figé!B1730/Cours_Hist_figé!B1666 - 1</f>
        <v>2.7803570964397339E-2</v>
      </c>
      <c r="C1666" s="29">
        <f>Cours_Hist_figé!C1730/Cours_Hist_figé!C1666 - 1</f>
        <v>-1.7997913179160885E-2</v>
      </c>
      <c r="D1666" s="29">
        <f>Cours_Hist_figé!D1730/Cours_Hist_figé!D1666 - 1</f>
        <v>-1.2230617959837486E-3</v>
      </c>
      <c r="E1666" s="29">
        <f>Cours_Hist_figé!E1730/Cours_Hist_figé!E1666 - 1</f>
        <v>-1.4375763417900922E-3</v>
      </c>
    </row>
    <row r="1667" spans="1:5" x14ac:dyDescent="0.4">
      <c r="A1667" s="27">
        <v>44494</v>
      </c>
      <c r="B1667" s="29">
        <f>Cours_Hist_figé!B1731/Cours_Hist_figé!B1667 - 1</f>
        <v>2.9419819538592629E-2</v>
      </c>
      <c r="C1667" s="29">
        <f>Cours_Hist_figé!C1731/Cours_Hist_figé!C1667 - 1</f>
        <v>-1.668431504257617E-2</v>
      </c>
      <c r="D1667" s="29">
        <f>Cours_Hist_figé!D1731/Cours_Hist_figé!D1667 - 1</f>
        <v>-1.223165338015475E-3</v>
      </c>
      <c r="E1667" s="29">
        <f>Cours_Hist_figé!E1731/Cours_Hist_figé!E1667 - 1</f>
        <v>-1.4377351998425825E-3</v>
      </c>
    </row>
    <row r="1668" spans="1:5" x14ac:dyDescent="0.4">
      <c r="A1668" s="27">
        <v>44495</v>
      </c>
      <c r="B1668" s="29">
        <f>Cours_Hist_figé!B1732/Cours_Hist_figé!B1668 - 1</f>
        <v>4.280851963542065E-2</v>
      </c>
      <c r="C1668" s="29">
        <f>Cours_Hist_figé!C1732/Cours_Hist_figé!C1668 - 1</f>
        <v>-1.7722561311754537E-2</v>
      </c>
      <c r="D1668" s="29">
        <f>Cours_Hist_figé!D1732/Cours_Hist_figé!D1668 - 1</f>
        <v>-1.2232671678938933E-3</v>
      </c>
      <c r="E1668" s="29">
        <f>Cours_Hist_figé!E1732/Cours_Hist_figé!E1668 - 1</f>
        <v>-1.4378487656105943E-3</v>
      </c>
    </row>
    <row r="1669" spans="1:5" x14ac:dyDescent="0.4">
      <c r="A1669" s="27">
        <v>44496</v>
      </c>
      <c r="B1669" s="29">
        <f>Cours_Hist_figé!B1733/Cours_Hist_figé!B1669 - 1</f>
        <v>3.2121108435404944E-2</v>
      </c>
      <c r="C1669" s="29">
        <f>Cours_Hist_figé!C1733/Cours_Hist_figé!C1669 - 1</f>
        <v>-1.3672978915985845E-2</v>
      </c>
      <c r="D1669" s="29">
        <f>Cours_Hist_figé!D1733/Cours_Hist_figé!D1669 - 1</f>
        <v>-1.2234698540888322E-3</v>
      </c>
      <c r="E1669" s="29">
        <f>Cours_Hist_figé!E1733/Cours_Hist_figé!E1669 - 1</f>
        <v>-1.4380429958731344E-3</v>
      </c>
    </row>
    <row r="1670" spans="1:5" x14ac:dyDescent="0.4">
      <c r="A1670" s="27">
        <v>44497</v>
      </c>
      <c r="B1670" s="29">
        <f>Cours_Hist_figé!B1734/Cours_Hist_figé!B1670 - 1</f>
        <v>2.9114383062445848E-2</v>
      </c>
      <c r="C1670" s="29">
        <f>Cours_Hist_figé!C1734/Cours_Hist_figé!C1670 - 1</f>
        <v>-1.6293484107655631E-2</v>
      </c>
      <c r="D1670" s="29">
        <f>Cours_Hist_figé!D1734/Cours_Hist_figé!D1670 - 1</f>
        <v>-1.2236649016639234E-3</v>
      </c>
      <c r="E1670" s="29">
        <f>Cours_Hist_figé!E1734/Cours_Hist_figé!E1670 - 1</f>
        <v>-1.4382070837968275E-3</v>
      </c>
    </row>
    <row r="1671" spans="1:5" x14ac:dyDescent="0.4">
      <c r="A1671" s="27">
        <v>44498</v>
      </c>
      <c r="B1671" s="29">
        <f>Cours_Hist_figé!B1735/Cours_Hist_figé!B1671 - 1</f>
        <v>3.5070343819330496E-2</v>
      </c>
      <c r="C1671" s="29">
        <f>Cours_Hist_figé!C1735/Cours_Hist_figé!C1671 - 1</f>
        <v>-2.1446000401064924E-2</v>
      </c>
      <c r="D1671" s="29">
        <f>Cours_Hist_figé!D1735/Cours_Hist_figé!D1671 - 1</f>
        <v>-1.2238677221450001E-3</v>
      </c>
      <c r="E1671" s="29">
        <f>Cours_Hist_figé!E1735/Cours_Hist_figé!E1671 - 1</f>
        <v>-1.4383711768891638E-3</v>
      </c>
    </row>
    <row r="1672" spans="1:5" x14ac:dyDescent="0.4">
      <c r="A1672" s="27">
        <v>44501</v>
      </c>
      <c r="B1672" s="29">
        <f>Cours_Hist_figé!B1736/Cours_Hist_figé!B1672 - 1</f>
        <v>3.684099119946338E-2</v>
      </c>
      <c r="C1672" s="29">
        <f>Cours_Hist_figé!C1736/Cours_Hist_figé!C1672 - 1</f>
        <v>-2.355324126922087E-2</v>
      </c>
      <c r="D1672" s="29">
        <f>Cours_Hist_figé!D1736/Cours_Hist_figé!D1672 - 1</f>
        <v>-1.2244688191653808E-3</v>
      </c>
      <c r="E1672" s="29">
        <f>Cours_Hist_figé!E1736/Cours_Hist_figé!E1672 - 1</f>
        <v>-1.4389548974130806E-3</v>
      </c>
    </row>
    <row r="1673" spans="1:5" x14ac:dyDescent="0.4">
      <c r="A1673" s="27">
        <v>44502</v>
      </c>
      <c r="B1673" s="29">
        <f>Cours_Hist_figé!B1737/Cours_Hist_figé!B1673 - 1</f>
        <v>3.5946512265540242E-2</v>
      </c>
      <c r="C1673" s="29">
        <f>Cours_Hist_figé!C1737/Cours_Hist_figé!C1673 - 1</f>
        <v>-1.8630878480764057E-2</v>
      </c>
      <c r="D1673" s="29">
        <f>Cours_Hist_figé!D1737/Cours_Hist_figé!D1673 - 1</f>
        <v>-1.2248657400985019E-3</v>
      </c>
      <c r="E1673" s="29">
        <f>Cours_Hist_figé!E1737/Cours_Hist_figé!E1673 - 1</f>
        <v>-1.4393412034711117E-3</v>
      </c>
    </row>
    <row r="1674" spans="1:5" x14ac:dyDescent="0.4">
      <c r="A1674" s="27">
        <v>44503</v>
      </c>
      <c r="B1674" s="29">
        <f>Cours_Hist_figé!B1738/Cours_Hist_figé!B1674 - 1</f>
        <v>3.3831155982057215E-2</v>
      </c>
      <c r="C1674" s="29">
        <f>Cours_Hist_figé!C1738/Cours_Hist_figé!C1674 - 1</f>
        <v>-1.8049853575837993E-2</v>
      </c>
      <c r="D1674" s="29">
        <f>Cours_Hist_figé!D1738/Cours_Hist_figé!D1674 - 1</f>
        <v>-1.2247657541498702E-3</v>
      </c>
      <c r="E1674" s="29">
        <f>Cours_Hist_figé!E1738/Cours_Hist_figé!E1674 - 1</f>
        <v>-1.4393235770254753E-3</v>
      </c>
    </row>
    <row r="1675" spans="1:5" x14ac:dyDescent="0.4">
      <c r="A1675" s="27">
        <v>44504</v>
      </c>
      <c r="B1675" s="29">
        <f>Cours_Hist_figé!B1739/Cours_Hist_figé!B1675 - 1</f>
        <v>3.3322532706755226E-2</v>
      </c>
      <c r="C1675" s="29">
        <f>Cours_Hist_figé!C1739/Cours_Hist_figé!C1675 - 1</f>
        <v>-1.6526143072804533E-2</v>
      </c>
      <c r="D1675" s="29">
        <f>Cours_Hist_figé!D1739/Cours_Hist_figé!D1675 - 1</f>
        <v>-1.2248677414731235E-3</v>
      </c>
      <c r="E1675" s="29">
        <f>Cours_Hist_figé!E1739/Cours_Hist_figé!E1675 - 1</f>
        <v>-1.4394271964250915E-3</v>
      </c>
    </row>
    <row r="1676" spans="1:5" x14ac:dyDescent="0.4">
      <c r="A1676" s="27">
        <v>44505</v>
      </c>
      <c r="B1676" s="29">
        <f>Cours_Hist_figé!B1740/Cours_Hist_figé!B1676 - 1</f>
        <v>3.353285561391206E-2</v>
      </c>
      <c r="C1676" s="29">
        <f>Cours_Hist_figé!C1740/Cours_Hist_figé!C1676 - 1</f>
        <v>-9.2384527565660957E-3</v>
      </c>
      <c r="D1676" s="29">
        <f>Cours_Hist_figé!D1740/Cours_Hist_figé!D1676 - 1</f>
        <v>-1.2250628287694409E-3</v>
      </c>
      <c r="E1676" s="29">
        <f>Cours_Hist_figé!E1740/Cours_Hist_figé!E1676 - 1</f>
        <v>-1.4396215953423885E-3</v>
      </c>
    </row>
    <row r="1677" spans="1:5" x14ac:dyDescent="0.4">
      <c r="A1677" s="27">
        <v>44508</v>
      </c>
      <c r="B1677" s="29">
        <f>Cours_Hist_figé!B1741/Cours_Hist_figé!B1677 - 1</f>
        <v>3.1666673151221181E-2</v>
      </c>
      <c r="C1677" s="29">
        <f>Cours_Hist_figé!C1741/Cours_Hist_figé!C1677 - 1</f>
        <v>-1.1603482286950628E-2</v>
      </c>
      <c r="D1677" s="29">
        <f>Cours_Hist_figé!D1741/Cours_Hist_figé!D1677 - 1</f>
        <v>-1.2253608030332597E-3</v>
      </c>
      <c r="E1677" s="29">
        <f>Cours_Hist_figé!E1741/Cours_Hist_figé!E1677 - 1</f>
        <v>-1.4398717439231268E-3</v>
      </c>
    </row>
    <row r="1678" spans="1:5" x14ac:dyDescent="0.4">
      <c r="A1678" s="27">
        <v>44509</v>
      </c>
      <c r="B1678" s="29">
        <f>Cours_Hist_figé!B1742/Cours_Hist_figé!B1678 - 1</f>
        <v>2.6477918031111214E-2</v>
      </c>
      <c r="C1678" s="29">
        <f>Cours_Hist_figé!C1742/Cours_Hist_figé!C1678 - 1</f>
        <v>-9.0322100145814321E-3</v>
      </c>
      <c r="D1678" s="29">
        <f>Cours_Hist_figé!D1742/Cours_Hist_figé!D1678 - 1</f>
        <v>-1.2255636762423805E-3</v>
      </c>
      <c r="E1678" s="29">
        <f>Cours_Hist_figé!E1742/Cours_Hist_figé!E1678 - 1</f>
        <v>-1.4400662494133964E-3</v>
      </c>
    </row>
    <row r="1679" spans="1:5" x14ac:dyDescent="0.4">
      <c r="A1679" s="27">
        <v>44510</v>
      </c>
      <c r="B1679" s="29">
        <f>Cours_Hist_figé!B1743/Cours_Hist_figé!B1679 - 1</f>
        <v>2.4635705239273165E-2</v>
      </c>
      <c r="C1679" s="29">
        <f>Cours_Hist_figé!C1743/Cours_Hist_figé!C1679 - 1</f>
        <v>-1.1956373212755E-2</v>
      </c>
      <c r="D1679" s="29">
        <f>Cours_Hist_figé!D1743/Cours_Hist_figé!D1679 - 1</f>
        <v>-1.2257665453662137E-3</v>
      </c>
      <c r="E1679" s="29">
        <f>Cours_Hist_figé!E1743/Cours_Hist_figé!E1679 - 1</f>
        <v>-1.4402910172999217E-3</v>
      </c>
    </row>
    <row r="1680" spans="1:5" x14ac:dyDescent="0.4">
      <c r="A1680" s="27">
        <v>44511</v>
      </c>
      <c r="B1680" s="29">
        <f>Cours_Hist_figé!B1744/Cours_Hist_figé!B1680 - 1</f>
        <v>2.6020410129191207E-2</v>
      </c>
      <c r="C1680" s="29">
        <f>Cours_Hist_figé!C1744/Cours_Hist_figé!C1680 - 1</f>
        <v>-1.4144839326941328E-2</v>
      </c>
      <c r="D1680" s="29">
        <f>Cours_Hist_figé!D1744/Cours_Hist_figé!D1680 - 1</f>
        <v>-1.2259616604127777E-3</v>
      </c>
      <c r="E1680" s="29">
        <f>Cours_Hist_figé!E1744/Cours_Hist_figé!E1680 - 1</f>
        <v>-1.4405360167855097E-3</v>
      </c>
    </row>
    <row r="1681" spans="1:5" x14ac:dyDescent="0.4">
      <c r="A1681" s="27">
        <v>44512</v>
      </c>
      <c r="B1681" s="29">
        <f>Cours_Hist_figé!B1745/Cours_Hist_figé!B1681 - 1</f>
        <v>2.716350692671865E-2</v>
      </c>
      <c r="C1681" s="29">
        <f>Cours_Hist_figé!C1745/Cours_Hist_figé!C1681 - 1</f>
        <v>-1.3410199537108425E-2</v>
      </c>
      <c r="D1681" s="29">
        <f>Cours_Hist_figé!D1745/Cours_Hist_figé!D1681 - 1</f>
        <v>-1.2261645498298224E-3</v>
      </c>
      <c r="E1681" s="29">
        <f>Cours_Hist_figé!E1745/Cours_Hist_figé!E1681 - 1</f>
        <v>-1.4407406325408489E-3</v>
      </c>
    </row>
    <row r="1682" spans="1:5" x14ac:dyDescent="0.4">
      <c r="A1682" s="27">
        <v>44515</v>
      </c>
      <c r="B1682" s="29">
        <f>Cours_Hist_figé!B1746/Cours_Hist_figé!B1682 - 1</f>
        <v>3.6552626120218923E-2</v>
      </c>
      <c r="C1682" s="29">
        <f>Cours_Hist_figé!C1746/Cours_Hist_figé!C1682 - 1</f>
        <v>-1.4590449542396411E-2</v>
      </c>
      <c r="D1682" s="29">
        <f>Cours_Hist_figé!D1746/Cours_Hist_figé!D1682 - 1</f>
        <v>-1.2264625869550239E-3</v>
      </c>
      <c r="E1682" s="29">
        <f>Cours_Hist_figé!E1746/Cours_Hist_figé!E1682 - 1</f>
        <v>-1.4409807562087984E-3</v>
      </c>
    </row>
    <row r="1683" spans="1:5" x14ac:dyDescent="0.4">
      <c r="A1683" s="27">
        <v>44516</v>
      </c>
      <c r="B1683" s="29">
        <f>Cours_Hist_figé!B1747/Cours_Hist_figé!B1683 - 1</f>
        <v>3.7473467694602247E-2</v>
      </c>
      <c r="C1683" s="29">
        <f>Cours_Hist_figé!C1747/Cours_Hist_figé!C1683 - 1</f>
        <v>-1.4708454996831599E-2</v>
      </c>
      <c r="D1683" s="29">
        <f>Cours_Hist_figé!D1747/Cours_Hist_figé!D1683 - 1</f>
        <v>-1.2264634854886047E-3</v>
      </c>
      <c r="E1683" s="29">
        <f>Cours_Hist_figé!E1747/Cours_Hist_figé!E1683 - 1</f>
        <v>-1.4409833199838795E-3</v>
      </c>
    </row>
    <row r="1684" spans="1:5" x14ac:dyDescent="0.4">
      <c r="A1684" s="27">
        <v>44517</v>
      </c>
      <c r="B1684" s="29">
        <f>Cours_Hist_figé!B1748/Cours_Hist_figé!B1684 - 1</f>
        <v>3.853124333187341E-2</v>
      </c>
      <c r="C1684" s="29">
        <f>Cours_Hist_figé!C1748/Cours_Hist_figé!C1684 - 1</f>
        <v>-1.6259524655893309E-2</v>
      </c>
      <c r="D1684" s="29">
        <f>Cours_Hist_figé!D1748/Cours_Hist_figé!D1684 - 1</f>
        <v>-1.2265576199849137E-3</v>
      </c>
      <c r="E1684" s="29">
        <f>Cours_Hist_figé!E1748/Cours_Hist_figé!E1684 - 1</f>
        <v>-1.4410666876761846E-3</v>
      </c>
    </row>
    <row r="1685" spans="1:5" x14ac:dyDescent="0.4">
      <c r="A1685" s="27">
        <v>44518</v>
      </c>
      <c r="B1685" s="29">
        <f>Cours_Hist_figé!B1749/Cours_Hist_figé!B1685 - 1</f>
        <v>4.9471519485692728E-2</v>
      </c>
      <c r="C1685" s="29">
        <f>Cours_Hist_figé!C1749/Cours_Hist_figé!C1685 - 1</f>
        <v>-1.3992093852213117E-2</v>
      </c>
      <c r="D1685" s="29">
        <f>Cours_Hist_figé!D1749/Cours_Hist_figé!D1685 - 1</f>
        <v>-1.2266672870048234E-3</v>
      </c>
      <c r="E1685" s="29">
        <f>Cours_Hist_figé!E1749/Cours_Hist_figé!E1685 - 1</f>
        <v>-1.4411803326045414E-3</v>
      </c>
    </row>
    <row r="1686" spans="1:5" x14ac:dyDescent="0.4">
      <c r="A1686" s="27">
        <v>44519</v>
      </c>
      <c r="B1686" s="29">
        <f>Cours_Hist_figé!B1750/Cours_Hist_figé!B1686 - 1</f>
        <v>4.2026377960026728E-2</v>
      </c>
      <c r="C1686" s="29">
        <f>Cours_Hist_figé!C1750/Cours_Hist_figé!C1686 - 1</f>
        <v>-1.0828305575833364E-2</v>
      </c>
      <c r="D1686" s="29">
        <f>Cours_Hist_figé!D1750/Cours_Hist_figé!D1686 - 1</f>
        <v>-1.2267614267549298E-3</v>
      </c>
      <c r="E1686" s="29">
        <f>Cours_Hist_figé!E1750/Cours_Hist_figé!E1686 - 1</f>
        <v>-1.4412838894187763E-3</v>
      </c>
    </row>
    <row r="1687" spans="1:5" x14ac:dyDescent="0.4">
      <c r="A1687" s="27">
        <v>44522</v>
      </c>
      <c r="B1687" s="29">
        <f>Cours_Hist_figé!B1751/Cours_Hist_figé!B1687 - 1</f>
        <v>3.4486968241815186E-2</v>
      </c>
      <c r="C1687" s="29">
        <f>Cours_Hist_figé!C1751/Cours_Hist_figé!C1687 - 1</f>
        <v>-1.2345070569075745E-2</v>
      </c>
      <c r="D1687" s="29">
        <f>Cours_Hist_figé!D1751/Cours_Hist_figé!D1687 - 1</f>
        <v>-1.2272614167131435E-3</v>
      </c>
      <c r="E1687" s="29">
        <f>Cours_Hist_figé!E1751/Cours_Hist_figé!E1687 - 1</f>
        <v>-1.4417865782925254E-3</v>
      </c>
    </row>
    <row r="1688" spans="1:5" x14ac:dyDescent="0.4">
      <c r="A1688" s="27">
        <v>44523</v>
      </c>
      <c r="B1688" s="29">
        <f>Cours_Hist_figé!B1752/Cours_Hist_figé!B1688 - 1</f>
        <v>2.2094183638758258E-2</v>
      </c>
      <c r="C1688" s="29">
        <f>Cours_Hist_figé!C1752/Cours_Hist_figé!C1688 - 1</f>
        <v>-1.7196405685764082E-2</v>
      </c>
      <c r="D1688" s="29">
        <f>Cours_Hist_figé!D1752/Cours_Hist_figé!D1688 - 1</f>
        <v>-1.2274643439437183E-3</v>
      </c>
      <c r="E1688" s="29">
        <f>Cours_Hist_figé!E1752/Cours_Hist_figé!E1688 - 1</f>
        <v>-1.4419306079131999E-3</v>
      </c>
    </row>
    <row r="1689" spans="1:5" x14ac:dyDescent="0.4">
      <c r="A1689" s="27">
        <v>44524</v>
      </c>
      <c r="B1689" s="29">
        <f>Cours_Hist_figé!B1753/Cours_Hist_figé!B1689 - 1</f>
        <v>2.3623103290547398E-2</v>
      </c>
      <c r="C1689" s="29">
        <f>Cours_Hist_figé!C1753/Cours_Hist_figé!C1689 - 1</f>
        <v>-1.4861933463279575E-2</v>
      </c>
      <c r="D1689" s="29">
        <f>Cours_Hist_figé!D1753/Cours_Hist_figé!D1689 - 1</f>
        <v>-1.2276595157600934E-3</v>
      </c>
      <c r="E1689" s="29">
        <f>Cours_Hist_figé!E1753/Cours_Hist_figé!E1689 - 1</f>
        <v>-1.4421150411483286E-3</v>
      </c>
    </row>
    <row r="1690" spans="1:5" x14ac:dyDescent="0.4">
      <c r="A1690" s="27">
        <v>44525</v>
      </c>
      <c r="B1690" s="29">
        <f>Cours_Hist_figé!B1754/Cours_Hist_figé!B1690 - 1</f>
        <v>3.0950956408449803E-2</v>
      </c>
      <c r="C1690" s="29">
        <f>Cours_Hist_figé!C1754/Cours_Hist_figé!C1690 - 1</f>
        <v>-1.2762794438184955E-2</v>
      </c>
      <c r="D1690" s="29">
        <f>Cours_Hist_figé!D1754/Cours_Hist_figé!D1690 - 1</f>
        <v>-1.2278623297280467E-3</v>
      </c>
      <c r="E1690" s="29">
        <f>Cours_Hist_figé!E1754/Cours_Hist_figé!E1690 - 1</f>
        <v>-1.4422791345706232E-3</v>
      </c>
    </row>
    <row r="1691" spans="1:5" x14ac:dyDescent="0.4">
      <c r="A1691" s="27">
        <v>44526</v>
      </c>
      <c r="B1691" s="29">
        <f>Cours_Hist_figé!B1755/Cours_Hist_figé!B1691 - 1</f>
        <v>-1.1283351679386655E-2</v>
      </c>
      <c r="C1691" s="29">
        <f>Cours_Hist_figé!C1755/Cours_Hist_figé!C1691 - 1</f>
        <v>-8.2722115538045315E-3</v>
      </c>
      <c r="D1691" s="29">
        <f>Cours_Hist_figé!D1755/Cours_Hist_figé!D1691 - 1</f>
        <v>-1.2279566183641677E-3</v>
      </c>
      <c r="E1691" s="29">
        <f>Cours_Hist_figé!E1755/Cours_Hist_figé!E1691 - 1</f>
        <v>-1.4423727147898635E-3</v>
      </c>
    </row>
    <row r="1692" spans="1:5" x14ac:dyDescent="0.4">
      <c r="A1692" s="27">
        <v>44529</v>
      </c>
      <c r="B1692" s="29">
        <f>Cours_Hist_figé!B1756/Cours_Hist_figé!B1692 - 1</f>
        <v>-1.0462671579676286E-3</v>
      </c>
      <c r="C1692" s="29">
        <f>Cours_Hist_figé!C1756/Cours_Hist_figé!C1692 - 1</f>
        <v>-6.9827072108805677E-3</v>
      </c>
      <c r="D1692" s="29">
        <f>Cours_Hist_figé!D1756/Cours_Hist_figé!D1692 - 1</f>
        <v>-1.2148818916978277E-3</v>
      </c>
      <c r="E1692" s="29">
        <f>Cours_Hist_figé!E1756/Cours_Hist_figé!E1692 - 1</f>
        <v>-1.4268572250843992E-3</v>
      </c>
    </row>
    <row r="1693" spans="1:5" x14ac:dyDescent="0.4">
      <c r="A1693" s="27">
        <v>44530</v>
      </c>
      <c r="B1693" s="29">
        <f>Cours_Hist_figé!B1757/Cours_Hist_figé!B1693 - 1</f>
        <v>-1.5082132060550979E-2</v>
      </c>
      <c r="C1693" s="29">
        <f>Cours_Hist_figé!C1757/Cours_Hist_figé!C1693 - 1</f>
        <v>-3.8352843956832583E-3</v>
      </c>
      <c r="D1693" s="29">
        <f>Cours_Hist_figé!D1757/Cours_Hist_figé!D1693 - 1</f>
        <v>-1.2149837730434099E-3</v>
      </c>
      <c r="E1693" s="29">
        <f>Cours_Hist_figé!E1757/Cours_Hist_figé!E1693 - 1</f>
        <v>-1.4269505685876593E-3</v>
      </c>
    </row>
    <row r="1694" spans="1:5" x14ac:dyDescent="0.4">
      <c r="A1694" s="27">
        <v>44531</v>
      </c>
      <c r="B1694" s="29">
        <f>Cours_Hist_figé!B1758/Cours_Hist_figé!B1694 - 1</f>
        <v>-1.5049550531085476E-3</v>
      </c>
      <c r="C1694" s="29">
        <f>Cours_Hist_figé!C1758/Cours_Hist_figé!C1694 - 1</f>
        <v>-6.0078813699807609E-3</v>
      </c>
      <c r="D1694" s="29">
        <f>Cours_Hist_figé!D1758/Cours_Hist_figé!D1694 - 1</f>
        <v>-1.215171027310058E-3</v>
      </c>
      <c r="E1694" s="29">
        <f>Cours_Hist_figé!E1758/Cours_Hist_figé!E1694 - 1</f>
        <v>-1.4271146445260507E-3</v>
      </c>
    </row>
    <row r="1695" spans="1:5" x14ac:dyDescent="0.4">
      <c r="A1695" s="27">
        <v>44532</v>
      </c>
      <c r="B1695" s="29">
        <f>Cours_Hist_figé!B1759/Cours_Hist_figé!B1695 - 1</f>
        <v>-6.6507984911116091E-3</v>
      </c>
      <c r="C1695" s="29">
        <f>Cours_Hist_figé!C1759/Cours_Hist_figé!C1695 - 1</f>
        <v>-1.4710623595001193E-3</v>
      </c>
      <c r="D1695" s="29">
        <f>Cours_Hist_figé!D1759/Cours_Hist_figé!D1695 - 1</f>
        <v>-1.2153738198117381E-3</v>
      </c>
      <c r="E1695" s="29">
        <f>Cours_Hist_figé!E1759/Cours_Hist_figé!E1695 - 1</f>
        <v>-1.427258494239525E-3</v>
      </c>
    </row>
    <row r="1696" spans="1:5" x14ac:dyDescent="0.4">
      <c r="A1696" s="27">
        <v>44533</v>
      </c>
      <c r="B1696" s="29">
        <f>Cours_Hist_figé!B1760/Cours_Hist_figé!B1696 - 1</f>
        <v>-1.8645056930602033E-2</v>
      </c>
      <c r="C1696" s="29">
        <f>Cours_Hist_figé!C1760/Cours_Hist_figé!C1696 - 1</f>
        <v>-1.5916204329193828E-3</v>
      </c>
      <c r="D1696" s="29">
        <f>Cours_Hist_figé!D1760/Cours_Hist_figé!D1696 - 1</f>
        <v>-1.1887038950285644E-3</v>
      </c>
      <c r="E1696" s="29">
        <f>Cours_Hist_figé!E1760/Cours_Hist_figé!E1696 - 1</f>
        <v>-1.3959377059324929E-3</v>
      </c>
    </row>
    <row r="1697" spans="1:5" x14ac:dyDescent="0.4">
      <c r="A1697" s="27">
        <v>44536</v>
      </c>
      <c r="B1697" s="29">
        <f>Cours_Hist_figé!B1761/Cours_Hist_figé!B1697 - 1</f>
        <v>-8.3124904939735345E-4</v>
      </c>
      <c r="C1697" s="29">
        <f>Cours_Hist_figé!C1761/Cours_Hist_figé!C1697 - 1</f>
        <v>3.1007271319527518E-3</v>
      </c>
      <c r="D1697" s="29">
        <f>Cours_Hist_figé!D1761/Cours_Hist_figé!D1697 - 1</f>
        <v>-1.2163716984210371E-3</v>
      </c>
      <c r="E1697" s="29">
        <f>Cours_Hist_figé!E1761/Cours_Hist_figé!E1697 - 1</f>
        <v>-1.428258435440366E-3</v>
      </c>
    </row>
    <row r="1698" spans="1:5" x14ac:dyDescent="0.4">
      <c r="A1698" s="27">
        <v>44537</v>
      </c>
      <c r="B1698" s="29">
        <f>Cours_Hist_figé!B1762/Cours_Hist_figé!B1698 - 1</f>
        <v>3.3790503643798431E-2</v>
      </c>
      <c r="C1698" s="29">
        <f>Cours_Hist_figé!C1762/Cours_Hist_figé!C1698 - 1</f>
        <v>2.2923809225221525E-3</v>
      </c>
      <c r="D1698" s="29">
        <f>Cours_Hist_figé!D1762/Cours_Hist_figé!D1698 - 1</f>
        <v>-1.2166755546852981E-3</v>
      </c>
      <c r="E1698" s="29">
        <f>Cours_Hist_figé!E1762/Cours_Hist_figé!E1698 - 1</f>
        <v>-1.4285034219291282E-3</v>
      </c>
    </row>
    <row r="1699" spans="1:5" x14ac:dyDescent="0.4">
      <c r="A1699" s="27">
        <v>44538</v>
      </c>
      <c r="B1699" s="29">
        <f>Cours_Hist_figé!B1763/Cours_Hist_figé!B1699 - 1</f>
        <v>2.9277785652873423E-2</v>
      </c>
      <c r="C1699" s="29">
        <f>Cours_Hist_figé!C1763/Cours_Hist_figé!C1699 - 1</f>
        <v>-5.3757035847338264E-3</v>
      </c>
      <c r="D1699" s="29">
        <f>Cours_Hist_figé!D1763/Cours_Hist_figé!D1699 - 1</f>
        <v>-1.2169794190924899E-3</v>
      </c>
      <c r="E1699" s="29">
        <f>Cours_Hist_figé!E1763/Cours_Hist_figé!E1699 - 1</f>
        <v>-1.4287281828203602E-3</v>
      </c>
    </row>
    <row r="1700" spans="1:5" x14ac:dyDescent="0.4">
      <c r="A1700" s="27">
        <v>44539</v>
      </c>
      <c r="B1700" s="29">
        <f>Cours_Hist_figé!B1764/Cours_Hist_figé!B1700 - 1</f>
        <v>3.0752619756871047E-2</v>
      </c>
      <c r="C1700" s="29">
        <f>Cours_Hist_figé!C1764/Cours_Hist_figé!C1700 - 1</f>
        <v>-1.1680035537363631E-3</v>
      </c>
      <c r="D1700" s="29">
        <f>Cours_Hist_figé!D1764/Cours_Hist_figé!D1700 - 1</f>
        <v>-1.2171746057875188E-3</v>
      </c>
      <c r="E1700" s="29">
        <f>Cours_Hist_figé!E1764/Cours_Hist_figé!E1700 - 1</f>
        <v>-1.4289125701572036E-3</v>
      </c>
    </row>
    <row r="1701" spans="1:5" x14ac:dyDescent="0.4">
      <c r="A1701" s="27">
        <v>44540</v>
      </c>
      <c r="B1701" s="29">
        <f>Cours_Hist_figé!B1765/Cours_Hist_figé!B1701 - 1</f>
        <v>2.4824300619646467E-2</v>
      </c>
      <c r="C1701" s="29">
        <f>Cours_Hist_figé!C1765/Cours_Hist_figé!C1701 - 1</f>
        <v>-3.3892985109940099E-4</v>
      </c>
      <c r="D1701" s="29">
        <f>Cours_Hist_figé!D1765/Cours_Hist_figé!D1701 - 1</f>
        <v>-1.190502366722912E-3</v>
      </c>
      <c r="E1701" s="29">
        <f>Cours_Hist_figé!E1765/Cours_Hist_figé!E1701 - 1</f>
        <v>-1.3975178372582775E-3</v>
      </c>
    </row>
    <row r="1702" spans="1:5" x14ac:dyDescent="0.4">
      <c r="A1702" s="27">
        <v>44543</v>
      </c>
      <c r="B1702" s="29">
        <f>Cours_Hist_figé!B1766/Cours_Hist_figé!B1702 - 1</f>
        <v>2.0582538924858396E-2</v>
      </c>
      <c r="C1702" s="29">
        <f>Cours_Hist_figé!C1766/Cours_Hist_figé!C1702 - 1</f>
        <v>8.7042772413536973E-4</v>
      </c>
      <c r="D1702" s="29">
        <f>Cours_Hist_figé!D1766/Cours_Hist_figé!D1702 - 1</f>
        <v>-1.2179785996440096E-3</v>
      </c>
      <c r="E1702" s="29">
        <f>Cours_Hist_figé!E1766/Cours_Hist_figé!E1702 - 1</f>
        <v>-1.4296906044790614E-3</v>
      </c>
    </row>
    <row r="1703" spans="1:5" x14ac:dyDescent="0.4">
      <c r="A1703" s="27">
        <v>44544</v>
      </c>
      <c r="B1703" s="29">
        <f>Cours_Hist_figé!B1767/Cours_Hist_figé!B1703 - 1</f>
        <v>1.9885023621917242E-2</v>
      </c>
      <c r="C1703" s="29">
        <f>Cours_Hist_figé!C1767/Cours_Hist_figé!C1703 - 1</f>
        <v>1.7424313369234223E-3</v>
      </c>
      <c r="D1703" s="29">
        <f>Cours_Hist_figé!D1767/Cours_Hist_figé!D1703 - 1</f>
        <v>-1.2182747334819055E-3</v>
      </c>
      <c r="E1703" s="29">
        <f>Cours_Hist_figé!E1767/Cours_Hist_figé!E1703 - 1</f>
        <v>-1.429996259855737E-3</v>
      </c>
    </row>
    <row r="1704" spans="1:5" x14ac:dyDescent="0.4">
      <c r="A1704" s="27">
        <v>44545</v>
      </c>
      <c r="B1704" s="29">
        <f>Cours_Hist_figé!B1768/Cours_Hist_figé!B1704 - 1</f>
        <v>1.8505709592157693E-2</v>
      </c>
      <c r="C1704" s="29">
        <f>Cours_Hist_figé!C1768/Cours_Hist_figé!C1704 - 1</f>
        <v>1.6586164497416345E-3</v>
      </c>
      <c r="D1704" s="29">
        <f>Cours_Hist_figé!D1768/Cours_Hist_figé!D1704 - 1</f>
        <v>-1.2183768042868248E-3</v>
      </c>
      <c r="E1704" s="29">
        <f>Cours_Hist_figé!E1768/Cours_Hist_figé!E1704 - 1</f>
        <v>-1.4301100120167609E-3</v>
      </c>
    </row>
    <row r="1705" spans="1:5" x14ac:dyDescent="0.4">
      <c r="A1705" s="27">
        <v>44546</v>
      </c>
      <c r="B1705" s="29">
        <f>Cours_Hist_figé!B1769/Cours_Hist_figé!B1705 - 1</f>
        <v>4.0801947936051075E-2</v>
      </c>
      <c r="C1705" s="29">
        <f>Cours_Hist_figé!C1769/Cours_Hist_figé!C1705 - 1</f>
        <v>1.3435575749156659E-3</v>
      </c>
      <c r="D1705" s="29">
        <f>Cours_Hist_figé!D1769/Cours_Hist_figé!D1705 - 1</f>
        <v>-1.2186729514572781E-3</v>
      </c>
      <c r="E1705" s="29">
        <f>Cours_Hist_figé!E1769/Cours_Hist_figé!E1705 - 1</f>
        <v>-1.4303853081214513E-3</v>
      </c>
    </row>
    <row r="1706" spans="1:5" x14ac:dyDescent="0.4">
      <c r="A1706" s="27">
        <v>44547</v>
      </c>
      <c r="B1706" s="29">
        <f>Cours_Hist_figé!B1770/Cours_Hist_figé!B1706 - 1</f>
        <v>5.1924695518037245E-2</v>
      </c>
      <c r="C1706" s="29">
        <f>Cours_Hist_figé!C1770/Cours_Hist_figé!C1706 - 1</f>
        <v>1.7843750426542737E-3</v>
      </c>
      <c r="D1706" s="29">
        <f>Cours_Hist_figé!D1770/Cours_Hist_figé!D1706 - 1</f>
        <v>-1.1919050913438145E-3</v>
      </c>
      <c r="E1706" s="29">
        <f>Cours_Hist_figé!E1770/Cours_Hist_figé!E1706 - 1</f>
        <v>-1.3988760558848456E-3</v>
      </c>
    </row>
    <row r="1707" spans="1:5" x14ac:dyDescent="0.4">
      <c r="A1707" s="27">
        <v>44550</v>
      </c>
      <c r="B1707" s="29">
        <f>Cours_Hist_figé!B1771/Cours_Hist_figé!B1707 - 1</f>
        <v>2.6753424071189524E-2</v>
      </c>
      <c r="C1707" s="29">
        <f>Cours_Hist_figé!C1771/Cours_Hist_figé!C1707 - 1</f>
        <v>1.6251030890224172E-4</v>
      </c>
      <c r="D1707" s="29">
        <f>Cours_Hist_figé!D1771/Cours_Hist_figé!D1707 - 1</f>
        <v>-1.2193682769389147E-3</v>
      </c>
      <c r="E1707" s="29">
        <f>Cours_Hist_figé!E1771/Cours_Hist_figé!E1707 - 1</f>
        <v>-1.4311027669381415E-3</v>
      </c>
    </row>
    <row r="1708" spans="1:5" x14ac:dyDescent="0.4">
      <c r="A1708" s="27">
        <v>44551</v>
      </c>
      <c r="B1708" s="29">
        <f>Cours_Hist_figé!B1772/Cours_Hist_figé!B1708 - 1</f>
        <v>3.1342450440457359E-2</v>
      </c>
      <c r="C1708" s="29">
        <f>Cours_Hist_figé!C1772/Cours_Hist_figé!C1708 - 1</f>
        <v>-5.536713049071107E-3</v>
      </c>
      <c r="D1708" s="29">
        <f>Cours_Hist_figé!D1772/Cours_Hist_figé!D1708 - 1</f>
        <v>-1.2194702381680411E-3</v>
      </c>
      <c r="E1708" s="29">
        <f>Cours_Hist_figé!E1772/Cours_Hist_figé!E1708 - 1</f>
        <v>-1.4312467952766195E-3</v>
      </c>
    </row>
    <row r="1709" spans="1:5" x14ac:dyDescent="0.4">
      <c r="A1709" s="27">
        <v>44552</v>
      </c>
      <c r="B1709" s="29">
        <f>Cours_Hist_figé!B1773/Cours_Hist_figé!B1709 - 1</f>
        <v>3.1029822500118431E-2</v>
      </c>
      <c r="C1709" s="29">
        <f>Cours_Hist_figé!C1773/Cours_Hist_figé!C1709 - 1</f>
        <v>-2.6636999317247723E-3</v>
      </c>
      <c r="D1709" s="29">
        <f>Cours_Hist_figé!D1773/Cours_Hist_figé!D1709 - 1</f>
        <v>-1.2195720883861894E-3</v>
      </c>
      <c r="E1709" s="29">
        <f>Cours_Hist_figé!E1773/Cours_Hist_figé!E1709 - 1</f>
        <v>-1.4313906400229559E-3</v>
      </c>
    </row>
    <row r="1710" spans="1:5" x14ac:dyDescent="0.4">
      <c r="A1710" s="27">
        <v>44553</v>
      </c>
      <c r="B1710" s="29">
        <f>Cours_Hist_figé!B1774/Cours_Hist_figé!B1710 - 1</f>
        <v>5.0306893846504552E-2</v>
      </c>
      <c r="C1710" s="29">
        <f>Cours_Hist_figé!C1774/Cours_Hist_figé!C1710 - 1</f>
        <v>-3.9859084494067165E-3</v>
      </c>
      <c r="D1710" s="29">
        <f>Cours_Hist_figé!D1774/Cours_Hist_figé!D1710 - 1</f>
        <v>-1.2196662910626266E-3</v>
      </c>
      <c r="E1710" s="29">
        <f>Cours_Hist_figé!E1774/Cours_Hist_figé!E1710 - 1</f>
        <v>-1.4314942011217635E-3</v>
      </c>
    </row>
    <row r="1711" spans="1:5" x14ac:dyDescent="0.4">
      <c r="A1711" s="27">
        <v>44554</v>
      </c>
      <c r="B1711" s="29">
        <f>Cours_Hist_figé!B1775/Cours_Hist_figé!B1711 - 1</f>
        <v>5.0507472602375314E-2</v>
      </c>
      <c r="C1711" s="29">
        <f>Cours_Hist_figé!C1775/Cours_Hist_figé!C1711 - 1</f>
        <v>-3.4512059563253095E-3</v>
      </c>
      <c r="D1711" s="29">
        <f>Cours_Hist_figé!D1775/Cours_Hist_figé!D1711 - 1</f>
        <v>-1.1930045300263536E-3</v>
      </c>
      <c r="E1711" s="29">
        <f>Cours_Hist_figé!E1775/Cours_Hist_figé!E1711 - 1</f>
        <v>-1.4001228445822411E-3</v>
      </c>
    </row>
    <row r="1712" spans="1:5" x14ac:dyDescent="0.4">
      <c r="A1712" s="27">
        <v>44557</v>
      </c>
      <c r="B1712" s="29">
        <f>Cours_Hist_figé!B1776/Cours_Hist_figé!B1712 - 1</f>
        <v>7.8863189789128096E-2</v>
      </c>
      <c r="C1712" s="29">
        <f>Cours_Hist_figé!C1776/Cours_Hist_figé!C1712 - 1</f>
        <v>-2.2637519961991037E-3</v>
      </c>
      <c r="D1712" s="29">
        <f>Cours_Hist_figé!D1776/Cours_Hist_figé!D1712 - 1</f>
        <v>-1.2206647866989107E-3</v>
      </c>
      <c r="E1712" s="29">
        <f>Cours_Hist_figé!E1776/Cours_Hist_figé!E1712 - 1</f>
        <v>-1.4325454783209457E-3</v>
      </c>
    </row>
    <row r="1713" spans="1:5" x14ac:dyDescent="0.4">
      <c r="A1713" s="27">
        <v>44558</v>
      </c>
      <c r="B1713" s="29">
        <f>Cours_Hist_figé!B1777/Cours_Hist_figé!B1713 - 1</f>
        <v>7.8577911845908899E-2</v>
      </c>
      <c r="C1713" s="29">
        <f>Cours_Hist_figé!C1777/Cours_Hist_figé!C1713 - 1</f>
        <v>-3.2400894001995972E-3</v>
      </c>
      <c r="D1713" s="29">
        <f>Cours_Hist_figé!D1777/Cours_Hist_figé!D1713 - 1</f>
        <v>-1.2206736098004933E-3</v>
      </c>
      <c r="E1713" s="29">
        <f>Cours_Hist_figé!E1777/Cours_Hist_figé!E1713 - 1</f>
        <v>-1.4326289565027572E-3</v>
      </c>
    </row>
    <row r="1714" spans="1:5" x14ac:dyDescent="0.4">
      <c r="A1714" s="27">
        <v>44559</v>
      </c>
      <c r="B1714" s="29">
        <f>Cours_Hist_figé!B1778/Cours_Hist_figé!B1714 - 1</f>
        <v>7.7387653668826273E-2</v>
      </c>
      <c r="C1714" s="29">
        <f>Cours_Hist_figé!C1778/Cours_Hist_figé!C1714 - 1</f>
        <v>-5.1210807230837041E-3</v>
      </c>
      <c r="D1714" s="29">
        <f>Cours_Hist_figé!D1778/Cours_Hist_figé!D1714 - 1</f>
        <v>-1.2207678349733797E-3</v>
      </c>
      <c r="E1714" s="29">
        <f>Cours_Hist_figé!E1778/Cours_Hist_figé!E1714 - 1</f>
        <v>-1.432712393875879E-3</v>
      </c>
    </row>
    <row r="1715" spans="1:5" x14ac:dyDescent="0.4">
      <c r="A1715" s="27">
        <v>44560</v>
      </c>
      <c r="B1715" s="29">
        <f>Cours_Hist_figé!B1779/Cours_Hist_figé!B1715 - 1</f>
        <v>8.3414336920451859E-2</v>
      </c>
      <c r="C1715" s="29">
        <f>Cours_Hist_figé!C1779/Cours_Hist_figé!C1715 - 1</f>
        <v>-7.4734577598624119E-3</v>
      </c>
      <c r="D1715" s="29">
        <f>Cours_Hist_figé!D1779/Cours_Hist_figé!D1715 - 1</f>
        <v>-1.2206680667958825E-3</v>
      </c>
      <c r="E1715" s="29">
        <f>Cours_Hist_figé!E1779/Cours_Hist_figé!E1715 - 1</f>
        <v>-1.4326646840044921E-3</v>
      </c>
    </row>
    <row r="1716" spans="1:5" x14ac:dyDescent="0.4">
      <c r="A1716" s="27">
        <v>44561</v>
      </c>
      <c r="B1716" s="29">
        <f>Cours_Hist_figé!B1780/Cours_Hist_figé!B1716 - 1</f>
        <v>8.5540024964344541E-2</v>
      </c>
      <c r="C1716" s="29">
        <f>Cours_Hist_figé!C1780/Cours_Hist_figé!C1716 - 1</f>
        <v>-6.8028675777997982E-3</v>
      </c>
      <c r="D1716" s="29">
        <f>Cours_Hist_figé!D1780/Cours_Hist_figé!D1716 - 1</f>
        <v>-1.1939029835672521E-3</v>
      </c>
      <c r="E1716" s="29">
        <f>Cours_Hist_figé!E1780/Cours_Hist_figé!E1716 - 1</f>
        <v>-1.4012395537101874E-3</v>
      </c>
    </row>
    <row r="1717" spans="1:5" x14ac:dyDescent="0.4">
      <c r="A1717" s="27">
        <v>44564</v>
      </c>
      <c r="B1717" s="29">
        <f>Cours_Hist_figé!B1781/Cours_Hist_figé!B1717 - 1</f>
        <v>7.8396364462621992E-2</v>
      </c>
      <c r="C1717" s="29">
        <f>Cours_Hist_figé!C1781/Cours_Hist_figé!C1717 - 1</f>
        <v>-7.202654772460737E-3</v>
      </c>
      <c r="D1717" s="29">
        <f>Cours_Hist_figé!D1781/Cours_Hist_figé!D1717 - 1</f>
        <v>-1.222568687951564E-3</v>
      </c>
      <c r="E1717" s="29">
        <f>Cours_Hist_figé!E1781/Cours_Hist_figé!E1717 - 1</f>
        <v>-1.4345456136969359E-3</v>
      </c>
    </row>
    <row r="1718" spans="1:5" x14ac:dyDescent="0.4">
      <c r="A1718" s="27">
        <v>44565</v>
      </c>
      <c r="B1718" s="29">
        <f>Cours_Hist_figé!B1782/Cours_Hist_figé!B1718 - 1</f>
        <v>9.9008344712040897E-2</v>
      </c>
      <c r="C1718" s="29">
        <f>Cours_Hist_figé!C1782/Cours_Hist_figé!C1718 - 1</f>
        <v>-6.4696883601800259E-3</v>
      </c>
      <c r="D1718" s="29">
        <f>Cours_Hist_figé!D1782/Cours_Hist_figé!D1718 - 1</f>
        <v>-1.2228727325022115E-3</v>
      </c>
      <c r="E1718" s="29">
        <f>Cours_Hist_figé!E1782/Cours_Hist_figé!E1718 - 1</f>
        <v>-1.4348009075939583E-3</v>
      </c>
    </row>
    <row r="1719" spans="1:5" x14ac:dyDescent="0.4">
      <c r="A1719" s="27">
        <v>44566</v>
      </c>
      <c r="B1719" s="29">
        <f>Cours_Hist_figé!B1783/Cours_Hist_figé!B1719 - 1</f>
        <v>8.2115669840205241E-2</v>
      </c>
      <c r="C1719" s="29">
        <f>Cours_Hist_figé!C1783/Cours_Hist_figé!C1719 - 1</f>
        <v>-7.3344558744271593E-3</v>
      </c>
      <c r="D1719" s="29">
        <f>Cours_Hist_figé!D1783/Cours_Hist_figé!D1719 - 1</f>
        <v>-1.2231690198186707E-3</v>
      </c>
      <c r="E1719" s="29">
        <f>Cours_Hist_figé!E1783/Cours_Hist_figé!E1719 - 1</f>
        <v>-1.4350460956270572E-3</v>
      </c>
    </row>
    <row r="1720" spans="1:5" x14ac:dyDescent="0.4">
      <c r="A1720" s="27">
        <v>44567</v>
      </c>
      <c r="B1720" s="29">
        <f>Cours_Hist_figé!B1784/Cours_Hist_figé!B1720 - 1</f>
        <v>7.1436178189460575E-2</v>
      </c>
      <c r="C1720" s="29">
        <f>Cours_Hist_figé!C1784/Cours_Hist_figé!C1720 - 1</f>
        <v>-7.5914968974027941E-3</v>
      </c>
      <c r="D1720" s="29">
        <f>Cours_Hist_figé!D1784/Cours_Hist_figé!D1720 - 1</f>
        <v>-1.2234730805598115E-3</v>
      </c>
      <c r="E1720" s="29">
        <f>Cours_Hist_figé!E1784/Cours_Hist_figé!E1720 - 1</f>
        <v>-1.4353215901473648E-3</v>
      </c>
    </row>
    <row r="1721" spans="1:5" x14ac:dyDescent="0.4">
      <c r="A1721" s="27">
        <v>44568</v>
      </c>
      <c r="B1721" s="29">
        <f>Cours_Hist_figé!B1785/Cours_Hist_figé!B1721 - 1</f>
        <v>6.7177395716100374E-2</v>
      </c>
      <c r="C1721" s="29">
        <f>Cours_Hist_figé!C1785/Cours_Hist_figé!C1721 - 1</f>
        <v>-6.9303666186345536E-3</v>
      </c>
      <c r="D1721" s="29">
        <f>Cours_Hist_figé!D1785/Cours_Hist_figé!D1721 - 1</f>
        <v>-1.1968919669846922E-3</v>
      </c>
      <c r="E1721" s="29">
        <f>Cours_Hist_figé!E1785/Cours_Hist_figé!E1721 - 1</f>
        <v>-1.4040849264537192E-3</v>
      </c>
    </row>
    <row r="1722" spans="1:5" x14ac:dyDescent="0.4">
      <c r="A1722" s="27">
        <v>44571</v>
      </c>
      <c r="B1722" s="29">
        <f>Cours_Hist_figé!B1786/Cours_Hist_figé!B1722 - 1</f>
        <v>5.3074411385997777E-2</v>
      </c>
      <c r="C1722" s="29">
        <f>Cours_Hist_figé!C1786/Cours_Hist_figé!C1722 - 1</f>
        <v>-5.6156063086501007E-3</v>
      </c>
      <c r="D1722" s="29">
        <f>Cours_Hist_figé!D1786/Cours_Hist_figé!D1722 - 1</f>
        <v>-1.2245652650241245E-3</v>
      </c>
      <c r="E1722" s="29">
        <f>Cours_Hist_figé!E1786/Cours_Hist_figé!E1722 - 1</f>
        <v>-1.4365451046235433E-3</v>
      </c>
    </row>
    <row r="1723" spans="1:5" x14ac:dyDescent="0.4">
      <c r="A1723" s="27">
        <v>44572</v>
      </c>
      <c r="B1723" s="29">
        <f>Cours_Hist_figé!B1787/Cours_Hist_figé!B1723 - 1</f>
        <v>5.5497428931654103E-2</v>
      </c>
      <c r="C1723" s="29">
        <f>Cours_Hist_figé!C1787/Cours_Hist_figé!C1723 - 1</f>
        <v>-9.5362712698440211E-3</v>
      </c>
      <c r="D1723" s="29">
        <f>Cours_Hist_figé!D1787/Cours_Hist_figé!D1723 - 1</f>
        <v>-1.2250635146843214E-3</v>
      </c>
      <c r="E1723" s="29">
        <f>Cours_Hist_figé!E1787/Cours_Hist_figé!E1723 - 1</f>
        <v>-1.4370226953190901E-3</v>
      </c>
    </row>
    <row r="1724" spans="1:5" x14ac:dyDescent="0.4">
      <c r="A1724" s="27">
        <v>44573</v>
      </c>
      <c r="B1724" s="29">
        <f>Cours_Hist_figé!B1788/Cours_Hist_figé!B1724 - 1</f>
        <v>5.0111146214909308E-2</v>
      </c>
      <c r="C1724" s="29">
        <f>Cours_Hist_figé!C1788/Cours_Hist_figé!C1724 - 1</f>
        <v>-1.0536641190174501E-2</v>
      </c>
      <c r="D1724" s="29">
        <f>Cours_Hist_figé!D1788/Cours_Hist_figé!D1724 - 1</f>
        <v>-1.2253676252558243E-3</v>
      </c>
      <c r="E1724" s="29">
        <f>Cours_Hist_figé!E1788/Cours_Hist_figé!E1724 - 1</f>
        <v>-1.4372982906938336E-3</v>
      </c>
    </row>
    <row r="1725" spans="1:5" x14ac:dyDescent="0.4">
      <c r="A1725" s="27">
        <v>44574</v>
      </c>
      <c r="B1725" s="29">
        <f>Cours_Hist_figé!B1789/Cours_Hist_figé!B1725 - 1</f>
        <v>4.2374945978696399E-2</v>
      </c>
      <c r="C1725" s="29">
        <f>Cours_Hist_figé!C1789/Cours_Hist_figé!C1725 - 1</f>
        <v>-7.5742139103767148E-3</v>
      </c>
      <c r="D1725" s="29">
        <f>Cours_Hist_figé!D1789/Cours_Hist_figé!D1725 - 1</f>
        <v>-1.2255630077319113E-3</v>
      </c>
      <c r="E1725" s="29">
        <f>Cours_Hist_figé!E1789/Cours_Hist_figé!E1725 - 1</f>
        <v>-1.4375233478056693E-3</v>
      </c>
    </row>
    <row r="1726" spans="1:5" x14ac:dyDescent="0.4">
      <c r="A1726" s="27">
        <v>44575</v>
      </c>
      <c r="B1726" s="29">
        <f>Cours_Hist_figé!B1790/Cours_Hist_figé!B1726 - 1</f>
        <v>3.8083821455516143E-2</v>
      </c>
      <c r="C1726" s="29">
        <f>Cours_Hist_figé!C1790/Cours_Hist_figé!C1726 - 1</f>
        <v>-9.2588456206341707E-3</v>
      </c>
      <c r="D1726" s="29">
        <f>Cours_Hist_figé!D1790/Cours_Hist_figé!D1726 - 1</f>
        <v>-1.1986921229438785E-3</v>
      </c>
      <c r="E1726" s="29">
        <f>Cours_Hist_figé!E1790/Cours_Hist_figé!E1726 - 1</f>
        <v>-1.4059499906379225E-3</v>
      </c>
    </row>
    <row r="1727" spans="1:5" x14ac:dyDescent="0.4">
      <c r="A1727" s="27">
        <v>44578</v>
      </c>
      <c r="B1727" s="29">
        <f>Cours_Hist_figé!B1791/Cours_Hist_figé!B1727 - 1</f>
        <v>4.1985768339525276E-2</v>
      </c>
      <c r="C1727" s="29">
        <f>Cours_Hist_figé!C1791/Cours_Hist_figé!C1727 - 1</f>
        <v>-8.5444724619634371E-3</v>
      </c>
      <c r="D1727" s="29">
        <f>Cours_Hist_figé!D1791/Cours_Hist_figé!D1727 - 1</f>
        <v>-1.2261582203674237E-3</v>
      </c>
      <c r="E1727" s="29">
        <f>Cours_Hist_figé!E1791/Cours_Hist_figé!E1727 - 1</f>
        <v>-1.4381205938241992E-3</v>
      </c>
    </row>
    <row r="1728" spans="1:5" x14ac:dyDescent="0.4">
      <c r="A1728" s="27">
        <v>44579</v>
      </c>
      <c r="B1728" s="29">
        <f>Cours_Hist_figé!B1792/Cours_Hist_figé!B1728 - 1</f>
        <v>2.9419345284791731E-2</v>
      </c>
      <c r="C1728" s="29">
        <f>Cours_Hist_figé!C1792/Cours_Hist_figé!C1728 - 1</f>
        <v>-9.9242775978415354E-3</v>
      </c>
      <c r="D1728" s="29">
        <f>Cours_Hist_figé!D1792/Cours_Hist_figé!D1728 - 1</f>
        <v>-1.2262682024161142E-3</v>
      </c>
      <c r="E1728" s="29">
        <f>Cours_Hist_figé!E1792/Cours_Hist_figé!E1728 - 1</f>
        <v>-1.4382648701065648E-3</v>
      </c>
    </row>
    <row r="1729" spans="1:5" x14ac:dyDescent="0.4">
      <c r="A1729" s="27">
        <v>44580</v>
      </c>
      <c r="B1729" s="29">
        <f>Cours_Hist_figé!B1793/Cours_Hist_figé!B1729 - 1</f>
        <v>3.2259623985887886E-2</v>
      </c>
      <c r="C1729" s="29">
        <f>Cours_Hist_figé!C1793/Cours_Hist_figé!C1729 - 1</f>
        <v>-9.4751522358804685E-3</v>
      </c>
      <c r="D1729" s="29">
        <f>Cours_Hist_figé!D1793/Cours_Hist_figé!D1729 - 1</f>
        <v>-1.2264558461161368E-3</v>
      </c>
      <c r="E1729" s="29">
        <f>Cours_Hist_figé!E1793/Cours_Hist_figé!E1729 - 1</f>
        <v>-1.4384900076399587E-3</v>
      </c>
    </row>
    <row r="1730" spans="1:5" x14ac:dyDescent="0.4">
      <c r="A1730" s="27">
        <v>44581</v>
      </c>
      <c r="B1730" s="29">
        <f>Cours_Hist_figé!B1794/Cours_Hist_figé!B1730 - 1</f>
        <v>3.2625911119744222E-2</v>
      </c>
      <c r="C1730" s="29">
        <f>Cours_Hist_figé!C1794/Cours_Hist_figé!C1730 - 1</f>
        <v>-8.0358319553870405E-3</v>
      </c>
      <c r="D1730" s="29">
        <f>Cours_Hist_figé!D1794/Cours_Hist_figé!D1730 - 1</f>
        <v>-1.2265658351908737E-3</v>
      </c>
      <c r="E1730" s="29">
        <f>Cours_Hist_figé!E1794/Cours_Hist_figé!E1730 - 1</f>
        <v>-1.4386241926011012E-3</v>
      </c>
    </row>
    <row r="1731" spans="1:5" x14ac:dyDescent="0.4">
      <c r="A1731" s="27">
        <v>44582</v>
      </c>
      <c r="B1731" s="29">
        <f>Cours_Hist_figé!B1795/Cours_Hist_figé!B1731 - 1</f>
        <v>1.3375581123548974E-2</v>
      </c>
      <c r="C1731" s="29">
        <f>Cours_Hist_figé!C1795/Cours_Hist_figé!C1731 - 1</f>
        <v>-7.4142904444994828E-3</v>
      </c>
      <c r="D1731" s="29">
        <f>Cours_Hist_figé!D1795/Cours_Hist_figé!D1731 - 1</f>
        <v>-1.1999953712630296E-3</v>
      </c>
      <c r="E1731" s="29">
        <f>Cours_Hist_figé!E1795/Cours_Hist_figé!E1731 - 1</f>
        <v>-1.407330273791918E-3</v>
      </c>
    </row>
    <row r="1732" spans="1:5" x14ac:dyDescent="0.4">
      <c r="A1732" s="27">
        <v>44585</v>
      </c>
      <c r="B1732" s="29">
        <f>Cours_Hist_figé!B1796/Cours_Hist_figé!B1732 - 1</f>
        <v>-3.1579974150754753E-2</v>
      </c>
      <c r="C1732" s="29">
        <f>Cours_Hist_figé!C1796/Cours_Hist_figé!C1732 - 1</f>
        <v>-6.1551886159215696E-3</v>
      </c>
      <c r="D1732" s="29">
        <f>Cours_Hist_figé!D1796/Cours_Hist_figé!D1732 - 1</f>
        <v>-1.2276583827852683E-3</v>
      </c>
      <c r="E1732" s="29">
        <f>Cours_Hist_figé!E1796/Cours_Hist_figé!E1732 - 1</f>
        <v>-1.439676344109353E-3</v>
      </c>
    </row>
    <row r="1733" spans="1:5" x14ac:dyDescent="0.4">
      <c r="A1733" s="27">
        <v>44586</v>
      </c>
      <c r="B1733" s="29">
        <f>Cours_Hist_figé!B1797/Cours_Hist_figé!B1733 - 1</f>
        <v>-2.0681542158124788E-2</v>
      </c>
      <c r="C1733" s="29">
        <f>Cours_Hist_figé!C1797/Cours_Hist_figé!C1733 - 1</f>
        <v>-1.1321163936277134E-2</v>
      </c>
      <c r="D1733" s="29">
        <f>Cours_Hist_figé!D1797/Cours_Hist_figé!D1733 - 1</f>
        <v>-1.2278616048693181E-3</v>
      </c>
      <c r="E1733" s="29">
        <f>Cours_Hist_figé!E1797/Cours_Hist_figé!E1733 - 1</f>
        <v>-1.439921716011483E-3</v>
      </c>
    </row>
    <row r="1734" spans="1:5" x14ac:dyDescent="0.4">
      <c r="A1734" s="27">
        <v>44587</v>
      </c>
      <c r="B1734" s="29">
        <f>Cours_Hist_figé!B1798/Cours_Hist_figé!B1734 - 1</f>
        <v>-6.5933291515227754E-3</v>
      </c>
      <c r="C1734" s="29">
        <f>Cours_Hist_figé!C1798/Cours_Hist_figé!C1734 - 1</f>
        <v>-1.1148078223037428E-2</v>
      </c>
      <c r="D1734" s="29">
        <f>Cours_Hist_figé!D1798/Cours_Hist_figé!D1734 - 1</f>
        <v>-1.2279638448620123E-3</v>
      </c>
      <c r="E1734" s="29">
        <f>Cours_Hist_figé!E1798/Cours_Hist_figé!E1734 - 1</f>
        <v>-1.4400660392551723E-3</v>
      </c>
    </row>
    <row r="1735" spans="1:5" x14ac:dyDescent="0.4">
      <c r="A1735" s="27">
        <v>44588</v>
      </c>
      <c r="B1735" s="29">
        <f>Cours_Hist_figé!B1799/Cours_Hist_figé!B1735 - 1</f>
        <v>-5.2879215784151778E-4</v>
      </c>
      <c r="C1735" s="29">
        <f>Cours_Hist_figé!C1799/Cours_Hist_figé!C1735 - 1</f>
        <v>-6.4178170148064817E-3</v>
      </c>
      <c r="D1735" s="29">
        <f>Cours_Hist_figé!D1799/Cours_Hist_figé!D1735 - 1</f>
        <v>-1.2279649936223214E-3</v>
      </c>
      <c r="E1735" s="29">
        <f>Cours_Hist_figé!E1799/Cours_Hist_figé!E1735 - 1</f>
        <v>-1.4401496623301924E-3</v>
      </c>
    </row>
    <row r="1736" spans="1:5" x14ac:dyDescent="0.4">
      <c r="A1736" s="27">
        <v>44589</v>
      </c>
      <c r="B1736" s="29">
        <f>Cours_Hist_figé!B1800/Cours_Hist_figé!B1736 - 1</f>
        <v>-1.7837951182310907E-2</v>
      </c>
      <c r="C1736" s="29">
        <f>Cours_Hist_figé!C1800/Cours_Hist_figé!C1736 - 1</f>
        <v>-7.1343972143267376E-3</v>
      </c>
      <c r="D1736" s="29">
        <f>Cours_Hist_figé!D1800/Cours_Hist_figé!D1736 - 1</f>
        <v>-1.2004908359772859E-3</v>
      </c>
      <c r="E1736" s="29">
        <f>Cours_Hist_figé!E1800/Cours_Hist_figé!E1736 - 1</f>
        <v>-1.4079427832481839E-3</v>
      </c>
    </row>
    <row r="1737" spans="1:5" x14ac:dyDescent="0.4">
      <c r="A1737" s="27">
        <v>44592</v>
      </c>
      <c r="B1737" s="29">
        <f>Cours_Hist_figé!B1801/Cours_Hist_figé!B1737 - 1</f>
        <v>-1.2742088627276438E-2</v>
      </c>
      <c r="C1737" s="29">
        <f>Cours_Hist_figé!C1801/Cours_Hist_figé!C1737 - 1</f>
        <v>-1.6095434357261351E-2</v>
      </c>
      <c r="D1737" s="29">
        <f>Cours_Hist_figé!D1801/Cours_Hist_figé!D1737 - 1</f>
        <v>-1.2274645209905399E-3</v>
      </c>
      <c r="E1737" s="29">
        <f>Cours_Hist_figé!E1801/Cours_Hist_figé!E1737 - 1</f>
        <v>-1.4395743966599817E-3</v>
      </c>
    </row>
    <row r="1738" spans="1:5" x14ac:dyDescent="0.4">
      <c r="A1738" s="27">
        <v>44593</v>
      </c>
      <c r="B1738" s="29">
        <f>Cours_Hist_figé!B1802/Cours_Hist_figé!B1738 - 1</f>
        <v>-3.8707065588577949E-3</v>
      </c>
      <c r="C1738" s="29">
        <f>Cours_Hist_figé!C1802/Cours_Hist_figé!C1738 - 1</f>
        <v>-1.8787980629460743E-2</v>
      </c>
      <c r="D1738" s="29">
        <f>Cours_Hist_figé!D1802/Cours_Hist_figé!D1738 - 1</f>
        <v>-1.2277609684665514E-3</v>
      </c>
      <c r="E1738" s="29">
        <f>Cours_Hist_figé!E1802/Cours_Hist_figé!E1738 - 1</f>
        <v>-1.4398400018131863E-3</v>
      </c>
    </row>
    <row r="1739" spans="1:5" x14ac:dyDescent="0.4">
      <c r="A1739" s="27">
        <v>44594</v>
      </c>
      <c r="B1739" s="29">
        <f>Cours_Hist_figé!B1803/Cours_Hist_figé!B1739 - 1</f>
        <v>-3.2084302946905341E-3</v>
      </c>
      <c r="C1739" s="29">
        <f>Cours_Hist_figé!C1803/Cours_Hist_figé!C1739 - 1</f>
        <v>-2.2129843184112707E-2</v>
      </c>
      <c r="D1739" s="29">
        <f>Cours_Hist_figé!D1803/Cours_Hist_figé!D1739 - 1</f>
        <v>-1.2278554485615212E-3</v>
      </c>
      <c r="E1739" s="29">
        <f>Cours_Hist_figé!E1803/Cours_Hist_figé!E1739 - 1</f>
        <v>-1.4399641321832801E-3</v>
      </c>
    </row>
    <row r="1740" spans="1:5" x14ac:dyDescent="0.4">
      <c r="A1740" s="27">
        <v>44595</v>
      </c>
      <c r="B1740" s="29">
        <f>Cours_Hist_figé!B1804/Cours_Hist_figé!B1740 - 1</f>
        <v>-2.0649021160274672E-2</v>
      </c>
      <c r="C1740" s="29">
        <f>Cours_Hist_figé!C1804/Cours_Hist_figé!C1740 - 1</f>
        <v>-3.4761356051524417E-2</v>
      </c>
      <c r="D1740" s="29">
        <f>Cours_Hist_figé!D1804/Cours_Hist_figé!D1740 - 1</f>
        <v>-1.22796547755466E-3</v>
      </c>
      <c r="E1740" s="29">
        <f>Cours_Hist_figé!E1804/Cours_Hist_figé!E1740 - 1</f>
        <v>-1.4400983559594849E-3</v>
      </c>
    </row>
    <row r="1741" spans="1:5" x14ac:dyDescent="0.4">
      <c r="A1741" s="27">
        <v>44596</v>
      </c>
      <c r="B1741" s="29">
        <f>Cours_Hist_figé!B1805/Cours_Hist_figé!B1741 - 1</f>
        <v>-3.3332533358932381E-2</v>
      </c>
      <c r="C1741" s="29">
        <f>Cours_Hist_figé!C1805/Cours_Hist_figé!C1741 - 1</f>
        <v>-3.8137587198481038E-2</v>
      </c>
      <c r="D1741" s="29">
        <f>Cours_Hist_figé!D1805/Cours_Hist_figé!D1741 - 1</f>
        <v>-1.2010947956077045E-3</v>
      </c>
      <c r="E1741" s="29">
        <f>Cours_Hist_figé!E1805/Cours_Hist_figé!E1741 - 1</f>
        <v>-1.4085044208367314E-3</v>
      </c>
    </row>
    <row r="1742" spans="1:5" x14ac:dyDescent="0.4">
      <c r="A1742" s="27">
        <v>44599</v>
      </c>
      <c r="B1742" s="29">
        <f>Cours_Hist_figé!B1806/Cours_Hist_figé!B1742 - 1</f>
        <v>-2.484679156853975E-2</v>
      </c>
      <c r="C1742" s="29">
        <f>Cours_Hist_figé!C1806/Cours_Hist_figé!C1742 - 1</f>
        <v>-4.5525515170136699E-2</v>
      </c>
      <c r="D1742" s="29">
        <f>Cours_Hist_figé!D1806/Cours_Hist_figé!D1742 - 1</f>
        <v>-1.228560970898851E-3</v>
      </c>
      <c r="E1742" s="29">
        <f>Cours_Hist_figé!E1806/Cours_Hist_figé!E1742 - 1</f>
        <v>-1.4406453838743394E-3</v>
      </c>
    </row>
    <row r="1743" spans="1:5" x14ac:dyDescent="0.4">
      <c r="A1743" s="27">
        <v>44600</v>
      </c>
      <c r="B1743" s="29">
        <f>Cours_Hist_figé!B1807/Cours_Hist_figé!B1743 - 1</f>
        <v>-2.7180098212591153E-2</v>
      </c>
      <c r="C1743" s="29">
        <f>Cours_Hist_figé!C1807/Cours_Hist_figé!C1743 - 1</f>
        <v>-4.422460598992195E-2</v>
      </c>
      <c r="D1743" s="29">
        <f>Cours_Hist_figé!D1807/Cours_Hist_figé!D1743 - 1</f>
        <v>-1.2286632384787E-3</v>
      </c>
      <c r="E1743" s="29">
        <f>Cours_Hist_figé!E1807/Cours_Hist_figé!E1743 - 1</f>
        <v>-1.4407291050817506E-3</v>
      </c>
    </row>
    <row r="1744" spans="1:5" x14ac:dyDescent="0.4">
      <c r="A1744" s="27">
        <v>44601</v>
      </c>
      <c r="B1744" s="29">
        <f>Cours_Hist_figé!B1808/Cours_Hist_figé!B1744 - 1</f>
        <v>-1.4198162470241971E-2</v>
      </c>
      <c r="C1744" s="29">
        <f>Cours_Hist_figé!C1808/Cours_Hist_figé!C1744 - 1</f>
        <v>-3.9189570688976771E-2</v>
      </c>
      <c r="D1744" s="29">
        <f>Cours_Hist_figé!D1808/Cours_Hist_figé!D1744 - 1</f>
        <v>-1.2286643873998804E-3</v>
      </c>
      <c r="E1744" s="29">
        <f>Cours_Hist_figé!E1808/Cours_Hist_figé!E1744 - 1</f>
        <v>-1.4406813184203449E-3</v>
      </c>
    </row>
    <row r="1745" spans="1:5" x14ac:dyDescent="0.4">
      <c r="A1745" s="27">
        <v>44602</v>
      </c>
      <c r="B1745" s="29">
        <f>Cours_Hist_figé!B1809/Cours_Hist_figé!B1745 - 1</f>
        <v>-1.948273878294926E-2</v>
      </c>
      <c r="C1745" s="29">
        <f>Cours_Hist_figé!C1809/Cours_Hist_figé!C1745 - 1</f>
        <v>-4.4737509322781976E-2</v>
      </c>
      <c r="D1745" s="29">
        <f>Cours_Hist_figé!D1809/Cours_Hist_figé!D1745 - 1</f>
        <v>-1.2287588900469215E-3</v>
      </c>
      <c r="E1745" s="29">
        <f>Cours_Hist_figé!E1809/Cours_Hist_figé!E1745 - 1</f>
        <v>-1.4407549377363216E-3</v>
      </c>
    </row>
    <row r="1746" spans="1:5" x14ac:dyDescent="0.4">
      <c r="A1746" s="27">
        <v>44603</v>
      </c>
      <c r="B1746" s="29">
        <f>Cours_Hist_figé!B1810/Cours_Hist_figé!B1746 - 1</f>
        <v>-2.8249041728440005E-2</v>
      </c>
      <c r="C1746" s="29">
        <f>Cours_Hist_figé!C1810/Cours_Hist_figé!C1746 - 1</f>
        <v>-4.5335313261368304E-2</v>
      </c>
      <c r="D1746" s="29">
        <f>Cours_Hist_figé!D1810/Cours_Hist_figé!D1746 - 1</f>
        <v>-1.2016912030656801E-3</v>
      </c>
      <c r="E1746" s="29">
        <f>Cours_Hist_figé!E1810/Cours_Hist_figé!E1746 - 1</f>
        <v>-1.4090259309388342E-3</v>
      </c>
    </row>
    <row r="1747" spans="1:5" x14ac:dyDescent="0.4">
      <c r="A1747" s="27">
        <v>44606</v>
      </c>
      <c r="B1747" s="29">
        <f>Cours_Hist_figé!B1811/Cours_Hist_figé!B1747 - 1</f>
        <v>-4.7566973898394149E-2</v>
      </c>
      <c r="C1747" s="29">
        <f>Cours_Hist_figé!C1811/Cours_Hist_figé!C1747 - 1</f>
        <v>-4.510803569707611E-2</v>
      </c>
      <c r="D1747" s="29">
        <f>Cours_Hist_figé!D1811/Cours_Hist_figé!D1747 - 1</f>
        <v>-1.2293542247758804E-3</v>
      </c>
      <c r="E1747" s="29">
        <f>Cours_Hist_figé!E1811/Cours_Hist_figé!E1747 - 1</f>
        <v>-1.4413422873998938E-3</v>
      </c>
    </row>
    <row r="1748" spans="1:5" x14ac:dyDescent="0.4">
      <c r="A1748" s="27">
        <v>44607</v>
      </c>
      <c r="B1748" s="29">
        <f>Cours_Hist_figé!B1812/Cours_Hist_figé!B1748 - 1</f>
        <v>-3.6039208344513352E-2</v>
      </c>
      <c r="C1748" s="29">
        <f>Cours_Hist_figé!C1812/Cours_Hist_figé!C1748 - 1</f>
        <v>-4.6898042362609749E-2</v>
      </c>
      <c r="D1748" s="29">
        <f>Cours_Hist_figé!D1812/Cours_Hist_figé!D1748 - 1</f>
        <v>-1.2295575181446861E-3</v>
      </c>
      <c r="E1748" s="29">
        <f>Cours_Hist_figé!E1812/Cours_Hist_figé!E1748 - 1</f>
        <v>-1.441537194370901E-3</v>
      </c>
    </row>
    <row r="1749" spans="1:5" x14ac:dyDescent="0.4">
      <c r="A1749" s="27">
        <v>44608</v>
      </c>
      <c r="B1749" s="29">
        <f>Cours_Hist_figé!B1813/Cours_Hist_figé!B1749 - 1</f>
        <v>-3.1010202068931125E-2</v>
      </c>
      <c r="C1749" s="29">
        <f>Cours_Hist_figé!C1813/Cours_Hist_figé!C1749 - 1</f>
        <v>-4.6446065462521724E-2</v>
      </c>
      <c r="D1749" s="29">
        <f>Cours_Hist_figé!D1813/Cours_Hist_figé!D1749 - 1</f>
        <v>-1.2296596955609918E-3</v>
      </c>
      <c r="E1749" s="29">
        <f>Cours_Hist_figé!E1813/Cours_Hist_figé!E1749 - 1</f>
        <v>-1.441671383411891E-3</v>
      </c>
    </row>
    <row r="1750" spans="1:5" x14ac:dyDescent="0.4">
      <c r="A1750" s="27">
        <v>44609</v>
      </c>
      <c r="B1750" s="29">
        <f>Cours_Hist_figé!B1814/Cours_Hist_figé!B1750 - 1</f>
        <v>-3.3240775360197317E-2</v>
      </c>
      <c r="C1750" s="29">
        <f>Cours_Hist_figé!C1814/Cours_Hist_figé!C1750 - 1</f>
        <v>-4.7356811142657662E-2</v>
      </c>
      <c r="D1750" s="29">
        <f>Cours_Hist_figé!D1814/Cours_Hist_figé!D1750 - 1</f>
        <v>-1.2297618661704091E-3</v>
      </c>
      <c r="E1750" s="29">
        <f>Cours_Hist_figé!E1814/Cours_Hist_figé!E1750 - 1</f>
        <v>-1.4418156975554153E-3</v>
      </c>
    </row>
    <row r="1751" spans="1:5" x14ac:dyDescent="0.4">
      <c r="A1751" s="27">
        <v>44610</v>
      </c>
      <c r="B1751" s="29">
        <f>Cours_Hist_figé!B1815/Cours_Hist_figé!B1751 - 1</f>
        <v>-3.9924978870890526E-2</v>
      </c>
      <c r="C1751" s="29">
        <f>Cours_Hist_figé!C1815/Cours_Hist_figé!C1751 - 1</f>
        <v>-4.37411635553141E-2</v>
      </c>
      <c r="D1751" s="29">
        <f>Cours_Hist_figé!D1815/Cours_Hist_figé!D1751 - 1</f>
        <v>-1.2026917834313533E-3</v>
      </c>
      <c r="E1751" s="29">
        <f>Cours_Hist_figé!E1815/Cours_Hist_figé!E1751 - 1</f>
        <v>-1.4101136956229388E-3</v>
      </c>
    </row>
    <row r="1752" spans="1:5" x14ac:dyDescent="0.4">
      <c r="A1752" s="27">
        <v>44613</v>
      </c>
      <c r="B1752" s="29">
        <f>Cours_Hist_figé!B1816/Cours_Hist_figé!B1752 - 1</f>
        <v>-4.0382464232447735E-2</v>
      </c>
      <c r="C1752" s="29">
        <f>Cours_Hist_figé!C1816/Cours_Hist_figé!C1752 - 1</f>
        <v>-4.0567334888004569E-2</v>
      </c>
      <c r="D1752" s="29">
        <f>Cours_Hist_figé!D1816/Cours_Hist_figé!D1752 - 1</f>
        <v>-1.2299609034470693E-3</v>
      </c>
      <c r="E1752" s="29">
        <f>Cours_Hist_figé!E1816/Cours_Hist_figé!E1752 - 1</f>
        <v>-1.4421504199203516E-3</v>
      </c>
    </row>
    <row r="1753" spans="1:5" x14ac:dyDescent="0.4">
      <c r="A1753" s="27">
        <v>44614</v>
      </c>
      <c r="B1753" s="29">
        <f>Cours_Hist_figé!B1817/Cours_Hist_figé!B1753 - 1</f>
        <v>-4.1127347203354203E-2</v>
      </c>
      <c r="C1753" s="29">
        <f>Cours_Hist_figé!C1817/Cours_Hist_figé!C1753 - 1</f>
        <v>-4.1143754839478297E-2</v>
      </c>
      <c r="D1753" s="29">
        <f>Cours_Hist_figé!D1817/Cours_Hist_figé!D1753 - 1</f>
        <v>-1.2299620702178604E-3</v>
      </c>
      <c r="E1753" s="29">
        <f>Cours_Hist_figé!E1817/Cours_Hist_figé!E1753 - 1</f>
        <v>-1.4422037750623229E-3</v>
      </c>
    </row>
    <row r="1754" spans="1:5" x14ac:dyDescent="0.4">
      <c r="A1754" s="27">
        <v>44615</v>
      </c>
      <c r="B1754" s="29">
        <f>Cours_Hist_figé!B1818/Cours_Hist_figé!B1754 - 1</f>
        <v>-4.7242582986928405E-2</v>
      </c>
      <c r="C1754" s="29">
        <f>Cours_Hist_figé!C1818/Cours_Hist_figé!C1754 - 1</f>
        <v>-4.2154396161836027E-2</v>
      </c>
      <c r="D1754" s="29">
        <f>Cours_Hist_figé!D1818/Cours_Hist_figé!D1754 - 1</f>
        <v>-1.2300642532256933E-3</v>
      </c>
      <c r="E1754" s="29">
        <f>Cours_Hist_figé!E1818/Cours_Hist_figé!E1754 - 1</f>
        <v>-1.4423480676312161E-3</v>
      </c>
    </row>
    <row r="1755" spans="1:5" x14ac:dyDescent="0.4">
      <c r="A1755" s="27">
        <v>44616</v>
      </c>
      <c r="B1755" s="29">
        <f>Cours_Hist_figé!B1819/Cours_Hist_figé!B1755 - 1</f>
        <v>-4.2187609210715959E-2</v>
      </c>
      <c r="C1755" s="29">
        <f>Cours_Hist_figé!C1819/Cours_Hist_figé!C1755 - 1</f>
        <v>-4.3869869549971852E-2</v>
      </c>
      <c r="D1755" s="29">
        <f>Cours_Hist_figé!D1819/Cours_Hist_figé!D1755 - 1</f>
        <v>-1.2300576412811459E-3</v>
      </c>
      <c r="E1755" s="29">
        <f>Cours_Hist_figé!E1819/Cours_Hist_figé!E1755 - 1</f>
        <v>-1.4424216423654102E-3</v>
      </c>
    </row>
    <row r="1756" spans="1:5" x14ac:dyDescent="0.4">
      <c r="A1756" s="27">
        <v>44617</v>
      </c>
      <c r="B1756" s="29">
        <f>Cours_Hist_figé!B1820/Cours_Hist_figé!B1756 - 1</f>
        <v>-1.7337983714692196E-2</v>
      </c>
      <c r="C1756" s="29">
        <f>Cours_Hist_figé!C1820/Cours_Hist_figé!C1756 - 1</f>
        <v>-4.539907511283392E-2</v>
      </c>
      <c r="D1756" s="29">
        <f>Cours_Hist_figé!D1820/Cours_Hist_figé!D1756 - 1</f>
        <v>-1.2029849987267305E-3</v>
      </c>
      <c r="E1756" s="29">
        <f>Cours_Hist_figé!E1820/Cours_Hist_figé!E1756 - 1</f>
        <v>-1.4107262466617199E-3</v>
      </c>
    </row>
    <row r="1757" spans="1:5" x14ac:dyDescent="0.4">
      <c r="A1757" s="27">
        <v>44620</v>
      </c>
      <c r="B1757" s="29">
        <f>Cours_Hist_figé!B1821/Cours_Hist_figé!B1757 - 1</f>
        <v>-9.3542236105221832E-3</v>
      </c>
      <c r="C1757" s="29">
        <f>Cours_Hist_figé!C1821/Cours_Hist_figé!C1757 - 1</f>
        <v>-4.4671148296748009E-2</v>
      </c>
      <c r="D1757" s="29">
        <f>Cours_Hist_figé!D1821/Cours_Hist_figé!D1757 - 1</f>
        <v>-1.2301555660583219E-3</v>
      </c>
      <c r="E1757" s="29">
        <f>Cours_Hist_figé!E1821/Cours_Hist_figé!E1757 - 1</f>
        <v>-1.4426754450546087E-3</v>
      </c>
    </row>
    <row r="1758" spans="1:5" x14ac:dyDescent="0.4">
      <c r="A1758" s="27">
        <v>44621</v>
      </c>
      <c r="B1758" s="29">
        <f>Cours_Hist_figé!B1822/Cours_Hist_figé!B1758 - 1</f>
        <v>-4.875475729451817E-2</v>
      </c>
      <c r="C1758" s="29">
        <f>Cours_Hist_figé!C1822/Cours_Hist_figé!C1758 - 1</f>
        <v>-2.8764743470273468E-2</v>
      </c>
      <c r="D1758" s="29">
        <f>Cours_Hist_figé!D1822/Cours_Hist_figé!D1758 - 1</f>
        <v>-1.2302656555444047E-3</v>
      </c>
      <c r="E1758" s="29">
        <f>Cours_Hist_figé!E1822/Cours_Hist_figé!E1758 - 1</f>
        <v>-1.442809840556003E-3</v>
      </c>
    </row>
    <row r="1759" spans="1:5" x14ac:dyDescent="0.4">
      <c r="A1759" s="27">
        <v>44622</v>
      </c>
      <c r="B1759" s="29">
        <f>Cours_Hist_figé!B1823/Cours_Hist_figé!B1759 - 1</f>
        <v>-2.9852904601172403E-2</v>
      </c>
      <c r="C1759" s="29">
        <f>Cours_Hist_figé!C1823/Cours_Hist_figé!C1759 - 1</f>
        <v>-3.6963798064713727E-2</v>
      </c>
      <c r="D1759" s="29">
        <f>Cours_Hist_figé!D1823/Cours_Hist_figé!D1759 - 1</f>
        <v>-1.2303601960238497E-3</v>
      </c>
      <c r="E1759" s="29">
        <f>Cours_Hist_figé!E1823/Cours_Hist_figé!E1759 - 1</f>
        <v>-1.4428935818279198E-3</v>
      </c>
    </row>
    <row r="1760" spans="1:5" x14ac:dyDescent="0.4">
      <c r="A1760" s="27">
        <v>44623</v>
      </c>
      <c r="B1760" s="29">
        <f>Cours_Hist_figé!B1824/Cours_Hist_figé!B1760 - 1</f>
        <v>-4.3983584776272733E-2</v>
      </c>
      <c r="C1760" s="29">
        <f>Cours_Hist_figé!C1824/Cours_Hist_figé!C1760 - 1</f>
        <v>-3.8541627521933908E-2</v>
      </c>
      <c r="D1760" s="29">
        <f>Cours_Hist_figé!D1824/Cours_Hist_figé!D1760 - 1</f>
        <v>-1.2304625199672792E-3</v>
      </c>
      <c r="E1760" s="29">
        <f>Cours_Hist_figé!E1824/Cours_Hist_figé!E1760 - 1</f>
        <v>-1.4429773695923132E-3</v>
      </c>
    </row>
    <row r="1761" spans="1:5" x14ac:dyDescent="0.4">
      <c r="A1761" s="27">
        <v>44624</v>
      </c>
      <c r="B1761" s="29">
        <f>Cours_Hist_figé!B1825/Cours_Hist_figé!B1761 - 1</f>
        <v>-9.0224856524602548E-2</v>
      </c>
      <c r="C1761" s="29">
        <f>Cours_Hist_figé!C1825/Cours_Hist_figé!C1761 - 1</f>
        <v>-3.4461711886549784E-2</v>
      </c>
      <c r="D1761" s="29">
        <f>Cours_Hist_figé!D1825/Cours_Hist_figé!D1761 - 1</f>
        <v>-1.2030921011568774E-3</v>
      </c>
      <c r="E1761" s="29">
        <f>Cours_Hist_figé!E1825/Cours_Hist_figé!E1761 - 1</f>
        <v>-1.4109348478250627E-3</v>
      </c>
    </row>
    <row r="1762" spans="1:5" x14ac:dyDescent="0.4">
      <c r="A1762" s="27">
        <v>44627</v>
      </c>
      <c r="B1762" s="29">
        <f>Cours_Hist_figé!B1826/Cours_Hist_figé!B1762 - 1</f>
        <v>-0.12112585240107099</v>
      </c>
      <c r="C1762" s="29">
        <f>Cours_Hist_figé!C1826/Cours_Hist_figé!C1762 - 1</f>
        <v>-3.7662887277036483E-2</v>
      </c>
      <c r="D1762" s="29">
        <f>Cours_Hist_figé!D1826/Cours_Hist_figé!D1762 - 1</f>
        <v>-1.2303587650119852E-3</v>
      </c>
      <c r="E1762" s="29">
        <f>Cours_Hist_figé!E1826/Cours_Hist_figé!E1762 - 1</f>
        <v>-1.4429181886504994E-3</v>
      </c>
    </row>
    <row r="1763" spans="1:5" x14ac:dyDescent="0.4">
      <c r="A1763" s="27">
        <v>44628</v>
      </c>
      <c r="B1763" s="29">
        <f>Cours_Hist_figé!B1827/Cours_Hist_figé!B1763 - 1</f>
        <v>-0.11997557034253425</v>
      </c>
      <c r="C1763" s="29">
        <f>Cours_Hist_figé!C1827/Cours_Hist_figé!C1763 - 1</f>
        <v>-3.99131394028297E-2</v>
      </c>
      <c r="D1763" s="29">
        <f>Cours_Hist_figé!D1827/Cours_Hist_figé!D1763 - 1</f>
        <v>-1.2303600618780441E-3</v>
      </c>
      <c r="E1763" s="29">
        <f>Cours_Hist_figé!E1827/Cours_Hist_figé!E1763 - 1</f>
        <v>-1.4429818087426938E-3</v>
      </c>
    </row>
    <row r="1764" spans="1:5" x14ac:dyDescent="0.4">
      <c r="A1764" s="27">
        <v>44629</v>
      </c>
      <c r="B1764" s="29">
        <f>Cours_Hist_figé!B1828/Cours_Hist_figé!B1764 - 1</f>
        <v>-7.8507253711376346E-2</v>
      </c>
      <c r="C1764" s="29">
        <f>Cours_Hist_figé!C1828/Cours_Hist_figé!C1764 - 1</f>
        <v>-4.7588281672356847E-2</v>
      </c>
      <c r="D1764" s="29">
        <f>Cours_Hist_figé!D1828/Cours_Hist_figé!D1764 - 1</f>
        <v>-1.230361349205733E-3</v>
      </c>
      <c r="E1764" s="29">
        <f>Cours_Hist_figé!E1828/Cours_Hist_figé!E1764 - 1</f>
        <v>-1.4430353067971247E-3</v>
      </c>
    </row>
    <row r="1765" spans="1:5" x14ac:dyDescent="0.4">
      <c r="A1765" s="27">
        <v>44630</v>
      </c>
      <c r="B1765" s="29">
        <f>Cours_Hist_figé!B1829/Cours_Hist_figé!B1765 - 1</f>
        <v>-9.09914403331058E-2</v>
      </c>
      <c r="C1765" s="29">
        <f>Cours_Hist_figé!C1829/Cours_Hist_figé!C1765 - 1</f>
        <v>-5.4676496016592524E-2</v>
      </c>
      <c r="D1765" s="29">
        <f>Cours_Hist_figé!D1829/Cours_Hist_figé!D1765 - 1</f>
        <v>-1.2303548645047346E-3</v>
      </c>
      <c r="E1765" s="29">
        <f>Cours_Hist_figé!E1829/Cours_Hist_figé!E1765 - 1</f>
        <v>-1.4430888503967898E-3</v>
      </c>
    </row>
    <row r="1766" spans="1:5" x14ac:dyDescent="0.4">
      <c r="A1766" s="27">
        <v>44631</v>
      </c>
      <c r="B1766" s="29">
        <f>Cours_Hist_figé!B1830/Cours_Hist_figé!B1766 - 1</f>
        <v>-7.9020391706596138E-2</v>
      </c>
      <c r="C1766" s="29">
        <f>Cours_Hist_figé!C1830/Cours_Hist_figé!C1766 - 1</f>
        <v>-5.7332078163726097E-2</v>
      </c>
      <c r="D1766" s="29">
        <f>Cours_Hist_figé!D1830/Cours_Hist_figé!D1766 - 1</f>
        <v>-1.2029894763577742E-3</v>
      </c>
      <c r="E1766" s="29">
        <f>Cours_Hist_figé!E1830/Cours_Hist_figé!E1766 - 1</f>
        <v>-1.4110527303642373E-3</v>
      </c>
    </row>
    <row r="1767" spans="1:5" x14ac:dyDescent="0.4">
      <c r="A1767" s="27">
        <v>44634</v>
      </c>
      <c r="B1767" s="29">
        <f>Cours_Hist_figé!B1831/Cours_Hist_figé!B1767 - 1</f>
        <v>-6.0778021702843854E-2</v>
      </c>
      <c r="C1767" s="29">
        <f>Cours_Hist_figé!C1831/Cours_Hist_figé!C1767 - 1</f>
        <v>-6.1764913721905068E-2</v>
      </c>
      <c r="D1767" s="29">
        <f>Cours_Hist_figé!D1831/Cours_Hist_figé!D1767 - 1</f>
        <v>-1.2302587417268862E-3</v>
      </c>
      <c r="E1767" s="29">
        <f>Cours_Hist_figé!E1831/Cours_Hist_figé!E1767 - 1</f>
        <v>-1.4430093325255022E-3</v>
      </c>
    </row>
    <row r="1768" spans="1:5" x14ac:dyDescent="0.4">
      <c r="A1768" s="27">
        <v>44635</v>
      </c>
      <c r="B1768" s="29">
        <f>Cours_Hist_figé!B1832/Cours_Hist_figé!B1768 - 1</f>
        <v>-6.5364773249061203E-2</v>
      </c>
      <c r="C1768" s="29">
        <f>Cours_Hist_figé!C1832/Cours_Hist_figé!C1768 - 1</f>
        <v>-5.8437184299140799E-2</v>
      </c>
      <c r="D1768" s="29">
        <f>Cours_Hist_figé!D1832/Cours_Hist_figé!D1768 - 1</f>
        <v>-1.2302522551758122E-3</v>
      </c>
      <c r="E1768" s="29">
        <f>Cours_Hist_figé!E1832/Cours_Hist_figé!E1768 - 1</f>
        <v>-1.4430020858618997E-3</v>
      </c>
    </row>
    <row r="1769" spans="1:5" x14ac:dyDescent="0.4">
      <c r="A1769" s="27">
        <v>44636</v>
      </c>
      <c r="B1769" s="29">
        <f>Cours_Hist_figé!B1833/Cours_Hist_figé!B1769 - 1</f>
        <v>-4.9320003034757476E-2</v>
      </c>
      <c r="C1769" s="29">
        <f>Cours_Hist_figé!C1833/Cours_Hist_figé!C1769 - 1</f>
        <v>-5.8555273952685893E-2</v>
      </c>
      <c r="D1769" s="29">
        <f>Cours_Hist_figé!D1833/Cours_Hist_figé!D1769 - 1</f>
        <v>-1.2301601538211582E-3</v>
      </c>
      <c r="E1769" s="29">
        <f>Cours_Hist_figé!E1833/Cours_Hist_figé!E1769 - 1</f>
        <v>-1.4428935868283643E-3</v>
      </c>
    </row>
    <row r="1770" spans="1:5" x14ac:dyDescent="0.4">
      <c r="A1770" s="27">
        <v>44637</v>
      </c>
      <c r="B1770" s="29">
        <f>Cours_Hist_figé!B1834/Cours_Hist_figé!B1770 - 1</f>
        <v>-3.8601763755951257E-2</v>
      </c>
      <c r="C1770" s="29">
        <f>Cours_Hist_figé!C1834/Cours_Hist_figé!C1770 - 1</f>
        <v>-6.0047356191472279E-2</v>
      </c>
      <c r="D1770" s="29">
        <f>Cours_Hist_figé!D1834/Cours_Hist_figé!D1770 - 1</f>
        <v>-1.2301536657415291E-3</v>
      </c>
      <c r="E1770" s="29">
        <f>Cours_Hist_figé!E1834/Cours_Hist_figé!E1770 - 1</f>
        <v>-1.4428964634533026E-3</v>
      </c>
    </row>
    <row r="1771" spans="1:5" x14ac:dyDescent="0.4">
      <c r="A1771" s="27">
        <v>44638</v>
      </c>
      <c r="B1771" s="29">
        <f>Cours_Hist_figé!B1835/Cours_Hist_figé!B1771 - 1</f>
        <v>-1.648790345373341E-2</v>
      </c>
      <c r="C1771" s="29">
        <f>Cours_Hist_figé!C1835/Cours_Hist_figé!C1771 - 1</f>
        <v>-5.7867481665294207E-2</v>
      </c>
      <c r="D1771" s="29">
        <f>Cours_Hist_figé!D1835/Cours_Hist_figé!D1771 - 1</f>
        <v>-1.2029878665958949E-3</v>
      </c>
      <c r="E1771" s="29">
        <f>Cours_Hist_figé!E1835/Cours_Hist_figé!E1771 - 1</f>
        <v>-1.4109983711133589E-3</v>
      </c>
    </row>
    <row r="1772" spans="1:5" x14ac:dyDescent="0.4">
      <c r="A1772" s="27">
        <v>44641</v>
      </c>
      <c r="B1772" s="29">
        <f>Cours_Hist_figé!B1836/Cours_Hist_figé!B1772 - 1</f>
        <v>-2.9924989002775626E-2</v>
      </c>
      <c r="C1772" s="29">
        <f>Cours_Hist_figé!C1836/Cours_Hist_figé!C1772 - 1</f>
        <v>-5.7215630448770316E-2</v>
      </c>
      <c r="D1772" s="29">
        <f>Cours_Hist_figé!D1836/Cours_Hist_figé!D1772 - 1</f>
        <v>-1.230461970292418E-3</v>
      </c>
      <c r="E1772" s="29">
        <f>Cours_Hist_figé!E1836/Cours_Hist_figé!E1772 - 1</f>
        <v>-1.4431204420487509E-3</v>
      </c>
    </row>
    <row r="1773" spans="1:5" x14ac:dyDescent="0.4">
      <c r="A1773" s="27">
        <v>44642</v>
      </c>
      <c r="B1773" s="29">
        <f>Cours_Hist_figé!B1837/Cours_Hist_figé!B1773 - 1</f>
        <v>-3.0070749424690568E-2</v>
      </c>
      <c r="C1773" s="29">
        <f>Cours_Hist_figé!C1837/Cours_Hist_figé!C1773 - 1</f>
        <v>-5.9636069119276547E-2</v>
      </c>
      <c r="D1773" s="29">
        <f>Cours_Hist_figé!D1837/Cours_Hist_figé!D1773 - 1</f>
        <v>-1.2306575926613883E-3</v>
      </c>
      <c r="E1773" s="29">
        <f>Cours_Hist_figé!E1837/Cours_Hist_figé!E1773 - 1</f>
        <v>-1.443305360051883E-3</v>
      </c>
    </row>
    <row r="1774" spans="1:5" x14ac:dyDescent="0.4">
      <c r="A1774" s="27">
        <v>44643</v>
      </c>
      <c r="B1774" s="29">
        <f>Cours_Hist_figé!B1838/Cours_Hist_figé!B1774 - 1</f>
        <v>-4.8983720521605267E-2</v>
      </c>
      <c r="C1774" s="29">
        <f>Cours_Hist_figé!C1838/Cours_Hist_figé!C1774 - 1</f>
        <v>-5.4536873718480039E-2</v>
      </c>
      <c r="D1774" s="29">
        <f>Cours_Hist_figé!D1838/Cours_Hist_figé!D1774 - 1</f>
        <v>-1.230759939041981E-3</v>
      </c>
      <c r="E1774" s="29">
        <f>Cours_Hist_figé!E1838/Cours_Hist_figé!E1774 - 1</f>
        <v>-1.4434296281676806E-3</v>
      </c>
    </row>
    <row r="1775" spans="1:5" x14ac:dyDescent="0.4">
      <c r="A1775" s="27">
        <v>44644</v>
      </c>
      <c r="B1775" s="29">
        <f>Cours_Hist_figé!B1839/Cours_Hist_figé!B1775 - 1</f>
        <v>-4.964578811075937E-2</v>
      </c>
      <c r="C1775" s="29">
        <f>Cours_Hist_figé!C1839/Cours_Hist_figé!C1775 - 1</f>
        <v>-5.656057232733902E-2</v>
      </c>
      <c r="D1775" s="29">
        <f>Cours_Hist_figé!D1839/Cours_Hist_figé!D1775 - 1</f>
        <v>-1.2308545146603178E-3</v>
      </c>
      <c r="E1775" s="29">
        <f>Cours_Hist_figé!E1839/Cours_Hist_figé!E1775 - 1</f>
        <v>-1.4434831023971695E-3</v>
      </c>
    </row>
    <row r="1776" spans="1:5" x14ac:dyDescent="0.4">
      <c r="A1776" s="27">
        <v>44645</v>
      </c>
      <c r="B1776" s="29">
        <f>Cours_Hist_figé!B1840/Cours_Hist_figé!B1776 - 1</f>
        <v>-5.4353775444633712E-2</v>
      </c>
      <c r="C1776" s="29">
        <f>Cours_Hist_figé!C1840/Cours_Hist_figé!C1776 - 1</f>
        <v>-5.8045040446450424E-2</v>
      </c>
      <c r="D1776" s="29">
        <f>Cours_Hist_figé!D1840/Cours_Hist_figé!D1776 - 1</f>
        <v>-1.2033907428865565E-3</v>
      </c>
      <c r="E1776" s="29">
        <f>Cours_Hist_figé!E1840/Cours_Hist_figé!E1776 - 1</f>
        <v>-1.4112781334322255E-3</v>
      </c>
    </row>
    <row r="1777" spans="1:5" x14ac:dyDescent="0.4">
      <c r="A1777" s="27">
        <v>44648</v>
      </c>
      <c r="B1777" s="29">
        <f>Cours_Hist_figé!B1841/Cours_Hist_figé!B1777 - 1</f>
        <v>-5.8797396219155584E-2</v>
      </c>
      <c r="C1777" s="29">
        <f>Cours_Hist_figé!C1841/Cours_Hist_figé!C1777 - 1</f>
        <v>-5.9336780860899108E-2</v>
      </c>
      <c r="D1777" s="29">
        <f>Cours_Hist_figé!D1841/Cours_Hist_figé!D1777 - 1</f>
        <v>-1.2310542907699729E-3</v>
      </c>
      <c r="E1777" s="29">
        <f>Cours_Hist_figé!E1841/Cours_Hist_figé!E1777 - 1</f>
        <v>-1.443646863107273E-3</v>
      </c>
    </row>
    <row r="1778" spans="1:5" x14ac:dyDescent="0.4">
      <c r="A1778" s="27">
        <v>44649</v>
      </c>
      <c r="B1778" s="29">
        <f>Cours_Hist_figé!B1842/Cours_Hist_figé!B1778 - 1</f>
        <v>-4.1367631806439764E-2</v>
      </c>
      <c r="C1778" s="29">
        <f>Cours_Hist_figé!C1842/Cours_Hist_figé!C1778 - 1</f>
        <v>-5.9130385406206631E-2</v>
      </c>
      <c r="D1778" s="29">
        <f>Cours_Hist_figé!D1842/Cours_Hist_figé!D1778 - 1</f>
        <v>-1.2311566509379812E-3</v>
      </c>
      <c r="E1778" s="29">
        <f>Cours_Hist_figé!E1842/Cours_Hist_figé!E1778 - 1</f>
        <v>-1.4437914471389091E-3</v>
      </c>
    </row>
    <row r="1779" spans="1:5" x14ac:dyDescent="0.4">
      <c r="A1779" s="27">
        <v>44650</v>
      </c>
      <c r="B1779" s="29">
        <f>Cours_Hist_figé!B1843/Cours_Hist_figé!B1779 - 1</f>
        <v>-4.6170635712415975E-2</v>
      </c>
      <c r="C1779" s="29">
        <f>Cours_Hist_figé!C1843/Cours_Hist_figé!C1779 - 1</f>
        <v>-5.9986257923376196E-2</v>
      </c>
      <c r="D1779" s="29">
        <f>Cours_Hist_figé!D1843/Cours_Hist_figé!D1779 - 1</f>
        <v>-1.2311579495475344E-3</v>
      </c>
      <c r="E1779" s="29">
        <f>Cours_Hist_figé!E1843/Cours_Hist_figé!E1779 - 1</f>
        <v>-1.4438045101070607E-3</v>
      </c>
    </row>
    <row r="1780" spans="1:5" x14ac:dyDescent="0.4">
      <c r="A1780" s="27">
        <v>44651</v>
      </c>
      <c r="B1780" s="29">
        <f>Cours_Hist_figé!B1844/Cours_Hist_figé!B1780 - 1</f>
        <v>-5.3228886175545553E-2</v>
      </c>
      <c r="C1780" s="29">
        <f>Cours_Hist_figé!C1844/Cours_Hist_figé!C1780 - 1</f>
        <v>-5.4138910694927267E-2</v>
      </c>
      <c r="D1780" s="29">
        <f>Cours_Hist_figé!D1844/Cours_Hist_figé!D1780 - 1</f>
        <v>-1.2311592481929479E-3</v>
      </c>
      <c r="E1780" s="29">
        <f>Cours_Hist_figé!E1844/Cours_Hist_figé!E1780 - 1</f>
        <v>-1.4437771360179541E-3</v>
      </c>
    </row>
    <row r="1781" spans="1:5" x14ac:dyDescent="0.4">
      <c r="A1781" s="27">
        <v>44652</v>
      </c>
      <c r="B1781" s="29">
        <f>Cours_Hist_figé!B1845/Cours_Hist_figé!B1781 - 1</f>
        <v>-5.2607589884110184E-2</v>
      </c>
      <c r="C1781" s="29">
        <f>Cours_Hist_figé!C1845/Cours_Hist_figé!C1781 - 1</f>
        <v>-5.4878809483045132E-2</v>
      </c>
      <c r="D1781" s="29">
        <f>Cours_Hist_figé!D1845/Cours_Hist_figé!D1781 - 1</f>
        <v>-1.2031879717322447E-3</v>
      </c>
      <c r="E1781" s="29">
        <f>Cours_Hist_figé!E1845/Cours_Hist_figé!E1781 - 1</f>
        <v>-1.4111342062079757E-3</v>
      </c>
    </row>
    <row r="1782" spans="1:5" x14ac:dyDescent="0.4">
      <c r="A1782" s="27">
        <v>44655</v>
      </c>
      <c r="B1782" s="29">
        <f>Cours_Hist_figé!B1846/Cours_Hist_figé!B1782 - 1</f>
        <v>-5.3147621030344316E-2</v>
      </c>
      <c r="C1782" s="29">
        <f>Cours_Hist_figé!C1846/Cours_Hist_figé!C1782 - 1</f>
        <v>-5.272976855068412E-2</v>
      </c>
      <c r="D1782" s="29">
        <f>Cours_Hist_figé!D1846/Cours_Hist_figé!D1782 - 1</f>
        <v>-1.2308543072350187E-3</v>
      </c>
      <c r="E1782" s="29">
        <f>Cours_Hist_figé!E1846/Cours_Hist_figé!E1782 - 1</f>
        <v>-1.4435269457957478E-3</v>
      </c>
    </row>
    <row r="1783" spans="1:5" x14ac:dyDescent="0.4">
      <c r="A1783" s="27">
        <v>44656</v>
      </c>
      <c r="B1783" s="29">
        <f>Cours_Hist_figé!B1847/Cours_Hist_figé!B1783 - 1</f>
        <v>-5.1933595746002537E-2</v>
      </c>
      <c r="C1783" s="29">
        <f>Cours_Hist_figé!C1847/Cours_Hist_figé!C1783 - 1</f>
        <v>-6.0026063914293326E-2</v>
      </c>
      <c r="D1783" s="29">
        <f>Cours_Hist_figé!D1847/Cours_Hist_figé!D1783 - 1</f>
        <v>-1.2310579965134627E-3</v>
      </c>
      <c r="E1783" s="29">
        <f>Cours_Hist_figé!E1847/Cours_Hist_figé!E1783 - 1</f>
        <v>-1.4437223036342095E-3</v>
      </c>
    </row>
    <row r="1784" spans="1:5" x14ac:dyDescent="0.4">
      <c r="A1784" s="27">
        <v>44657</v>
      </c>
      <c r="B1784" s="29">
        <f>Cours_Hist_figé!B1848/Cours_Hist_figé!B1784 - 1</f>
        <v>-5.4096532829194688E-2</v>
      </c>
      <c r="C1784" s="29">
        <f>Cours_Hist_figé!C1848/Cours_Hist_figé!C1784 - 1</f>
        <v>-6.0826293096650108E-2</v>
      </c>
      <c r="D1784" s="29">
        <f>Cours_Hist_figé!D1848/Cours_Hist_figé!D1784 - 1</f>
        <v>-1.2312539068553008E-3</v>
      </c>
      <c r="E1784" s="29">
        <f>Cours_Hist_figé!E1848/Cours_Hist_figé!E1784 - 1</f>
        <v>-1.4439480536444504E-3</v>
      </c>
    </row>
    <row r="1785" spans="1:5" x14ac:dyDescent="0.4">
      <c r="A1785" s="27">
        <v>44658</v>
      </c>
      <c r="B1785" s="29">
        <f>Cours_Hist_figé!B1849/Cours_Hist_figé!B1785 - 1</f>
        <v>-5.2710981259447953E-2</v>
      </c>
      <c r="C1785" s="29">
        <f>Cours_Hist_figé!C1849/Cours_Hist_figé!C1785 - 1</f>
        <v>-6.108270361183199E-2</v>
      </c>
      <c r="D1785" s="29">
        <f>Cours_Hist_figé!D1849/Cours_Hist_figé!D1785 - 1</f>
        <v>-1.2314575976034581E-3</v>
      </c>
      <c r="E1785" s="29">
        <f>Cours_Hist_figé!E1849/Cours_Hist_figé!E1785 - 1</f>
        <v>-1.4441130381290801E-3</v>
      </c>
    </row>
    <row r="1786" spans="1:5" x14ac:dyDescent="0.4">
      <c r="A1786" s="27">
        <v>44659</v>
      </c>
      <c r="B1786" s="29">
        <f>Cours_Hist_figé!B1850/Cours_Hist_figé!B1786 - 1</f>
        <v>-2.5900181257244248E-2</v>
      </c>
      <c r="C1786" s="29">
        <f>Cours_Hist_figé!C1850/Cours_Hist_figé!C1786 - 1</f>
        <v>-6.2433689770009293E-2</v>
      </c>
      <c r="D1786" s="29">
        <f>Cours_Hist_figé!D1850/Cours_Hist_figé!D1786 - 1</f>
        <v>-1.2040897620427815E-3</v>
      </c>
      <c r="E1786" s="29">
        <f>Cours_Hist_figé!E1850/Cours_Hist_figé!E1786 - 1</f>
        <v>-1.411991973675808E-3</v>
      </c>
    </row>
    <row r="1787" spans="1:5" x14ac:dyDescent="0.4">
      <c r="A1787" s="27">
        <v>44662</v>
      </c>
      <c r="B1787" s="29">
        <f>Cours_Hist_figé!B1851/Cours_Hist_figé!B1787 - 1</f>
        <v>-3.9352972708288636E-2</v>
      </c>
      <c r="C1787" s="29">
        <f>Cours_Hist_figé!C1851/Cours_Hist_figé!C1787 - 1</f>
        <v>-6.6882104576964085E-2</v>
      </c>
      <c r="D1787" s="29">
        <f>Cours_Hist_figé!D1851/Cours_Hist_figé!D1787 - 1</f>
        <v>-1.2318521866436782E-3</v>
      </c>
      <c r="E1787" s="29">
        <f>Cours_Hist_figé!E1851/Cours_Hist_figé!E1787 - 1</f>
        <v>-1.4444491793985659E-3</v>
      </c>
    </row>
    <row r="1788" spans="1:5" x14ac:dyDescent="0.4">
      <c r="A1788" s="27">
        <v>44663</v>
      </c>
      <c r="B1788" s="29">
        <f>Cours_Hist_figé!B1852/Cours_Hist_figé!B1788 - 1</f>
        <v>-4.9043556627681673E-2</v>
      </c>
      <c r="C1788" s="29">
        <f>Cours_Hist_figé!C1852/Cours_Hist_figé!C1788 - 1</f>
        <v>-6.802109791469213E-2</v>
      </c>
      <c r="D1788" s="29">
        <f>Cours_Hist_figé!D1852/Cours_Hist_figé!D1788 - 1</f>
        <v>-1.2320559091505423E-3</v>
      </c>
      <c r="E1788" s="29">
        <f>Cours_Hist_figé!E1852/Cours_Hist_figé!E1788 - 1</f>
        <v>-1.4445838402740163E-3</v>
      </c>
    </row>
    <row r="1789" spans="1:5" x14ac:dyDescent="0.4">
      <c r="A1789" s="27">
        <v>44664</v>
      </c>
      <c r="B1789" s="29">
        <f>Cours_Hist_figé!B1853/Cours_Hist_figé!B1789 - 1</f>
        <v>-4.8867449735471302E-2</v>
      </c>
      <c r="C1789" s="29">
        <f>Cours_Hist_figé!C1853/Cours_Hist_figé!C1789 - 1</f>
        <v>-6.8353978879123312E-2</v>
      </c>
      <c r="D1789" s="29">
        <f>Cours_Hist_figé!D1853/Cours_Hist_figé!D1789 - 1</f>
        <v>-1.232158419193663E-3</v>
      </c>
      <c r="E1789" s="29">
        <f>Cours_Hist_figé!E1853/Cours_Hist_figé!E1789 - 1</f>
        <v>-1.4447184615775654E-3</v>
      </c>
    </row>
    <row r="1790" spans="1:5" x14ac:dyDescent="0.4">
      <c r="A1790" s="27">
        <v>44665</v>
      </c>
      <c r="B1790" s="29">
        <f>Cours_Hist_figé!B1854/Cours_Hist_figé!B1790 - 1</f>
        <v>-3.3808276871115872E-2</v>
      </c>
      <c r="C1790" s="29">
        <f>Cours_Hist_figé!C1854/Cours_Hist_figé!C1790 - 1</f>
        <v>-7.0426033426307377E-2</v>
      </c>
      <c r="D1790" s="29">
        <f>Cours_Hist_figé!D1854/Cours_Hist_figé!D1790 - 1</f>
        <v>-1.2323543661055814E-3</v>
      </c>
      <c r="E1790" s="29">
        <f>Cours_Hist_figé!E1854/Cours_Hist_figé!E1790 - 1</f>
        <v>-1.4449138668223283E-3</v>
      </c>
    </row>
    <row r="1791" spans="1:5" x14ac:dyDescent="0.4">
      <c r="A1791" s="27">
        <v>44670</v>
      </c>
      <c r="B1791" s="29">
        <f>Cours_Hist_figé!B1855/Cours_Hist_figé!B1791 - 1</f>
        <v>-4.7231729250105436E-2</v>
      </c>
      <c r="C1791" s="29">
        <f>Cours_Hist_figé!C1855/Cours_Hist_figé!C1791 - 1</f>
        <v>-7.3184853238407288E-2</v>
      </c>
      <c r="D1791" s="29">
        <f>Cours_Hist_figé!D1855/Cours_Hist_figé!D1791 - 1</f>
        <v>-1.2608227935173577E-3</v>
      </c>
      <c r="E1791" s="29">
        <f>Cours_Hist_figé!E1855/Cours_Hist_figé!E1791 - 1</f>
        <v>-1.4780998107950527E-3</v>
      </c>
    </row>
    <row r="1792" spans="1:5" x14ac:dyDescent="0.4">
      <c r="A1792" s="27">
        <v>44671</v>
      </c>
      <c r="B1792" s="29">
        <f>Cours_Hist_figé!B1856/Cours_Hist_figé!B1792 - 1</f>
        <v>-3.0953194818254537E-2</v>
      </c>
      <c r="C1792" s="29">
        <f>Cours_Hist_figé!C1856/Cours_Hist_figé!C1792 - 1</f>
        <v>-6.9031030629106427E-2</v>
      </c>
      <c r="D1792" s="29">
        <f>Cours_Hist_figé!D1856/Cours_Hist_figé!D1792 - 1</f>
        <v>-1.2608167131831216E-3</v>
      </c>
      <c r="E1792" s="29">
        <f>Cours_Hist_figé!E1856/Cours_Hist_figé!E1792 - 1</f>
        <v>-1.4781539363752927E-3</v>
      </c>
    </row>
    <row r="1793" spans="1:5" x14ac:dyDescent="0.4">
      <c r="A1793" s="27">
        <v>44672</v>
      </c>
      <c r="B1793" s="29">
        <f>Cours_Hist_figé!B1857/Cours_Hist_figé!B1793 - 1</f>
        <v>-3.007209851423942E-2</v>
      </c>
      <c r="C1793" s="29">
        <f>Cours_Hist_figé!C1857/Cours_Hist_figé!C1793 - 1</f>
        <v>-7.1956652482697336E-2</v>
      </c>
      <c r="D1793" s="29">
        <f>Cours_Hist_figé!D1857/Cours_Hist_figé!D1793 - 1</f>
        <v>-1.2609274114492308E-3</v>
      </c>
      <c r="E1793" s="29">
        <f>Cours_Hist_figé!E1857/Cours_Hist_figé!E1793 - 1</f>
        <v>-1.4782587623692889E-3</v>
      </c>
    </row>
    <row r="1794" spans="1:5" x14ac:dyDescent="0.4">
      <c r="A1794" s="27">
        <v>44673</v>
      </c>
      <c r="B1794" s="29">
        <f>Cours_Hist_figé!B1858/Cours_Hist_figé!B1794 - 1</f>
        <v>-5.1343768538726575E-2</v>
      </c>
      <c r="C1794" s="29">
        <f>Cours_Hist_figé!C1858/Cours_Hist_figé!C1794 - 1</f>
        <v>-7.6865116359594809E-2</v>
      </c>
      <c r="D1794" s="29">
        <f>Cours_Hist_figé!D1858/Cours_Hist_figé!D1794 - 1</f>
        <v>-1.2611237687014665E-3</v>
      </c>
      <c r="E1794" s="29">
        <f>Cours_Hist_figé!E1858/Cours_Hist_figé!E1794 - 1</f>
        <v>-1.4784547250175084E-3</v>
      </c>
    </row>
    <row r="1795" spans="1:5" x14ac:dyDescent="0.4">
      <c r="A1795" s="27">
        <v>44676</v>
      </c>
      <c r="B1795" s="29">
        <f>Cours_Hist_figé!B1859/Cours_Hist_figé!B1795 - 1</f>
        <v>-5.1209905892360186E-2</v>
      </c>
      <c r="C1795" s="29">
        <f>Cours_Hist_figé!C1859/Cours_Hist_figé!C1795 - 1</f>
        <v>-7.3593031310716372E-2</v>
      </c>
      <c r="D1795" s="29">
        <f>Cours_Hist_figé!D1859/Cours_Hist_figé!D1795 - 1</f>
        <v>-1.2888829925474798E-3</v>
      </c>
      <c r="E1795" s="29">
        <f>Cours_Hist_figé!E1859/Cours_Hist_figé!E1795 - 1</f>
        <v>-1.5109181992247755E-3</v>
      </c>
    </row>
    <row r="1796" spans="1:5" x14ac:dyDescent="0.4">
      <c r="A1796" s="27">
        <v>44677</v>
      </c>
      <c r="B1796" s="29">
        <f>Cours_Hist_figé!B1860/Cours_Hist_figé!B1796 - 1</f>
        <v>-2.2683679636238074E-2</v>
      </c>
      <c r="C1796" s="29">
        <f>Cours_Hist_figé!C1860/Cours_Hist_figé!C1796 - 1</f>
        <v>-7.2303306325310457E-2</v>
      </c>
      <c r="D1796" s="29">
        <f>Cours_Hist_figé!D1860/Cours_Hist_figé!D1796 - 1</f>
        <v>-1.261621261341106E-3</v>
      </c>
      <c r="E1796" s="29">
        <f>Cours_Hist_figé!E1860/Cours_Hist_figé!E1796 - 1</f>
        <v>-1.4789551046170413E-3</v>
      </c>
    </row>
    <row r="1797" spans="1:5" x14ac:dyDescent="0.4">
      <c r="A1797" s="27">
        <v>44678</v>
      </c>
      <c r="B1797" s="29">
        <f>Cours_Hist_figé!B1861/Cours_Hist_figé!B1797 - 1</f>
        <v>-2.1964947212281483E-2</v>
      </c>
      <c r="C1797" s="29">
        <f>Cours_Hist_figé!C1861/Cours_Hist_figé!C1797 - 1</f>
        <v>-7.2745487519213614E-2</v>
      </c>
      <c r="D1797" s="29">
        <f>Cours_Hist_figé!D1861/Cours_Hist_figé!D1797 - 1</f>
        <v>-1.2617164164693273E-3</v>
      </c>
      <c r="E1797" s="29">
        <f>Cours_Hist_figé!E1861/Cours_Hist_figé!E1797 - 1</f>
        <v>-1.4790396751752644E-3</v>
      </c>
    </row>
    <row r="1798" spans="1:5" x14ac:dyDescent="0.4">
      <c r="A1798" s="27">
        <v>44679</v>
      </c>
      <c r="B1798" s="29">
        <f>Cours_Hist_figé!B1862/Cours_Hist_figé!B1798 - 1</f>
        <v>-3.1765949085560852E-2</v>
      </c>
      <c r="C1798" s="29">
        <f>Cours_Hist_figé!C1862/Cours_Hist_figé!C1798 - 1</f>
        <v>-7.7367295521250989E-2</v>
      </c>
      <c r="D1798" s="29">
        <f>Cours_Hist_figé!D1862/Cours_Hist_figé!D1798 - 1</f>
        <v>-1.261819351033644E-3</v>
      </c>
      <c r="E1798" s="29">
        <f>Cours_Hist_figé!E1862/Cours_Hist_figé!E1798 - 1</f>
        <v>-1.479174877930145E-3</v>
      </c>
    </row>
    <row r="1799" spans="1:5" x14ac:dyDescent="0.4">
      <c r="A1799" s="27">
        <v>44680</v>
      </c>
      <c r="B1799" s="29">
        <f>Cours_Hist_figé!B1863/Cours_Hist_figé!B1799 - 1</f>
        <v>-3.1177228632661147E-2</v>
      </c>
      <c r="C1799" s="29">
        <f>Cours_Hist_figé!C1863/Cours_Hist_figé!C1799 - 1</f>
        <v>-8.0226770785816526E-2</v>
      </c>
      <c r="D1799" s="29">
        <f>Cours_Hist_figé!D1863/Cours_Hist_figé!D1799 - 1</f>
        <v>-1.2620156116108783E-3</v>
      </c>
      <c r="E1799" s="29">
        <f>Cours_Hist_figé!E1863/Cours_Hist_figé!E1799 - 1</f>
        <v>-1.4793707874094508E-3</v>
      </c>
    </row>
    <row r="1800" spans="1:5" x14ac:dyDescent="0.4">
      <c r="A1800" s="27">
        <v>44683</v>
      </c>
      <c r="B1800" s="29">
        <f>Cours_Hist_figé!B1864/Cours_Hist_figé!B1800 - 1</f>
        <v>-3.4022250046327862E-2</v>
      </c>
      <c r="C1800" s="29">
        <f>Cours_Hist_figé!C1864/Cours_Hist_figé!C1800 - 1</f>
        <v>-8.0575048934923621E-2</v>
      </c>
      <c r="D1800" s="29">
        <f>Cours_Hist_figé!D1864/Cours_Hist_figé!D1800 - 1</f>
        <v>-1.2901822864584966E-3</v>
      </c>
      <c r="E1800" s="29">
        <f>Cours_Hist_figé!E1864/Cours_Hist_figé!E1800 - 1</f>
        <v>-1.5122429712051133E-3</v>
      </c>
    </row>
    <row r="1801" spans="1:5" x14ac:dyDescent="0.4">
      <c r="A1801" s="27">
        <v>44684</v>
      </c>
      <c r="B1801" s="29">
        <f>Cours_Hist_figé!B1865/Cours_Hist_figé!B1801 - 1</f>
        <v>-3.528213599504415E-2</v>
      </c>
      <c r="C1801" s="29">
        <f>Cours_Hist_figé!C1865/Cours_Hist_figé!C1801 - 1</f>
        <v>-7.6578313617409077E-2</v>
      </c>
      <c r="D1801" s="29">
        <f>Cours_Hist_figé!D1865/Cours_Hist_figé!D1801 - 1</f>
        <v>-1.2633145138172264E-3</v>
      </c>
      <c r="E1801" s="29">
        <f>Cours_Hist_figé!E1865/Cours_Hist_figé!E1801 - 1</f>
        <v>-1.4807315718206038E-3</v>
      </c>
    </row>
    <row r="1802" spans="1:5" x14ac:dyDescent="0.4">
      <c r="A1802" s="27">
        <v>44685</v>
      </c>
      <c r="B1802" s="29">
        <f>Cours_Hist_figé!B1866/Cours_Hist_figé!B1802 - 1</f>
        <v>-5.7181029370497849E-2</v>
      </c>
      <c r="C1802" s="29">
        <f>Cours_Hist_figé!C1866/Cours_Hist_figé!C1802 - 1</f>
        <v>-7.7387706914013088E-2</v>
      </c>
      <c r="D1802" s="29">
        <f>Cours_Hist_figé!D1866/Cours_Hist_figé!D1802 - 1</f>
        <v>-1.2633162439209533E-3</v>
      </c>
      <c r="E1802" s="29">
        <f>Cours_Hist_figé!E1866/Cours_Hist_figé!E1802 - 1</f>
        <v>-1.4807351175212258E-3</v>
      </c>
    </row>
    <row r="1803" spans="1:5" x14ac:dyDescent="0.4">
      <c r="A1803" s="27">
        <v>44686</v>
      </c>
      <c r="B1803" s="29">
        <f>Cours_Hist_figé!B1867/Cours_Hist_figé!B1803 - 1</f>
        <v>-6.6790593876582371E-2</v>
      </c>
      <c r="C1803" s="29">
        <f>Cours_Hist_figé!C1867/Cours_Hist_figé!C1803 - 1</f>
        <v>-7.9990649021557281E-2</v>
      </c>
      <c r="D1803" s="29">
        <f>Cours_Hist_figé!D1867/Cours_Hist_figé!D1803 - 1</f>
        <v>-1.2635204463472549E-3</v>
      </c>
      <c r="E1803" s="29">
        <f>Cours_Hist_figé!E1867/Cours_Hist_figé!E1803 - 1</f>
        <v>-1.4809210277390017E-3</v>
      </c>
    </row>
    <row r="1804" spans="1:5" x14ac:dyDescent="0.4">
      <c r="A1804" s="27">
        <v>44687</v>
      </c>
      <c r="B1804" s="29">
        <f>Cours_Hist_figé!B1868/Cours_Hist_figé!B1804 - 1</f>
        <v>-6.7765211871542719E-2</v>
      </c>
      <c r="C1804" s="29">
        <f>Cours_Hist_figé!C1868/Cours_Hist_figé!C1804 - 1</f>
        <v>-7.9502255126930432E-2</v>
      </c>
      <c r="D1804" s="29">
        <f>Cours_Hist_figé!D1868/Cours_Hist_figé!D1804 - 1</f>
        <v>-1.2637168767075657E-3</v>
      </c>
      <c r="E1804" s="29">
        <f>Cours_Hist_figé!E1868/Cours_Hist_figé!E1804 - 1</f>
        <v>-1.4811170621057412E-3</v>
      </c>
    </row>
    <row r="1805" spans="1:5" x14ac:dyDescent="0.4">
      <c r="A1805" s="27">
        <v>44690</v>
      </c>
      <c r="B1805" s="29">
        <f>Cours_Hist_figé!B1869/Cours_Hist_figé!B1805 - 1</f>
        <v>-8.261604653529997E-2</v>
      </c>
      <c r="C1805" s="29">
        <f>Cours_Hist_figé!C1869/Cours_Hist_figé!C1805 - 1</f>
        <v>-7.2824854631611813E-2</v>
      </c>
      <c r="D1805" s="29">
        <f>Cours_Hist_figé!D1869/Cours_Hist_figé!D1805 - 1</f>
        <v>-1.2916839149218484E-3</v>
      </c>
      <c r="E1805" s="29">
        <f>Cours_Hist_figé!E1869/Cours_Hist_figé!E1805 - 1</f>
        <v>-1.5137904529836099E-3</v>
      </c>
    </row>
    <row r="1806" spans="1:5" x14ac:dyDescent="0.4">
      <c r="A1806" s="27">
        <v>44691</v>
      </c>
      <c r="B1806" s="29">
        <f>Cours_Hist_figé!B1870/Cours_Hist_figé!B1806 - 1</f>
        <v>-8.2450520144621398E-2</v>
      </c>
      <c r="C1806" s="29">
        <f>Cours_Hist_figé!C1870/Cours_Hist_figé!C1806 - 1</f>
        <v>-6.3099676004159333E-2</v>
      </c>
      <c r="D1806" s="29">
        <f>Cours_Hist_figé!D1870/Cours_Hist_figé!D1806 - 1</f>
        <v>-1.2645104103812255E-3</v>
      </c>
      <c r="E1806" s="29">
        <f>Cours_Hist_figé!E1870/Cours_Hist_figé!E1806 - 1</f>
        <v>-1.4819519166706652E-3</v>
      </c>
    </row>
    <row r="1807" spans="1:5" x14ac:dyDescent="0.4">
      <c r="A1807" s="27">
        <v>44692</v>
      </c>
      <c r="B1807" s="29">
        <f>Cours_Hist_figé!B1871/Cours_Hist_figé!B1807 - 1</f>
        <v>-6.6525075749145235E-2</v>
      </c>
      <c r="C1807" s="29">
        <f>Cours_Hist_figé!C1871/Cours_Hist_figé!C1807 - 1</f>
        <v>-5.9391142997749946E-2</v>
      </c>
      <c r="D1807" s="29">
        <f>Cours_Hist_figé!D1871/Cours_Hist_figé!D1807 - 1</f>
        <v>-1.2647146459542347E-3</v>
      </c>
      <c r="E1807" s="29">
        <f>Cours_Hist_figé!E1871/Cours_Hist_figé!E1807 - 1</f>
        <v>-1.4821277153199697E-3</v>
      </c>
    </row>
    <row r="1808" spans="1:5" x14ac:dyDescent="0.4">
      <c r="A1808" s="27">
        <v>44693</v>
      </c>
      <c r="B1808" s="29">
        <f>Cours_Hist_figé!B1872/Cours_Hist_figé!B1808 - 1</f>
        <v>-8.8579419793354375E-2</v>
      </c>
      <c r="C1808" s="29">
        <f>Cours_Hist_figé!C1872/Cours_Hist_figé!C1808 - 1</f>
        <v>-5.4034826325305652E-2</v>
      </c>
      <c r="D1808" s="29">
        <f>Cours_Hist_figé!D1872/Cours_Hist_figé!D1808 - 1</f>
        <v>-1.2650122167511269E-3</v>
      </c>
      <c r="E1808" s="29">
        <f>Cours_Hist_figé!E1872/Cours_Hist_figé!E1808 - 1</f>
        <v>-1.4823945768378533E-3</v>
      </c>
    </row>
    <row r="1809" spans="1:5" x14ac:dyDescent="0.4">
      <c r="A1809" s="27">
        <v>44694</v>
      </c>
      <c r="B1809" s="29">
        <f>Cours_Hist_figé!B1873/Cours_Hist_figé!B1809 - 1</f>
        <v>-6.7130770002565843E-2</v>
      </c>
      <c r="C1809" s="29">
        <f>Cours_Hist_figé!C1873/Cours_Hist_figé!C1809 - 1</f>
        <v>-5.3935781547685635E-2</v>
      </c>
      <c r="D1809" s="29">
        <f>Cours_Hist_figé!D1873/Cours_Hist_figé!D1809 - 1</f>
        <v>-1.2650139703257457E-3</v>
      </c>
      <c r="E1809" s="29">
        <f>Cours_Hist_figé!E1873/Cours_Hist_figé!E1809 - 1</f>
        <v>-1.4823677017583581E-3</v>
      </c>
    </row>
    <row r="1810" spans="1:5" x14ac:dyDescent="0.4">
      <c r="A1810" s="27">
        <v>44697</v>
      </c>
      <c r="B1810" s="29">
        <f>Cours_Hist_figé!B1874/Cours_Hist_figé!B1810 - 1</f>
        <v>-6.1459180849084749E-2</v>
      </c>
      <c r="C1810" s="29">
        <f>Cours_Hist_figé!C1874/Cours_Hist_figé!C1810 - 1</f>
        <v>-5.1447108809480557E-2</v>
      </c>
      <c r="D1810" s="29">
        <f>Cours_Hist_figé!D1874/Cours_Hist_figé!D1810 - 1</f>
        <v>-1.2932871896256248E-3</v>
      </c>
      <c r="E1810" s="29">
        <f>Cours_Hist_figé!E1874/Cours_Hist_figé!E1810 - 1</f>
        <v>-1.5152675242838809E-3</v>
      </c>
    </row>
    <row r="1811" spans="1:5" x14ac:dyDescent="0.4">
      <c r="A1811" s="27">
        <v>44698</v>
      </c>
      <c r="B1811" s="29">
        <f>Cours_Hist_figé!B1875/Cours_Hist_figé!B1811 - 1</f>
        <v>-3.2520377223010377E-2</v>
      </c>
      <c r="C1811" s="29">
        <f>Cours_Hist_figé!C1875/Cours_Hist_figé!C1811 - 1</f>
        <v>-5.7115762121237368E-2</v>
      </c>
      <c r="D1811" s="29">
        <f>Cours_Hist_figé!D1875/Cours_Hist_figé!D1811 - 1</f>
        <v>-1.2661189318562416E-3</v>
      </c>
      <c r="E1811" s="29">
        <f>Cours_Hist_figé!E1875/Cours_Hist_figé!E1811 - 1</f>
        <v>-1.4833950843681221E-3</v>
      </c>
    </row>
    <row r="1812" spans="1:5" x14ac:dyDescent="0.4">
      <c r="A1812" s="27">
        <v>44699</v>
      </c>
      <c r="B1812" s="29">
        <f>Cours_Hist_figé!B1876/Cours_Hist_figé!B1812 - 1</f>
        <v>-5.6763843899429345E-2</v>
      </c>
      <c r="C1812" s="29">
        <f>Cours_Hist_figé!C1876/Cours_Hist_figé!C1812 - 1</f>
        <v>-5.2925382011590472E-2</v>
      </c>
      <c r="D1812" s="29">
        <f>Cours_Hist_figé!D1876/Cours_Hist_figé!D1812 - 1</f>
        <v>-1.2663154202118276E-3</v>
      </c>
      <c r="E1812" s="29">
        <f>Cours_Hist_figé!E1876/Cours_Hist_figé!E1812 - 1</f>
        <v>-1.4835911961676995E-3</v>
      </c>
    </row>
    <row r="1813" spans="1:5" x14ac:dyDescent="0.4">
      <c r="A1813" s="27">
        <v>44700</v>
      </c>
      <c r="B1813" s="29">
        <f>Cours_Hist_figé!B1877/Cours_Hist_figé!B1813 - 1</f>
        <v>-6.996197931775805E-2</v>
      </c>
      <c r="C1813" s="29">
        <f>Cours_Hist_figé!C1877/Cours_Hist_figé!C1813 - 1</f>
        <v>-5.3652827614413701E-2</v>
      </c>
      <c r="D1813" s="29">
        <f>Cours_Hist_figé!D1877/Cours_Hist_figé!D1813 - 1</f>
        <v>-1.2666130510915474E-3</v>
      </c>
      <c r="E1813" s="29">
        <f>Cours_Hist_figé!E1877/Cours_Hist_figé!E1813 - 1</f>
        <v>-1.4838480358149164E-3</v>
      </c>
    </row>
    <row r="1814" spans="1:5" x14ac:dyDescent="0.4">
      <c r="A1814" s="27">
        <v>44701</v>
      </c>
      <c r="B1814" s="29">
        <f>Cours_Hist_figé!B1878/Cours_Hist_figé!B1814 - 1</f>
        <v>-5.7233099523072206E-2</v>
      </c>
      <c r="C1814" s="29">
        <f>Cours_Hist_figé!C1878/Cours_Hist_figé!C1814 - 1</f>
        <v>-5.8047912009500546E-2</v>
      </c>
      <c r="D1814" s="29">
        <f>Cours_Hist_figé!D1878/Cours_Hist_figé!D1814 - 1</f>
        <v>-1.2669106802033481E-3</v>
      </c>
      <c r="E1814" s="29">
        <f>Cours_Hist_figé!E1878/Cours_Hist_figé!E1814 - 1</f>
        <v>-1.484084627801141E-3</v>
      </c>
    </row>
    <row r="1815" spans="1:5" x14ac:dyDescent="0.4">
      <c r="A1815" s="27">
        <v>44704</v>
      </c>
      <c r="B1815" s="29">
        <f>Cours_Hist_figé!B1879/Cours_Hist_figé!B1815 - 1</f>
        <v>-3.7267555148201681E-2</v>
      </c>
      <c r="C1815" s="29">
        <f>Cours_Hist_figé!C1879/Cours_Hist_figé!C1815 - 1</f>
        <v>-6.2499106134065507E-2</v>
      </c>
      <c r="D1815" s="29">
        <f>Cours_Hist_figé!D1879/Cours_Hist_figé!D1815 - 1</f>
        <v>-1.2949764509868622E-3</v>
      </c>
      <c r="E1815" s="29">
        <f>Cours_Hist_figé!E1879/Cours_Hist_figé!E1815 - 1</f>
        <v>-1.5167856230505761E-3</v>
      </c>
    </row>
    <row r="1816" spans="1:5" x14ac:dyDescent="0.4">
      <c r="A1816" s="27">
        <v>44705</v>
      </c>
      <c r="B1816" s="29">
        <f>Cours_Hist_figé!B1880/Cours_Hist_figé!B1816 - 1</f>
        <v>-3.5318777066342122E-2</v>
      </c>
      <c r="C1816" s="29">
        <f>Cours_Hist_figé!C1880/Cours_Hist_figé!C1816 - 1</f>
        <v>-5.8588278936634208E-2</v>
      </c>
      <c r="D1816" s="29">
        <f>Cours_Hist_figé!D1880/Cours_Hist_figé!D1816 - 1</f>
        <v>-1.268007933022175E-3</v>
      </c>
      <c r="E1816" s="29">
        <f>Cours_Hist_figé!E1880/Cours_Hist_figé!E1816 - 1</f>
        <v>-1.4851121452914562E-3</v>
      </c>
    </row>
    <row r="1817" spans="1:5" x14ac:dyDescent="0.4">
      <c r="A1817" s="27">
        <v>44706</v>
      </c>
      <c r="B1817" s="29">
        <f>Cours_Hist_figé!B1881/Cours_Hist_figé!B1817 - 1</f>
        <v>-2.9667958777121806E-2</v>
      </c>
      <c r="C1817" s="29">
        <f>Cours_Hist_figé!C1881/Cours_Hist_figé!C1817 - 1</f>
        <v>-5.5944400745733813E-2</v>
      </c>
      <c r="D1817" s="29">
        <f>Cours_Hist_figé!D1881/Cours_Hist_figé!D1817 - 1</f>
        <v>-1.2683056013746974E-3</v>
      </c>
      <c r="E1817" s="29">
        <f>Cours_Hist_figé!E1881/Cours_Hist_figé!E1817 - 1</f>
        <v>-1.4854197152767146E-3</v>
      </c>
    </row>
    <row r="1818" spans="1:5" x14ac:dyDescent="0.4">
      <c r="A1818" s="27">
        <v>44707</v>
      </c>
      <c r="B1818" s="29">
        <f>Cours_Hist_figé!B1882/Cours_Hist_figé!B1818 - 1</f>
        <v>-1.980117369656742E-2</v>
      </c>
      <c r="C1818" s="29">
        <f>Cours_Hist_figé!C1882/Cours_Hist_figé!C1818 - 1</f>
        <v>-5.9150210402733383E-2</v>
      </c>
      <c r="D1818" s="29">
        <f>Cours_Hist_figé!D1882/Cours_Hist_figé!D1818 - 1</f>
        <v>-1.2686110674523521E-3</v>
      </c>
      <c r="E1818" s="29">
        <f>Cours_Hist_figé!E1882/Cours_Hist_figé!E1818 - 1</f>
        <v>-1.4857475378454721E-3</v>
      </c>
    </row>
    <row r="1819" spans="1:5" x14ac:dyDescent="0.4">
      <c r="A1819" s="27">
        <v>44708</v>
      </c>
      <c r="B1819" s="29">
        <f>Cours_Hist_figé!B1883/Cours_Hist_figé!B1819 - 1</f>
        <v>2.6825182833819072E-2</v>
      </c>
      <c r="C1819" s="29">
        <f>Cours_Hist_figé!C1883/Cours_Hist_figé!C1819 - 1</f>
        <v>-5.9500363448704685E-2</v>
      </c>
      <c r="D1819" s="29">
        <f>Cours_Hist_figé!D1883/Cours_Hist_figé!D1819 - 1</f>
        <v>-1.2690177984987505E-3</v>
      </c>
      <c r="E1819" s="29">
        <f>Cours_Hist_figé!E1883/Cours_Hist_figé!E1819 - 1</f>
        <v>-1.4861463571755884E-3</v>
      </c>
    </row>
    <row r="1820" spans="1:5" x14ac:dyDescent="0.4">
      <c r="A1820" s="27">
        <v>44711</v>
      </c>
      <c r="B1820" s="29">
        <f>Cours_Hist_figé!B1884/Cours_Hist_figé!B1820 - 1</f>
        <v>3.7666738395669697E-4</v>
      </c>
      <c r="C1820" s="29">
        <f>Cours_Hist_figé!C1884/Cours_Hist_figé!C1820 - 1</f>
        <v>-6.1133643595101095E-2</v>
      </c>
      <c r="D1820" s="29">
        <f>Cours_Hist_figé!D1884/Cours_Hist_figé!D1820 - 1</f>
        <v>-1.2970784827948112E-3</v>
      </c>
      <c r="E1820" s="29">
        <f>Cours_Hist_figé!E1884/Cours_Hist_figé!E1820 - 1</f>
        <v>-1.5188409105503231E-3</v>
      </c>
    </row>
    <row r="1821" spans="1:5" x14ac:dyDescent="0.4">
      <c r="A1821" s="27">
        <v>44712</v>
      </c>
      <c r="B1821" s="29">
        <f>Cours_Hist_figé!B1885/Cours_Hist_figé!B1821 - 1</f>
        <v>-5.4464182934411687E-3</v>
      </c>
      <c r="C1821" s="29">
        <f>Cours_Hist_figé!C1885/Cours_Hist_figé!C1821 - 1</f>
        <v>-6.9445013628191887E-2</v>
      </c>
      <c r="D1821" s="29">
        <f>Cours_Hist_figé!D1885/Cours_Hist_figé!D1821 - 1</f>
        <v>-1.2702086240132804E-3</v>
      </c>
      <c r="E1821" s="29">
        <f>Cours_Hist_figé!E1885/Cours_Hist_figé!E1821 - 1</f>
        <v>-1.4872449467316917E-3</v>
      </c>
    </row>
    <row r="1822" spans="1:5" x14ac:dyDescent="0.4">
      <c r="A1822" s="27">
        <v>44713</v>
      </c>
      <c r="B1822" s="29">
        <f>Cours_Hist_figé!B1886/Cours_Hist_figé!B1822 - 1</f>
        <v>8.3627274379618477E-3</v>
      </c>
      <c r="C1822" s="29">
        <f>Cours_Hist_figé!C1886/Cours_Hist_figé!C1822 - 1</f>
        <v>-8.6699174288139003E-2</v>
      </c>
      <c r="D1822" s="29">
        <f>Cours_Hist_figé!D1886/Cours_Hist_figé!D1822 - 1</f>
        <v>-1.2705064793071541E-3</v>
      </c>
      <c r="E1822" s="29">
        <f>Cours_Hist_figé!E1886/Cours_Hist_figé!E1822 - 1</f>
        <v>-1.4875020641025305E-3</v>
      </c>
    </row>
    <row r="1823" spans="1:5" x14ac:dyDescent="0.4">
      <c r="A1823" s="27">
        <v>44718</v>
      </c>
      <c r="B1823" s="29">
        <f>Cours_Hist_figé!B1887/Cours_Hist_figé!B1823 - 1</f>
        <v>1.1452203074991507E-2</v>
      </c>
      <c r="C1823" s="29">
        <f>Cours_Hist_figé!C1887/Cours_Hist_figé!C1823 - 1</f>
        <v>-9.1847790933944018E-2</v>
      </c>
      <c r="D1823" s="29">
        <f>Cours_Hist_figé!D1887/Cours_Hist_figé!D1823 - 1</f>
        <v>-1.3262406156699935E-3</v>
      </c>
      <c r="E1823" s="29">
        <f>Cours_Hist_figé!E1887/Cours_Hist_figé!E1823 - 1</f>
        <v>-1.5527104673674907E-3</v>
      </c>
    </row>
    <row r="1824" spans="1:5" x14ac:dyDescent="0.4">
      <c r="A1824" s="27">
        <v>44719</v>
      </c>
      <c r="B1824" s="29">
        <f>Cours_Hist_figé!B1888/Cours_Hist_figé!B1824 - 1</f>
        <v>2.9367955159594228E-2</v>
      </c>
      <c r="C1824" s="29">
        <f>Cours_Hist_figé!C1888/Cours_Hist_figé!C1824 - 1</f>
        <v>-8.742091442107891E-2</v>
      </c>
      <c r="D1824" s="29">
        <f>Cours_Hist_figé!D1888/Cours_Hist_figé!D1824 - 1</f>
        <v>-1.3265392469564707E-3</v>
      </c>
      <c r="E1824" s="29">
        <f>Cours_Hist_figé!E1888/Cours_Hist_figé!E1824 - 1</f>
        <v>-1.5530395329733659E-3</v>
      </c>
    </row>
    <row r="1825" spans="1:5" x14ac:dyDescent="0.4">
      <c r="A1825" s="27">
        <v>44720</v>
      </c>
      <c r="B1825" s="29">
        <f>Cours_Hist_figé!B1889/Cours_Hist_figé!B1825 - 1</f>
        <v>6.1241183783972142E-2</v>
      </c>
      <c r="C1825" s="29">
        <f>Cours_Hist_figé!C1889/Cours_Hist_figé!C1825 - 1</f>
        <v>-9.6268164496599029E-2</v>
      </c>
      <c r="D1825" s="29">
        <f>Cours_Hist_figé!D1889/Cours_Hist_figé!D1825 - 1</f>
        <v>-1.3266431114697941E-3</v>
      </c>
      <c r="E1825" s="29">
        <f>Cours_Hist_figé!E1889/Cours_Hist_figé!E1825 - 1</f>
        <v>-1.553155744873802E-3</v>
      </c>
    </row>
    <row r="1826" spans="1:5" x14ac:dyDescent="0.4">
      <c r="A1826" s="27">
        <v>44721</v>
      </c>
      <c r="B1826" s="29">
        <f>Cours_Hist_figé!B1890/Cours_Hist_figé!B1826 - 1</f>
        <v>5.8344409362196981E-2</v>
      </c>
      <c r="C1826" s="29">
        <f>Cours_Hist_figé!C1890/Cours_Hist_figé!C1826 - 1</f>
        <v>-9.9743558955054268E-2</v>
      </c>
      <c r="D1826" s="29">
        <f>Cours_Hist_figé!D1890/Cours_Hist_figé!D1826 - 1</f>
        <v>-1.2994760889551982E-3</v>
      </c>
      <c r="E1826" s="29">
        <f>Cours_Hist_figé!E1890/Cours_Hist_figé!E1826 - 1</f>
        <v>-1.521284390973543E-3</v>
      </c>
    </row>
    <row r="1827" spans="1:5" x14ac:dyDescent="0.4">
      <c r="A1827" s="27">
        <v>44722</v>
      </c>
      <c r="B1827" s="29">
        <f>Cours_Hist_figé!B1891/Cours_Hist_figé!B1827 - 1</f>
        <v>3.5207094658756155E-2</v>
      </c>
      <c r="C1827" s="29">
        <f>Cours_Hist_figé!C1891/Cours_Hist_figé!C1827 - 1</f>
        <v>-9.948911422078377E-2</v>
      </c>
      <c r="D1827" s="29">
        <f>Cours_Hist_figé!D1891/Cours_Hist_figé!D1827 - 1</f>
        <v>-1.2995718075908824E-3</v>
      </c>
      <c r="E1827" s="29">
        <f>Cours_Hist_figé!E1891/Cours_Hist_figé!E1827 - 1</f>
        <v>-1.5213595609637753E-3</v>
      </c>
    </row>
    <row r="1828" spans="1:5" x14ac:dyDescent="0.4">
      <c r="A1828" s="27">
        <v>44725</v>
      </c>
      <c r="B1828" s="29">
        <f>Cours_Hist_figé!B1892/Cours_Hist_figé!B1828 - 1</f>
        <v>-3.3439627520508552E-2</v>
      </c>
      <c r="C1828" s="29">
        <f>Cours_Hist_figé!C1892/Cours_Hist_figé!C1828 - 1</f>
        <v>-0.10588568738113091</v>
      </c>
      <c r="D1828" s="29">
        <f>Cours_Hist_figé!D1892/Cours_Hist_figé!D1828 - 1</f>
        <v>-1.3271389999608418E-3</v>
      </c>
      <c r="E1828" s="29">
        <f>Cours_Hist_figé!E1892/Cours_Hist_figé!E1828 - 1</f>
        <v>-1.5536453915285797E-3</v>
      </c>
    </row>
    <row r="1829" spans="1:5" x14ac:dyDescent="0.4">
      <c r="A1829" s="27">
        <v>44726</v>
      </c>
      <c r="B1829" s="29">
        <f>Cours_Hist_figé!B1893/Cours_Hist_figé!B1829 - 1</f>
        <v>-2.9529114535411627E-2</v>
      </c>
      <c r="C1829" s="29">
        <f>Cours_Hist_figé!C1893/Cours_Hist_figé!C1829 - 1</f>
        <v>-0.10670173686358764</v>
      </c>
      <c r="D1829" s="29">
        <f>Cours_Hist_figé!D1893/Cours_Hist_figé!D1829 - 1</f>
        <v>-1.3271415952983423E-3</v>
      </c>
      <c r="E1829" s="29">
        <f>Cours_Hist_figé!E1893/Cours_Hist_figé!E1829 - 1</f>
        <v>-1.5536501440485129E-3</v>
      </c>
    </row>
    <row r="1830" spans="1:5" x14ac:dyDescent="0.4">
      <c r="A1830" s="27">
        <v>44727</v>
      </c>
      <c r="B1830" s="29">
        <f>Cours_Hist_figé!B1894/Cours_Hist_figé!B1830 - 1</f>
        <v>-2.4961911820230442E-2</v>
      </c>
      <c r="C1830" s="29">
        <f>Cours_Hist_figé!C1894/Cours_Hist_figé!C1830 - 1</f>
        <v>-9.8175158279078301E-2</v>
      </c>
      <c r="D1830" s="29">
        <f>Cours_Hist_figé!D1894/Cours_Hist_figé!D1830 - 1</f>
        <v>-1.3272375625900112E-3</v>
      </c>
      <c r="E1830" s="29">
        <f>Cours_Hist_figé!E1894/Cours_Hist_figé!E1830 - 1</f>
        <v>-1.553705418608553E-3</v>
      </c>
    </row>
    <row r="1831" spans="1:5" x14ac:dyDescent="0.4">
      <c r="A1831" s="27">
        <v>44728</v>
      </c>
      <c r="B1831" s="29">
        <f>Cours_Hist_figé!B1895/Cours_Hist_figé!B1831 - 1</f>
        <v>-5.900498894777495E-2</v>
      </c>
      <c r="C1831" s="29">
        <f>Cours_Hist_figé!C1895/Cours_Hist_figé!C1831 - 1</f>
        <v>-9.5956748970563832E-2</v>
      </c>
      <c r="D1831" s="29">
        <f>Cours_Hist_figé!D1895/Cours_Hist_figé!D1831 - 1</f>
        <v>-1.2999744542966374E-3</v>
      </c>
      <c r="E1831" s="29">
        <f>Cours_Hist_figé!E1895/Cours_Hist_figé!E1831 - 1</f>
        <v>-1.5217798119550041E-3</v>
      </c>
    </row>
    <row r="1832" spans="1:5" x14ac:dyDescent="0.4">
      <c r="A1832" s="27">
        <v>44729</v>
      </c>
      <c r="B1832" s="29">
        <f>Cours_Hist_figé!B1896/Cours_Hist_figé!B1832 - 1</f>
        <v>-5.6848160076203968E-2</v>
      </c>
      <c r="C1832" s="29">
        <f>Cours_Hist_figé!C1896/Cours_Hist_figé!C1832 - 1</f>
        <v>-9.558575892785548E-2</v>
      </c>
      <c r="D1832" s="29">
        <f>Cours_Hist_figé!D1896/Cours_Hist_figé!D1832 - 1</f>
        <v>-1.3000779705503174E-3</v>
      </c>
      <c r="E1832" s="29">
        <f>Cours_Hist_figé!E1896/Cours_Hist_figé!E1832 - 1</f>
        <v>-1.52192586812816E-3</v>
      </c>
    </row>
    <row r="1833" spans="1:5" x14ac:dyDescent="0.4">
      <c r="A1833" s="27">
        <v>44732</v>
      </c>
      <c r="B1833" s="29">
        <f>Cours_Hist_figé!B1897/Cours_Hist_figé!B1833 - 1</f>
        <v>-7.5080023555203157E-2</v>
      </c>
      <c r="C1833" s="29">
        <f>Cours_Hist_figé!C1897/Cours_Hist_figé!C1833 - 1</f>
        <v>-9.7706339668376385E-2</v>
      </c>
      <c r="D1833" s="29">
        <f>Cours_Hist_figé!D1897/Cours_Hist_figé!D1833 - 1</f>
        <v>-1.3278346885901016E-3</v>
      </c>
      <c r="E1833" s="29">
        <f>Cours_Hist_figé!E1897/Cours_Hist_figé!E1833 - 1</f>
        <v>-1.554458437903028E-3</v>
      </c>
    </row>
    <row r="1834" spans="1:5" x14ac:dyDescent="0.4">
      <c r="A1834" s="27">
        <v>44733</v>
      </c>
      <c r="B1834" s="29">
        <f>Cours_Hist_figé!B1898/Cours_Hist_figé!B1834 - 1</f>
        <v>-7.6725721584985918E-2</v>
      </c>
      <c r="C1834" s="29">
        <f>Cours_Hist_figé!C1898/Cours_Hist_figé!C1834 - 1</f>
        <v>-0.10000603323923052</v>
      </c>
      <c r="D1834" s="29">
        <f>Cours_Hist_figé!D1898/Cours_Hist_figé!D1834 - 1</f>
        <v>-1.3279385893075757E-3</v>
      </c>
      <c r="E1834" s="29">
        <f>Cours_Hist_figé!E1898/Cours_Hist_figé!E1834 - 1</f>
        <v>-1.5545644780281531E-3</v>
      </c>
    </row>
    <row r="1835" spans="1:5" x14ac:dyDescent="0.4">
      <c r="A1835" s="27">
        <v>44734</v>
      </c>
      <c r="B1835" s="29">
        <f>Cours_Hist_figé!B1899/Cours_Hist_figé!B1835 - 1</f>
        <v>-9.1380047343824655E-2</v>
      </c>
      <c r="C1835" s="29">
        <f>Cours_Hist_figé!C1899/Cours_Hist_figé!C1835 - 1</f>
        <v>-9.3197411398107777E-2</v>
      </c>
      <c r="D1835" s="29">
        <f>Cours_Hist_figé!D1899/Cours_Hist_figé!D1835 - 1</f>
        <v>-1.3280424928715506E-3</v>
      </c>
      <c r="E1835" s="29">
        <f>Cours_Hist_figé!E1899/Cours_Hist_figé!E1835 - 1</f>
        <v>-1.5546806932525969E-3</v>
      </c>
    </row>
    <row r="1836" spans="1:5" x14ac:dyDescent="0.4">
      <c r="A1836" s="27">
        <v>44735</v>
      </c>
      <c r="B1836" s="29">
        <f>Cours_Hist_figé!B1900/Cours_Hist_figé!B1836 - 1</f>
        <v>-9.9234936499621673E-2</v>
      </c>
      <c r="C1836" s="29">
        <f>Cours_Hist_figé!C1900/Cours_Hist_figé!C1836 - 1</f>
        <v>-7.7594014268095202E-2</v>
      </c>
      <c r="D1836" s="29">
        <f>Cours_Hist_figé!D1900/Cours_Hist_figé!D1836 - 1</f>
        <v>-1.3006678465551369E-3</v>
      </c>
      <c r="E1836" s="29">
        <f>Cours_Hist_figé!E1900/Cours_Hist_figé!E1836 - 1</f>
        <v>-1.5226401146916091E-3</v>
      </c>
    </row>
    <row r="1837" spans="1:5" x14ac:dyDescent="0.4">
      <c r="A1837" s="27">
        <v>44736</v>
      </c>
      <c r="B1837" s="29">
        <f>Cours_Hist_figé!B1901/Cours_Hist_figé!B1837 - 1</f>
        <v>-8.3188116725678718E-2</v>
      </c>
      <c r="C1837" s="29">
        <f>Cours_Hist_figé!C1901/Cours_Hist_figé!C1837 - 1</f>
        <v>-7.5050557154034525E-2</v>
      </c>
      <c r="D1837" s="29">
        <f>Cours_Hist_figé!D1901/Cours_Hist_figé!D1837 - 1</f>
        <v>-1.300670079684485E-3</v>
      </c>
      <c r="E1837" s="29">
        <f>Cours_Hist_figé!E1901/Cours_Hist_figé!E1837 - 1</f>
        <v>-1.5226442758690117E-3</v>
      </c>
    </row>
    <row r="1838" spans="1:5" x14ac:dyDescent="0.4">
      <c r="A1838" s="27">
        <v>44739</v>
      </c>
      <c r="B1838" s="29">
        <f>Cours_Hist_figé!B1902/Cours_Hist_figé!B1838 - 1</f>
        <v>-6.9266319360945849E-2</v>
      </c>
      <c r="C1838" s="29">
        <f>Cours_Hist_figé!C1902/Cours_Hist_figé!C1838 - 1</f>
        <v>-8.2289199692625492E-2</v>
      </c>
      <c r="D1838" s="29">
        <f>Cours_Hist_figé!D1902/Cours_Hist_figé!D1838 - 1</f>
        <v>-1.3281334702016645E-3</v>
      </c>
      <c r="E1838" s="29">
        <f>Cours_Hist_figé!E1902/Cours_Hist_figé!E1838 - 1</f>
        <v>-1.5548663585139844E-3</v>
      </c>
    </row>
    <row r="1839" spans="1:5" x14ac:dyDescent="0.4">
      <c r="A1839" s="27">
        <v>44740</v>
      </c>
      <c r="B1839" s="29">
        <f>Cours_Hist_figé!B1903/Cours_Hist_figé!B1839 - 1</f>
        <v>-6.5100016204245548E-2</v>
      </c>
      <c r="C1839" s="29">
        <f>Cours_Hist_figé!C1903/Cours_Hist_figé!C1839 - 1</f>
        <v>-8.5705302491159374E-2</v>
      </c>
      <c r="D1839" s="29">
        <f>Cours_Hist_figé!D1903/Cours_Hist_figé!D1839 - 1</f>
        <v>-1.3281360796602026E-3</v>
      </c>
      <c r="E1839" s="29">
        <f>Cours_Hist_figé!E1903/Cours_Hist_figé!E1839 - 1</f>
        <v>-1.5549014606069944E-3</v>
      </c>
    </row>
    <row r="1840" spans="1:5" x14ac:dyDescent="0.4">
      <c r="A1840" s="27">
        <v>44741</v>
      </c>
      <c r="B1840" s="29">
        <f>Cours_Hist_figé!B1904/Cours_Hist_figé!B1840 - 1</f>
        <v>-7.1191074450921543E-2</v>
      </c>
      <c r="C1840" s="29">
        <f>Cours_Hist_figé!C1904/Cours_Hist_figé!C1840 - 1</f>
        <v>-7.6742079230227467E-2</v>
      </c>
      <c r="D1840" s="29">
        <f>Cours_Hist_figé!D1904/Cours_Hist_figé!D1840 - 1</f>
        <v>-1.3282399958948199E-3</v>
      </c>
      <c r="E1840" s="29">
        <f>Cours_Hist_figé!E1904/Cours_Hist_figé!E1840 - 1</f>
        <v>-1.554956893754067E-3</v>
      </c>
    </row>
    <row r="1841" spans="1:5" x14ac:dyDescent="0.4">
      <c r="A1841" s="27">
        <v>44742</v>
      </c>
      <c r="B1841" s="29">
        <f>Cours_Hist_figé!B1905/Cours_Hist_figé!B1841 - 1</f>
        <v>-8.6435634245924708E-2</v>
      </c>
      <c r="C1841" s="29">
        <f>Cours_Hist_figé!C1905/Cours_Hist_figé!C1841 - 1</f>
        <v>-6.9874336753126376E-2</v>
      </c>
      <c r="D1841" s="29">
        <f>Cours_Hist_figé!D1905/Cours_Hist_figé!D1841 - 1</f>
        <v>-1.3006681570018053E-3</v>
      </c>
      <c r="E1841" s="29">
        <f>Cours_Hist_figé!E1905/Cours_Hist_figé!E1841 - 1</f>
        <v>-1.522639268172421E-3</v>
      </c>
    </row>
    <row r="1842" spans="1:5" x14ac:dyDescent="0.4">
      <c r="A1842" s="27">
        <v>44743</v>
      </c>
      <c r="B1842" s="29">
        <f>Cours_Hist_figé!B1906/Cours_Hist_figé!B1842 - 1</f>
        <v>-0.1016766734414617</v>
      </c>
      <c r="C1842" s="29">
        <f>Cours_Hist_figé!C1906/Cours_Hist_figé!C1842 - 1</f>
        <v>-5.6564810329630122E-2</v>
      </c>
      <c r="D1842" s="29">
        <f>Cours_Hist_figé!D1906/Cours_Hist_figé!D1842 - 1</f>
        <v>-1.3010678462054281E-3</v>
      </c>
      <c r="E1842" s="29">
        <f>Cours_Hist_figé!E1906/Cours_Hist_figé!E1842 - 1</f>
        <v>-1.5229477813889503E-3</v>
      </c>
    </row>
    <row r="1843" spans="1:5" x14ac:dyDescent="0.4">
      <c r="A1843" s="27">
        <v>44746</v>
      </c>
      <c r="B1843" s="29">
        <f>Cours_Hist_figé!B1907/Cours_Hist_figé!B1843 - 1</f>
        <v>-9.2687987445934983E-2</v>
      </c>
      <c r="C1843" s="29">
        <f>Cours_Hist_figé!C1907/Cours_Hist_figé!C1843 - 1</f>
        <v>-6.3697712457939648E-2</v>
      </c>
      <c r="D1843" s="29">
        <f>Cours_Hist_figé!D1907/Cours_Hist_figé!D1843 - 1</f>
        <v>-1.328533881615801E-3</v>
      </c>
      <c r="E1843" s="29">
        <f>Cours_Hist_figé!E1907/Cours_Hist_figé!E1843 - 1</f>
        <v>-1.555153233141815E-3</v>
      </c>
    </row>
    <row r="1844" spans="1:5" x14ac:dyDescent="0.4">
      <c r="A1844" s="27">
        <v>44747</v>
      </c>
      <c r="B1844" s="29">
        <f>Cours_Hist_figé!B1908/Cours_Hist_figé!B1844 - 1</f>
        <v>-0.10343546769896017</v>
      </c>
      <c r="C1844" s="29">
        <f>Cours_Hist_figé!C1908/Cours_Hist_figé!C1844 - 1</f>
        <v>-6.1131348277438824E-2</v>
      </c>
      <c r="D1844" s="29">
        <f>Cours_Hist_figé!D1908/Cours_Hist_figé!D1844 - 1</f>
        <v>-1.3285364968111946E-3</v>
      </c>
      <c r="E1844" s="29">
        <f>Cours_Hist_figé!E1908/Cours_Hist_figé!E1844 - 1</f>
        <v>-1.5551782488277821E-3</v>
      </c>
    </row>
    <row r="1845" spans="1:5" x14ac:dyDescent="0.4">
      <c r="A1845" s="27">
        <v>44748</v>
      </c>
      <c r="B1845" s="29">
        <f>Cours_Hist_figé!B1909/Cours_Hist_figé!B1845 - 1</f>
        <v>-9.3886377417251921E-2</v>
      </c>
      <c r="C1845" s="29">
        <f>Cours_Hist_figé!C1909/Cours_Hist_figé!C1845 - 1</f>
        <v>-5.5484843283679752E-2</v>
      </c>
      <c r="D1845" s="29">
        <f>Cours_Hist_figé!D1909/Cours_Hist_figé!D1845 - 1</f>
        <v>-1.3281343742099772E-3</v>
      </c>
      <c r="E1845" s="29">
        <f>Cours_Hist_figé!E1909/Cours_Hist_figé!E1845 - 1</f>
        <v>-1.5548184513289875E-3</v>
      </c>
    </row>
    <row r="1846" spans="1:5" x14ac:dyDescent="0.4">
      <c r="A1846" s="27">
        <v>44749</v>
      </c>
      <c r="B1846" s="29">
        <f>Cours_Hist_figé!B1910/Cours_Hist_figé!B1846 - 1</f>
        <v>-8.454124608386393E-2</v>
      </c>
      <c r="C1846" s="29">
        <f>Cours_Hist_figé!C1910/Cours_Hist_figé!C1846 - 1</f>
        <v>-6.376933421005071E-2</v>
      </c>
      <c r="D1846" s="29">
        <f>Cours_Hist_figé!D1910/Cours_Hist_figé!D1846 - 1</f>
        <v>-1.3004742587028328E-3</v>
      </c>
      <c r="E1846" s="29">
        <f>Cours_Hist_figé!E1910/Cours_Hist_figé!E1846 - 1</f>
        <v>-1.5224769991378784E-3</v>
      </c>
    </row>
    <row r="1847" spans="1:5" x14ac:dyDescent="0.4">
      <c r="A1847" s="27">
        <v>44750</v>
      </c>
      <c r="B1847" s="29">
        <f>Cours_Hist_figé!B1911/Cours_Hist_figé!B1847 - 1</f>
        <v>-8.1461538000882738E-2</v>
      </c>
      <c r="C1847" s="29">
        <f>Cours_Hist_figé!C1911/Cours_Hist_figé!C1847 - 1</f>
        <v>-5.7196671483382366E-2</v>
      </c>
      <c r="D1847" s="29">
        <f>Cours_Hist_figé!D1911/Cours_Hist_figé!D1847 - 1</f>
        <v>-1.300266314967935E-3</v>
      </c>
      <c r="E1847" s="29">
        <f>Cours_Hist_figé!E1911/Cours_Hist_figé!E1847 - 1</f>
        <v>-1.5223090191049948E-3</v>
      </c>
    </row>
    <row r="1848" spans="1:5" x14ac:dyDescent="0.4">
      <c r="A1848" s="27">
        <v>44753</v>
      </c>
      <c r="B1848" s="29">
        <f>Cours_Hist_figé!B1912/Cours_Hist_figé!B1848 - 1</f>
        <v>-7.2495722689457032E-2</v>
      </c>
      <c r="C1848" s="29">
        <f>Cours_Hist_figé!C1912/Cours_Hist_figé!C1848 - 1</f>
        <v>-4.9432956797241356E-2</v>
      </c>
      <c r="D1848" s="29">
        <f>Cours_Hist_figé!D1912/Cours_Hist_figé!D1848 - 1</f>
        <v>-1.3275326101283014E-3</v>
      </c>
      <c r="E1848" s="29">
        <f>Cours_Hist_figé!E1912/Cours_Hist_figé!E1848 - 1</f>
        <v>-1.5542344159542587E-3</v>
      </c>
    </row>
    <row r="1849" spans="1:5" x14ac:dyDescent="0.4">
      <c r="A1849" s="27">
        <v>44754</v>
      </c>
      <c r="B1849" s="29">
        <f>Cours_Hist_figé!B1913/Cours_Hist_figé!B1849 - 1</f>
        <v>-6.6509376383762642E-2</v>
      </c>
      <c r="C1849" s="29">
        <f>Cours_Hist_figé!C1913/Cours_Hist_figé!C1849 - 1</f>
        <v>-4.012480281803521E-2</v>
      </c>
      <c r="D1849" s="29">
        <f>Cours_Hist_figé!D1913/Cours_Hist_figé!D1849 - 1</f>
        <v>-1.3273406149564293E-3</v>
      </c>
      <c r="E1849" s="29">
        <f>Cours_Hist_figé!E1913/Cours_Hist_figé!E1849 - 1</f>
        <v>-1.5541277598815073E-3</v>
      </c>
    </row>
    <row r="1850" spans="1:5" x14ac:dyDescent="0.4">
      <c r="A1850" s="27">
        <v>44755</v>
      </c>
      <c r="B1850" s="29">
        <f>Cours_Hist_figé!B1914/Cours_Hist_figé!B1850 - 1</f>
        <v>-8.8493047370810873E-2</v>
      </c>
      <c r="C1850" s="29">
        <f>Cours_Hist_figé!C1914/Cours_Hist_figé!C1850 - 1</f>
        <v>-4.1092204531109733E-2</v>
      </c>
      <c r="D1850" s="29">
        <f>Cours_Hist_figé!D1914/Cours_Hist_figé!D1850 - 1</f>
        <v>-1.3272342279555538E-3</v>
      </c>
      <c r="E1850" s="29">
        <f>Cours_Hist_figé!E1914/Cours_Hist_figé!E1850 - 1</f>
        <v>-1.5540717395716719E-3</v>
      </c>
    </row>
    <row r="1851" spans="1:5" x14ac:dyDescent="0.4">
      <c r="A1851" s="27">
        <v>44756</v>
      </c>
      <c r="B1851" s="29">
        <f>Cours_Hist_figé!B1915/Cours_Hist_figé!B1851 - 1</f>
        <v>-9.743415903351027E-2</v>
      </c>
      <c r="C1851" s="29">
        <f>Cours_Hist_figé!C1915/Cours_Hist_figé!C1851 - 1</f>
        <v>-3.9316896403456925E-2</v>
      </c>
      <c r="D1851" s="29">
        <f>Cours_Hist_figé!D1915/Cours_Hist_figé!D1851 - 1</f>
        <v>-1.2995715161667754E-3</v>
      </c>
      <c r="E1851" s="29">
        <f>Cours_Hist_figé!E1915/Cours_Hist_figé!E1851 - 1</f>
        <v>-1.5216658415118101E-3</v>
      </c>
    </row>
    <row r="1852" spans="1:5" x14ac:dyDescent="0.4">
      <c r="A1852" s="27">
        <v>44757</v>
      </c>
      <c r="B1852" s="29">
        <f>Cours_Hist_figé!B1916/Cours_Hist_figé!B1852 - 1</f>
        <v>-7.8209565680551485E-2</v>
      </c>
      <c r="C1852" s="29">
        <f>Cours_Hist_figé!C1916/Cours_Hist_figé!C1852 - 1</f>
        <v>-3.6899581001591075E-2</v>
      </c>
      <c r="D1852" s="29">
        <f>Cours_Hist_figé!D1916/Cours_Hist_figé!D1852 - 1</f>
        <v>-1.2994726663826395E-3</v>
      </c>
      <c r="E1852" s="29">
        <f>Cours_Hist_figé!E1916/Cours_Hist_figé!E1852 - 1</f>
        <v>-1.5216195141093403E-3</v>
      </c>
    </row>
    <row r="1853" spans="1:5" x14ac:dyDescent="0.4">
      <c r="A1853" s="27">
        <v>44760</v>
      </c>
      <c r="B1853" s="29">
        <f>Cours_Hist_figé!B1917/Cours_Hist_figé!B1853 - 1</f>
        <v>-7.0118445292904341E-2</v>
      </c>
      <c r="C1853" s="29">
        <f>Cours_Hist_figé!C1917/Cours_Hist_figé!C1853 - 1</f>
        <v>-4.2752696474676055E-2</v>
      </c>
      <c r="D1853" s="29">
        <f>Cours_Hist_figé!D1917/Cours_Hist_figé!D1853 - 1</f>
        <v>-1.3270376661609351E-3</v>
      </c>
      <c r="E1853" s="29">
        <f>Cours_Hist_figé!E1917/Cours_Hist_figé!E1853 - 1</f>
        <v>-1.5538730027178094E-3</v>
      </c>
    </row>
    <row r="1854" spans="1:5" x14ac:dyDescent="0.4">
      <c r="A1854" s="27">
        <v>44761</v>
      </c>
      <c r="B1854" s="29">
        <f>Cours_Hist_figé!B1918/Cours_Hist_figé!B1854 - 1</f>
        <v>-6.3469222979929629E-2</v>
      </c>
      <c r="C1854" s="29">
        <f>Cours_Hist_figé!C1918/Cours_Hist_figé!C1854 - 1</f>
        <v>-4.0605669368618091E-2</v>
      </c>
      <c r="D1854" s="29">
        <f>Cours_Hist_figé!D1918/Cours_Hist_figé!D1854 - 1</f>
        <v>-1.3269391852460677E-3</v>
      </c>
      <c r="E1854" s="29">
        <f>Cours_Hist_figé!E1918/Cours_Hist_figé!E1854 - 1</f>
        <v>-1.5537968097584232E-3</v>
      </c>
    </row>
    <row r="1855" spans="1:5" x14ac:dyDescent="0.4">
      <c r="A1855" s="27">
        <v>44762</v>
      </c>
      <c r="B1855" s="29">
        <f>Cours_Hist_figé!B1919/Cours_Hist_figé!B1855 - 1</f>
        <v>-5.9321822535130964E-2</v>
      </c>
      <c r="C1855" s="29">
        <f>Cours_Hist_figé!C1919/Cours_Hist_figé!C1855 - 1</f>
        <v>-3.4851273936057803E-2</v>
      </c>
      <c r="D1855" s="29">
        <f>Cours_Hist_figé!D1919/Cours_Hist_figé!D1855 - 1</f>
        <v>-1.271207822206466E-3</v>
      </c>
      <c r="E1855" s="29">
        <f>Cours_Hist_figé!E1919/Cours_Hist_figé!E1855 - 1</f>
        <v>-1.4886882318665418E-3</v>
      </c>
    </row>
    <row r="1856" spans="1:5" x14ac:dyDescent="0.4">
      <c r="A1856" s="27">
        <v>44763</v>
      </c>
      <c r="B1856" s="29">
        <f>Cours_Hist_figé!B1920/Cours_Hist_figé!B1856 - 1</f>
        <v>-6.304789022720414E-2</v>
      </c>
      <c r="C1856" s="29">
        <f>Cours_Hist_figé!C1920/Cours_Hist_figé!C1856 - 1</f>
        <v>-3.7038820240789083E-2</v>
      </c>
      <c r="D1856" s="29">
        <f>Cours_Hist_figé!D1920/Cours_Hist_figé!D1856 - 1</f>
        <v>-1.271310985741958E-3</v>
      </c>
      <c r="E1856" s="29">
        <f>Cours_Hist_figé!E1920/Cours_Hist_figé!E1856 - 1</f>
        <v>-1.4887527987352822E-3</v>
      </c>
    </row>
    <row r="1857" spans="1:5" x14ac:dyDescent="0.4">
      <c r="A1857" s="27">
        <v>44764</v>
      </c>
      <c r="B1857" s="29">
        <f>Cours_Hist_figé!B1921/Cours_Hist_figé!B1857 - 1</f>
        <v>-6.3195966070954568E-2</v>
      </c>
      <c r="C1857" s="29">
        <f>Cours_Hist_figé!C1921/Cours_Hist_figé!C1857 - 1</f>
        <v>-2.233443387065448E-2</v>
      </c>
      <c r="D1857" s="29">
        <f>Cours_Hist_figé!D1921/Cours_Hist_figé!D1857 - 1</f>
        <v>-1.2714064951309112E-3</v>
      </c>
      <c r="E1857" s="29">
        <f>Cours_Hist_figé!E1921/Cours_Hist_figé!E1857 - 1</f>
        <v>-1.4887769055342837E-3</v>
      </c>
    </row>
    <row r="1858" spans="1:5" x14ac:dyDescent="0.4">
      <c r="A1858" s="27">
        <v>44767</v>
      </c>
      <c r="B1858" s="29">
        <f>Cours_Hist_figé!B1922/Cours_Hist_figé!B1858 - 1</f>
        <v>-4.526271024780093E-2</v>
      </c>
      <c r="C1858" s="29">
        <f>Cours_Hist_figé!C1922/Cours_Hist_figé!C1858 - 1</f>
        <v>-1.714198348792173E-2</v>
      </c>
      <c r="D1858" s="29">
        <f>Cours_Hist_figé!D1922/Cours_Hist_figé!D1858 - 1</f>
        <v>-1.2988733337379044E-3</v>
      </c>
      <c r="E1858" s="29">
        <f>Cours_Hist_figé!E1922/Cours_Hist_figé!E1858 - 1</f>
        <v>-1.5209737933506995E-3</v>
      </c>
    </row>
    <row r="1859" spans="1:5" x14ac:dyDescent="0.4">
      <c r="A1859" s="27">
        <v>44768</v>
      </c>
      <c r="B1859" s="29">
        <f>Cours_Hist_figé!B1923/Cours_Hist_figé!B1859 - 1</f>
        <v>-2.7569181214482263E-2</v>
      </c>
      <c r="C1859" s="29">
        <f>Cours_Hist_figé!C1923/Cours_Hist_figé!C1859 - 1</f>
        <v>-1.7919663009283715E-2</v>
      </c>
      <c r="D1859" s="29">
        <f>Cours_Hist_figé!D1923/Cours_Hist_figé!D1859 - 1</f>
        <v>-1.2712118608083633E-3</v>
      </c>
      <c r="E1859" s="29">
        <f>Cours_Hist_figé!E1923/Cours_Hist_figé!E1859 - 1</f>
        <v>-1.4886299325446162E-3</v>
      </c>
    </row>
    <row r="1860" spans="1:5" x14ac:dyDescent="0.4">
      <c r="A1860" s="27">
        <v>44769</v>
      </c>
      <c r="B1860" s="29">
        <f>Cours_Hist_figé!B1924/Cours_Hist_figé!B1860 - 1</f>
        <v>-1.5094322954759321E-2</v>
      </c>
      <c r="C1860" s="29">
        <f>Cours_Hist_figé!C1924/Cours_Hist_figé!C1860 - 1</f>
        <v>-2.0671920324732307E-2</v>
      </c>
      <c r="D1860" s="29">
        <f>Cours_Hist_figé!D1924/Cours_Hist_figé!D1860 - 1</f>
        <v>-1.2711047912074003E-3</v>
      </c>
      <c r="E1860" s="29">
        <f>Cours_Hist_figé!E1924/Cours_Hist_figé!E1860 - 1</f>
        <v>-1.488522209412424E-3</v>
      </c>
    </row>
    <row r="1861" spans="1:5" x14ac:dyDescent="0.4">
      <c r="A1861" s="27">
        <v>44770</v>
      </c>
      <c r="B1861" s="29">
        <f>Cours_Hist_figé!B1925/Cours_Hist_figé!B1861 - 1</f>
        <v>-1.3033461728034434E-2</v>
      </c>
      <c r="C1861" s="29">
        <f>Cours_Hist_figé!C1925/Cours_Hist_figé!C1861 - 1</f>
        <v>-1.0105282091106838E-2</v>
      </c>
      <c r="D1861" s="29">
        <f>Cours_Hist_figé!D1925/Cours_Hist_figé!D1861 - 1</f>
        <v>-1.2573227335161974E-3</v>
      </c>
      <c r="E1861" s="29">
        <f>Cours_Hist_figé!E1925/Cours_Hist_figé!E1861 - 1</f>
        <v>-1.4747467103600753E-3</v>
      </c>
    </row>
    <row r="1862" spans="1:5" x14ac:dyDescent="0.4">
      <c r="A1862" s="27">
        <v>44771</v>
      </c>
      <c r="B1862" s="29">
        <f>Cours_Hist_figé!B1926/Cours_Hist_figé!B1862 - 1</f>
        <v>-7.4159512228738622E-3</v>
      </c>
      <c r="C1862" s="29">
        <f>Cours_Hist_figé!C1926/Cours_Hist_figé!C1862 - 1</f>
        <v>-1.2337846466434765E-3</v>
      </c>
      <c r="D1862" s="29">
        <f>Cours_Hist_figé!D1926/Cours_Hist_figé!D1862 - 1</f>
        <v>-1.2436416498272651E-3</v>
      </c>
      <c r="E1862" s="29">
        <f>Cours_Hist_figé!E1926/Cours_Hist_figé!E1862 - 1</f>
        <v>-1.4609809573451482E-3</v>
      </c>
    </row>
    <row r="1863" spans="1:5" x14ac:dyDescent="0.4">
      <c r="A1863" s="27">
        <v>44774</v>
      </c>
      <c r="B1863" s="29">
        <f>Cours_Hist_figé!B1927/Cours_Hist_figé!B1863 - 1</f>
        <v>-1.6598563442554171E-2</v>
      </c>
      <c r="C1863" s="29">
        <f>Cours_Hist_figé!C1927/Cours_Hist_figé!C1863 - 1</f>
        <v>5.7787123889585512E-3</v>
      </c>
      <c r="D1863" s="29">
        <f>Cours_Hist_figé!D1927/Cours_Hist_figé!D1863 - 1</f>
        <v>-1.2303578150633099E-3</v>
      </c>
      <c r="E1863" s="29">
        <f>Cours_Hist_figé!E1927/Cours_Hist_figé!E1863 - 1</f>
        <v>-1.4523897607567893E-3</v>
      </c>
    </row>
    <row r="1864" spans="1:5" x14ac:dyDescent="0.4">
      <c r="A1864" s="27">
        <v>44775</v>
      </c>
      <c r="B1864" s="29">
        <f>Cours_Hist_figé!B1928/Cours_Hist_figé!B1864 - 1</f>
        <v>-6.1876913594429706E-3</v>
      </c>
      <c r="C1864" s="29">
        <f>Cours_Hist_figé!C1928/Cours_Hist_figé!C1864 - 1</f>
        <v>5.2184546587843439E-3</v>
      </c>
      <c r="D1864" s="29">
        <f>Cours_Hist_figé!D1928/Cours_Hist_figé!D1864 - 1</f>
        <v>-1.1887112916718623E-3</v>
      </c>
      <c r="E1864" s="29">
        <f>Cours_Hist_figé!E1928/Cours_Hist_figé!E1864 - 1</f>
        <v>-1.4060559089092983E-3</v>
      </c>
    </row>
    <row r="1865" spans="1:5" x14ac:dyDescent="0.4">
      <c r="A1865" s="27">
        <v>44776</v>
      </c>
      <c r="B1865" s="29">
        <f>Cours_Hist_figé!B1929/Cours_Hist_figé!B1865 - 1</f>
        <v>-6.9751547071683628E-3</v>
      </c>
      <c r="C1865" s="29">
        <f>Cours_Hist_figé!C1929/Cours_Hist_figé!C1865 - 1</f>
        <v>5.9897278010567767E-4</v>
      </c>
      <c r="D1865" s="29">
        <f>Cours_Hist_figé!D1929/Cours_Hist_figé!D1865 - 1</f>
        <v>-1.175028311607762E-3</v>
      </c>
      <c r="E1865" s="29">
        <f>Cours_Hist_figé!E1929/Cours_Hist_figé!E1865 - 1</f>
        <v>-1.392298072890541E-3</v>
      </c>
    </row>
    <row r="1866" spans="1:5" x14ac:dyDescent="0.4">
      <c r="A1866" s="27">
        <v>44777</v>
      </c>
      <c r="B1866" s="29">
        <f>Cours_Hist_figé!B1930/Cours_Hist_figé!B1866 - 1</f>
        <v>5.1796245862640866E-3</v>
      </c>
      <c r="C1866" s="29">
        <f>Cours_Hist_figé!C1930/Cours_Hist_figé!C1866 - 1</f>
        <v>7.9361168262104265E-3</v>
      </c>
      <c r="D1866" s="29">
        <f>Cours_Hist_figé!D1930/Cours_Hist_figé!D1866 - 1</f>
        <v>-1.161446198954863E-3</v>
      </c>
      <c r="E1866" s="29">
        <f>Cours_Hist_figé!E1930/Cours_Hist_figé!E1866 - 1</f>
        <v>-1.3786512640964199E-3</v>
      </c>
    </row>
    <row r="1867" spans="1:5" x14ac:dyDescent="0.4">
      <c r="A1867" s="27">
        <v>44778</v>
      </c>
      <c r="B1867" s="29">
        <f>Cours_Hist_figé!B1931/Cours_Hist_figé!B1867 - 1</f>
        <v>4.01709663345029E-3</v>
      </c>
      <c r="C1867" s="29">
        <f>Cours_Hist_figé!C1931/Cours_Hist_figé!C1867 - 1</f>
        <v>2.8387551648829668E-3</v>
      </c>
      <c r="D1867" s="29">
        <f>Cours_Hist_figé!D1931/Cours_Hist_figé!D1867 - 1</f>
        <v>-1.1475598542229903E-3</v>
      </c>
      <c r="E1867" s="29">
        <f>Cours_Hist_figé!E1931/Cours_Hist_figé!E1867 - 1</f>
        <v>-1.3647606846955984E-3</v>
      </c>
    </row>
    <row r="1868" spans="1:5" x14ac:dyDescent="0.4">
      <c r="A1868" s="27">
        <v>44781</v>
      </c>
      <c r="B1868" s="29">
        <f>Cours_Hist_figé!B1932/Cours_Hist_figé!B1868 - 1</f>
        <v>2.9770967710435636E-2</v>
      </c>
      <c r="C1868" s="29">
        <f>Cours_Hist_figé!C1932/Cours_Hist_figé!C1868 - 1</f>
        <v>1.3254248859454476E-2</v>
      </c>
      <c r="D1868" s="29">
        <f>Cours_Hist_figé!D1932/Cours_Hist_figé!D1868 - 1</f>
        <v>-1.1336731233759778E-3</v>
      </c>
      <c r="E1868" s="29">
        <f>Cours_Hist_figé!E1932/Cours_Hist_figé!E1868 - 1</f>
        <v>-1.3556088709008041E-3</v>
      </c>
    </row>
    <row r="1869" spans="1:5" x14ac:dyDescent="0.4">
      <c r="A1869" s="27">
        <v>44782</v>
      </c>
      <c r="B1869" s="29">
        <f>Cours_Hist_figé!B1933/Cours_Hist_figé!B1869 - 1</f>
        <v>5.3466754400954386E-2</v>
      </c>
      <c r="C1869" s="29">
        <f>Cours_Hist_figé!C1933/Cours_Hist_figé!C1869 - 1</f>
        <v>8.2523702404000421E-3</v>
      </c>
      <c r="D1869" s="29">
        <f>Cours_Hist_figé!D1933/Cours_Hist_figé!D1869 - 1</f>
        <v>-1.0920184031503188E-3</v>
      </c>
      <c r="E1869" s="29">
        <f>Cours_Hist_figé!E1933/Cours_Hist_figé!E1869 - 1</f>
        <v>-1.3092750561602973E-3</v>
      </c>
    </row>
    <row r="1870" spans="1:5" x14ac:dyDescent="0.4">
      <c r="A1870" s="27">
        <v>44783</v>
      </c>
      <c r="B1870" s="29">
        <f>Cours_Hist_figé!B1934/Cours_Hist_figé!B1870 - 1</f>
        <v>5.4011867711970973E-2</v>
      </c>
      <c r="C1870" s="29">
        <f>Cours_Hist_figé!C1934/Cours_Hist_figé!C1870 - 1</f>
        <v>5.4715183185245486E-3</v>
      </c>
      <c r="D1870" s="29">
        <f>Cours_Hist_figé!D1934/Cours_Hist_figé!D1870 - 1</f>
        <v>-1.0781379172812855E-3</v>
      </c>
      <c r="E1870" s="29">
        <f>Cours_Hist_figé!E1934/Cours_Hist_figé!E1870 - 1</f>
        <v>-1.2953721114383754E-3</v>
      </c>
    </row>
    <row r="1871" spans="1:5" x14ac:dyDescent="0.4">
      <c r="A1871" s="27">
        <v>44784</v>
      </c>
      <c r="B1871" s="29">
        <f>Cours_Hist_figé!B1935/Cours_Hist_figé!B1871 - 1</f>
        <v>3.7802808208609706E-2</v>
      </c>
      <c r="C1871" s="29">
        <f>Cours_Hist_figé!C1935/Cours_Hist_figé!C1871 - 1</f>
        <v>-1.6810607752621998E-3</v>
      </c>
      <c r="D1871" s="29">
        <f>Cours_Hist_figé!D1935/Cours_Hist_figé!D1871 - 1</f>
        <v>-1.0642492560514194E-3</v>
      </c>
      <c r="E1871" s="29">
        <f>Cours_Hist_figé!E1935/Cours_Hist_figé!E1871 - 1</f>
        <v>-1.2815498413615289E-3</v>
      </c>
    </row>
    <row r="1872" spans="1:5" x14ac:dyDescent="0.4">
      <c r="A1872" s="27">
        <v>44785</v>
      </c>
      <c r="B1872" s="29">
        <f>Cours_Hist_figé!B1936/Cours_Hist_figé!B1872 - 1</f>
        <v>4.680271385063195E-2</v>
      </c>
      <c r="C1872" s="29">
        <f>Cours_Hist_figé!C1936/Cours_Hist_figé!C1872 - 1</f>
        <v>-1.1923366962192983E-2</v>
      </c>
      <c r="D1872" s="29">
        <f>Cours_Hist_figé!D1936/Cours_Hist_figé!D1872 - 1</f>
        <v>-1.0503679984248393E-3</v>
      </c>
      <c r="E1872" s="29">
        <f>Cours_Hist_figé!E1936/Cours_Hist_figé!E1872 - 1</f>
        <v>-1.2677169605809224E-3</v>
      </c>
    </row>
    <row r="1873" spans="1:5" x14ac:dyDescent="0.4">
      <c r="A1873" s="27">
        <v>44788</v>
      </c>
      <c r="B1873" s="29">
        <f>Cours_Hist_figé!B1937/Cours_Hist_figé!B1873 - 1</f>
        <v>2.8996698957585387E-2</v>
      </c>
      <c r="C1873" s="29">
        <f>Cours_Hist_figé!C1937/Cours_Hist_figé!C1873 - 1</f>
        <v>-9.2642384423302637E-4</v>
      </c>
      <c r="D1873" s="29">
        <f>Cours_Hist_figé!D1937/Cours_Hist_figé!D1873 - 1</f>
        <v>-1.0368760585741654E-3</v>
      </c>
      <c r="E1873" s="29">
        <f>Cours_Hist_figé!E1937/Cours_Hist_figé!E1873 - 1</f>
        <v>-1.2590291189532588E-3</v>
      </c>
    </row>
    <row r="1874" spans="1:5" x14ac:dyDescent="0.4">
      <c r="A1874" s="27">
        <v>44789</v>
      </c>
      <c r="B1874" s="29">
        <f>Cours_Hist_figé!B1938/Cours_Hist_figé!B1874 - 1</f>
        <v>2.9973472532188739E-2</v>
      </c>
      <c r="C1874" s="29">
        <f>Cours_Hist_figé!C1938/Cours_Hist_figé!C1874 - 1</f>
        <v>-8.0052075171868076E-3</v>
      </c>
      <c r="D1874" s="29">
        <f>Cours_Hist_figé!D1938/Cours_Hist_figé!D1874 - 1</f>
        <v>-9.952133572905808E-4</v>
      </c>
      <c r="E1874" s="29">
        <f>Cours_Hist_figé!E1938/Cours_Hist_figé!E1874 - 1</f>
        <v>-1.212695583689638E-3</v>
      </c>
    </row>
    <row r="1875" spans="1:5" x14ac:dyDescent="0.4">
      <c r="A1875" s="27">
        <v>44790</v>
      </c>
      <c r="B1875" s="29">
        <f>Cours_Hist_figé!B1939/Cours_Hist_figé!B1875 - 1</f>
        <v>8.9223515856242663E-3</v>
      </c>
      <c r="C1875" s="29">
        <f>Cours_Hist_figé!C1939/Cours_Hist_figé!C1875 - 1</f>
        <v>-9.4817499676819184E-3</v>
      </c>
      <c r="D1875" s="29">
        <f>Cours_Hist_figé!D1939/Cours_Hist_figé!D1875 - 1</f>
        <v>-9.8143155792684844E-4</v>
      </c>
      <c r="E1875" s="29">
        <f>Cours_Hist_figé!E1939/Cours_Hist_figé!E1875 - 1</f>
        <v>-1.1988808009850693E-3</v>
      </c>
    </row>
    <row r="1876" spans="1:5" x14ac:dyDescent="0.4">
      <c r="A1876" s="27">
        <v>44791</v>
      </c>
      <c r="B1876" s="29">
        <f>Cours_Hist_figé!B1940/Cours_Hist_figé!B1876 - 1</f>
        <v>2.5079164498624795E-2</v>
      </c>
      <c r="C1876" s="29">
        <f>Cours_Hist_figé!C1940/Cours_Hist_figé!C1876 - 1</f>
        <v>-1.115547673407824E-2</v>
      </c>
      <c r="D1876" s="29">
        <f>Cours_Hist_figé!D1940/Cours_Hist_figé!D1876 - 1</f>
        <v>-9.676493755058635E-4</v>
      </c>
      <c r="E1876" s="29">
        <f>Cours_Hist_figé!E1940/Cours_Hist_figé!E1876 - 1</f>
        <v>-1.1850554190934171E-3</v>
      </c>
    </row>
    <row r="1877" spans="1:5" x14ac:dyDescent="0.4">
      <c r="A1877" s="27">
        <v>44792</v>
      </c>
      <c r="B1877" s="29">
        <f>Cours_Hist_figé!B1941/Cours_Hist_figé!B1877 - 1</f>
        <v>3.2006955609768628E-2</v>
      </c>
      <c r="C1877" s="29">
        <f>Cours_Hist_figé!C1941/Cours_Hist_figé!C1877 - 1</f>
        <v>-2.3022298982354195E-2</v>
      </c>
      <c r="D1877" s="29">
        <f>Cours_Hist_figé!D1941/Cours_Hist_figé!D1877 - 1</f>
        <v>-9.5375763475602504E-4</v>
      </c>
      <c r="E1877" s="29">
        <f>Cours_Hist_figé!E1941/Cours_Hist_figé!E1877 - 1</f>
        <v>-1.1711585353462173E-3</v>
      </c>
    </row>
    <row r="1878" spans="1:5" x14ac:dyDescent="0.4">
      <c r="A1878" s="27">
        <v>44795</v>
      </c>
      <c r="B1878" s="29">
        <f>Cours_Hist_figé!B1942/Cours_Hist_figé!B1878 - 1</f>
        <v>1.5278516850420143E-2</v>
      </c>
      <c r="C1878" s="29">
        <f>Cours_Hist_figé!C1942/Cours_Hist_figé!C1878 - 1</f>
        <v>-2.5920328378111424E-2</v>
      </c>
      <c r="D1878" s="29">
        <f>Cours_Hist_figé!D1942/Cours_Hist_figé!D1878 - 1</f>
        <v>-9.3977191386818149E-4</v>
      </c>
      <c r="E1878" s="29">
        <f>Cours_Hist_figé!E1942/Cours_Hist_figé!E1878 - 1</f>
        <v>-1.1619304290020338E-3</v>
      </c>
    </row>
    <row r="1879" spans="1:5" x14ac:dyDescent="0.4">
      <c r="A1879" s="27">
        <v>44796</v>
      </c>
      <c r="B1879" s="29">
        <f>Cours_Hist_figé!B1943/Cours_Hist_figé!B1879 - 1</f>
        <v>-2.3542348552219039E-3</v>
      </c>
      <c r="C1879" s="29">
        <f>Cours_Hist_figé!C1943/Cours_Hist_figé!C1879 - 1</f>
        <v>-2.4952718885687064E-2</v>
      </c>
      <c r="D1879" s="29">
        <f>Cours_Hist_figé!D1943/Cours_Hist_figé!D1879 - 1</f>
        <v>-8.9800740563439341E-4</v>
      </c>
      <c r="E1879" s="29">
        <f>Cours_Hist_figé!E1943/Cours_Hist_figé!E1879 - 1</f>
        <v>-1.1155055659403113E-3</v>
      </c>
    </row>
    <row r="1880" spans="1:5" x14ac:dyDescent="0.4">
      <c r="A1880" s="27">
        <v>44797</v>
      </c>
      <c r="B1880" s="29">
        <f>Cours_Hist_figé!B1944/Cours_Hist_figé!B1880 - 1</f>
        <v>9.9021237110938909E-3</v>
      </c>
      <c r="C1880" s="29">
        <f>Cours_Hist_figé!C1944/Cours_Hist_figé!C1880 - 1</f>
        <v>-3.0274648976462482E-2</v>
      </c>
      <c r="D1880" s="29">
        <f>Cours_Hist_figé!D1944/Cours_Hist_figé!D1880 - 1</f>
        <v>-8.8402013228583431E-4</v>
      </c>
      <c r="E1880" s="29">
        <f>Cours_Hist_figé!E1944/Cours_Hist_figé!E1880 - 1</f>
        <v>-1.1014643397188051E-3</v>
      </c>
    </row>
    <row r="1881" spans="1:5" x14ac:dyDescent="0.4">
      <c r="A1881" s="27">
        <v>44798</v>
      </c>
      <c r="B1881" s="29">
        <f>Cours_Hist_figé!B1945/Cours_Hist_figé!B1881 - 1</f>
        <v>6.9669005519414906E-3</v>
      </c>
      <c r="C1881" s="29">
        <f>Cours_Hist_figé!C1945/Cours_Hist_figé!C1881 - 1</f>
        <v>-2.6811332851624625E-2</v>
      </c>
      <c r="D1881" s="29">
        <f>Cours_Hist_figé!D1945/Cours_Hist_figé!D1881 - 1</f>
        <v>-8.7003247013173191E-4</v>
      </c>
      <c r="E1881" s="29">
        <f>Cours_Hist_figé!E1945/Cours_Hist_figé!E1881 - 1</f>
        <v>-1.0874531323626924E-3</v>
      </c>
    </row>
    <row r="1882" spans="1:5" x14ac:dyDescent="0.4">
      <c r="A1882" s="27">
        <v>44799</v>
      </c>
      <c r="B1882" s="29">
        <f>Cours_Hist_figé!B1946/Cours_Hist_figé!B1882 - 1</f>
        <v>-1.7404020674054332E-2</v>
      </c>
      <c r="C1882" s="29">
        <f>Cours_Hist_figé!C1946/Cours_Hist_figé!C1882 - 1</f>
        <v>-2.9449290757622149E-2</v>
      </c>
      <c r="D1882" s="29">
        <f>Cours_Hist_figé!D1946/Cours_Hist_figé!D1882 - 1</f>
        <v>-8.5604442583242513E-4</v>
      </c>
      <c r="E1882" s="29">
        <f>Cours_Hist_figé!E1946/Cours_Hist_figé!E1882 - 1</f>
        <v>-1.073390710574329E-3</v>
      </c>
    </row>
    <row r="1883" spans="1:5" x14ac:dyDescent="0.4">
      <c r="A1883" s="27">
        <v>44803</v>
      </c>
      <c r="B1883" s="29">
        <f>Cours_Hist_figé!B1947/Cours_Hist_figé!B1883 - 1</f>
        <v>-4.5308867898326444E-2</v>
      </c>
      <c r="C1883" s="29">
        <f>Cours_Hist_figé!C1947/Cours_Hist_figé!C1883 - 1</f>
        <v>-4.0186281982252825E-2</v>
      </c>
      <c r="D1883" s="29">
        <f>Cours_Hist_figé!D1947/Cours_Hist_figé!D1883 - 1</f>
        <v>-8.4155689484055607E-4</v>
      </c>
      <c r="E1883" s="29">
        <f>Cours_Hist_figé!E1947/Cours_Hist_figé!E1883 - 1</f>
        <v>-1.0659163680956096E-3</v>
      </c>
    </row>
    <row r="1884" spans="1:5" x14ac:dyDescent="0.4">
      <c r="A1884" s="27">
        <v>44804</v>
      </c>
      <c r="B1884" s="29">
        <f>Cours_Hist_figé!B1948/Cours_Hist_figé!B1884 - 1</f>
        <v>-6.2439467661318693E-2</v>
      </c>
      <c r="C1884" s="29">
        <f>Cours_Hist_figé!C1948/Cours_Hist_figé!C1884 - 1</f>
        <v>-3.8002838098267655E-2</v>
      </c>
      <c r="D1884" s="29">
        <f>Cours_Hist_figé!D1948/Cours_Hist_figé!D1884 - 1</f>
        <v>-7.9989341514408174E-4</v>
      </c>
      <c r="E1884" s="29">
        <f>Cours_Hist_figé!E1948/Cours_Hist_figé!E1884 - 1</f>
        <v>-1.0195525834497676E-3</v>
      </c>
    </row>
    <row r="1885" spans="1:5" x14ac:dyDescent="0.4">
      <c r="A1885" s="27">
        <v>44805</v>
      </c>
      <c r="B1885" s="29">
        <f>Cours_Hist_figé!B1949/Cours_Hist_figé!B1885 - 1</f>
        <v>-7.2079753679674896E-2</v>
      </c>
      <c r="C1885" s="29">
        <f>Cours_Hist_figé!C1949/Cours_Hist_figé!C1885 - 1</f>
        <v>-3.6138611598939163E-2</v>
      </c>
      <c r="D1885" s="29">
        <f>Cours_Hist_figé!D1949/Cours_Hist_figé!D1885 - 1</f>
        <v>-7.8619981807293016E-4</v>
      </c>
      <c r="E1885" s="29">
        <f>Cours_Hist_figé!E1949/Cours_Hist_figé!E1885 - 1</f>
        <v>-1.0058127534462447E-3</v>
      </c>
    </row>
    <row r="1886" spans="1:5" x14ac:dyDescent="0.4">
      <c r="A1886" s="27">
        <v>44806</v>
      </c>
      <c r="B1886" s="29">
        <f>Cours_Hist_figé!B1950/Cours_Hist_figé!B1886 - 1</f>
        <v>-4.4214954301639575E-2</v>
      </c>
      <c r="C1886" s="29">
        <f>Cours_Hist_figé!C1950/Cours_Hist_figé!C1886 - 1</f>
        <v>-2.7959157043942473E-2</v>
      </c>
      <c r="D1886" s="29">
        <f>Cours_Hist_figé!D1950/Cours_Hist_figé!D1886 - 1</f>
        <v>-7.7220951201073529E-4</v>
      </c>
      <c r="E1886" s="29">
        <f>Cours_Hist_figé!E1950/Cours_Hist_figé!E1886 - 1</f>
        <v>-9.91798449174075E-4</v>
      </c>
    </row>
    <row r="1887" spans="1:5" x14ac:dyDescent="0.4">
      <c r="A1887" s="27">
        <v>44809</v>
      </c>
      <c r="B1887" s="29">
        <f>Cours_Hist_figé!B1951/Cours_Hist_figé!B1887 - 1</f>
        <v>-6.0603262642622502E-2</v>
      </c>
      <c r="C1887" s="29">
        <f>Cours_Hist_figé!C1951/Cours_Hist_figé!C1887 - 1</f>
        <v>-2.1122115827531984E-2</v>
      </c>
      <c r="D1887" s="29">
        <f>Cours_Hist_figé!D1951/Cours_Hist_figé!D1887 - 1</f>
        <v>-7.0256377741406695E-4</v>
      </c>
      <c r="E1887" s="29">
        <f>Cours_Hist_figé!E1951/Cours_Hist_figé!E1887 - 1</f>
        <v>-9.1744503472757089E-4</v>
      </c>
    </row>
    <row r="1888" spans="1:5" x14ac:dyDescent="0.4">
      <c r="A1888" s="27">
        <v>44810</v>
      </c>
      <c r="B1888" s="29">
        <f>Cours_Hist_figé!B1952/Cours_Hist_figé!B1888 - 1</f>
        <v>-5.6559317272661946E-2</v>
      </c>
      <c r="C1888" s="29">
        <f>Cours_Hist_figé!C1952/Cours_Hist_figé!C1888 - 1</f>
        <v>-2.4891949849109807E-2</v>
      </c>
      <c r="D1888" s="29">
        <f>Cours_Hist_figé!D1952/Cours_Hist_figé!D1888 - 1</f>
        <v>-6.8866474185436122E-4</v>
      </c>
      <c r="E1888" s="29">
        <f>Cours_Hist_figé!E1952/Cours_Hist_figé!E1888 - 1</f>
        <v>-9.0348885414814895E-4</v>
      </c>
    </row>
    <row r="1889" spans="1:5" x14ac:dyDescent="0.4">
      <c r="A1889" s="27">
        <v>44811</v>
      </c>
      <c r="B1889" s="29">
        <f>Cours_Hist_figé!B1953/Cours_Hist_figé!B1889 - 1</f>
        <v>-5.7010417487832199E-2</v>
      </c>
      <c r="C1889" s="29">
        <f>Cours_Hist_figé!C1953/Cours_Hist_figé!C1889 - 1</f>
        <v>-1.8000894690085922E-2</v>
      </c>
      <c r="D1889" s="29">
        <f>Cours_Hist_figé!D1953/Cours_Hist_figé!D1889 - 1</f>
        <v>-6.748743932628587E-4</v>
      </c>
      <c r="E1889" s="29">
        <f>Cours_Hist_figé!E1953/Cours_Hist_figé!E1889 - 1</f>
        <v>-8.8967419582852703E-4</v>
      </c>
    </row>
    <row r="1890" spans="1:5" x14ac:dyDescent="0.4">
      <c r="A1890" s="27">
        <v>44812</v>
      </c>
      <c r="B1890" s="29">
        <f>Cours_Hist_figé!B1954/Cours_Hist_figé!B1890 - 1</f>
        <v>-3.9457412945813397E-2</v>
      </c>
      <c r="C1890" s="29">
        <f>Cours_Hist_figé!C1954/Cours_Hist_figé!C1890 - 1</f>
        <v>-1.7111164160642622E-2</v>
      </c>
      <c r="D1890" s="29">
        <f>Cours_Hist_figé!D1954/Cours_Hist_figé!D1890 - 1</f>
        <v>-6.6078722447748817E-4</v>
      </c>
      <c r="E1890" s="29">
        <f>Cours_Hist_figé!E1954/Cours_Hist_figé!E1890 - 1</f>
        <v>-8.7562552531461613E-4</v>
      </c>
    </row>
    <row r="1891" spans="1:5" x14ac:dyDescent="0.4">
      <c r="A1891" s="27">
        <v>44813</v>
      </c>
      <c r="B1891" s="29">
        <f>Cours_Hist_figé!B1955/Cours_Hist_figé!B1891 - 1</f>
        <v>1.0004755487422745E-3</v>
      </c>
      <c r="C1891" s="29">
        <f>Cours_Hist_figé!C1955/Cours_Hist_figé!C1891 - 1</f>
        <v>-1.2080323977766927E-2</v>
      </c>
      <c r="D1891" s="29">
        <f>Cours_Hist_figé!D1955/Cours_Hist_figé!D1891 - 1</f>
        <v>-6.4699611054974682E-4</v>
      </c>
      <c r="E1891" s="29">
        <f>Cours_Hist_figé!E1955/Cours_Hist_figé!E1891 - 1</f>
        <v>-8.6186071238725237E-4</v>
      </c>
    </row>
    <row r="1892" spans="1:5" x14ac:dyDescent="0.4">
      <c r="A1892" s="27">
        <v>44816</v>
      </c>
      <c r="B1892" s="29">
        <f>Cours_Hist_figé!B1956/Cours_Hist_figé!B1892 - 1</f>
        <v>4.2771081994500637E-2</v>
      </c>
      <c r="C1892" s="29">
        <f>Cours_Hist_figé!C1956/Cours_Hist_figé!C1892 - 1</f>
        <v>5.4248130524632288E-3</v>
      </c>
      <c r="D1892" s="29">
        <f>Cours_Hist_figé!D1956/Cours_Hist_figé!D1892 - 1</f>
        <v>-6.0572184253149253E-4</v>
      </c>
      <c r="E1892" s="29">
        <f>Cours_Hist_figé!E1956/Cours_Hist_figé!E1892 - 1</f>
        <v>-8.2056353669213156E-4</v>
      </c>
    </row>
    <row r="1893" spans="1:5" x14ac:dyDescent="0.4">
      <c r="A1893" s="27">
        <v>44817</v>
      </c>
      <c r="B1893" s="29">
        <f>Cours_Hist_figé!B1957/Cours_Hist_figé!B1893 - 1</f>
        <v>3.9988093695997984E-2</v>
      </c>
      <c r="C1893" s="29">
        <f>Cours_Hist_figé!C1957/Cours_Hist_figé!C1893 - 1</f>
        <v>7.9954229574816793E-3</v>
      </c>
      <c r="D1893" s="29">
        <f>Cours_Hist_figé!D1957/Cours_Hist_figé!D1893 - 1</f>
        <v>-5.9203056920498209E-4</v>
      </c>
      <c r="E1893" s="29">
        <f>Cours_Hist_figé!E1957/Cours_Hist_figé!E1893 - 1</f>
        <v>-8.0684767691507897E-4</v>
      </c>
    </row>
    <row r="1894" spans="1:5" x14ac:dyDescent="0.4">
      <c r="A1894" s="27">
        <v>44818</v>
      </c>
      <c r="B1894" s="29">
        <f>Cours_Hist_figé!B1958/Cours_Hist_figé!B1894 - 1</f>
        <v>1.739369216004083E-2</v>
      </c>
      <c r="C1894" s="29">
        <f>Cours_Hist_figé!C1958/Cours_Hist_figé!C1894 - 1</f>
        <v>1.9465040139077239E-4</v>
      </c>
      <c r="D1894" s="29">
        <f>Cours_Hist_figé!D1958/Cours_Hist_figé!D1894 - 1</f>
        <v>-5.7823749883711972E-4</v>
      </c>
      <c r="E1894" s="29">
        <f>Cours_Hist_figé!E1958/Cours_Hist_figé!E1894 - 1</f>
        <v>-7.9311101711143639E-4</v>
      </c>
    </row>
    <row r="1895" spans="1:5" x14ac:dyDescent="0.4">
      <c r="A1895" s="27">
        <v>44819</v>
      </c>
      <c r="B1895" s="29">
        <f>Cours_Hist_figé!B1959/Cours_Hist_figé!B1895 - 1</f>
        <v>3.5254861854488562E-2</v>
      </c>
      <c r="C1895" s="29">
        <f>Cours_Hist_figé!C1959/Cours_Hist_figé!C1895 - 1</f>
        <v>1.6449730690442088E-3</v>
      </c>
      <c r="D1895" s="29">
        <f>Cours_Hist_figé!D1959/Cours_Hist_figé!D1895 - 1</f>
        <v>-5.4385512134591529E-4</v>
      </c>
      <c r="E1895" s="29">
        <f>Cours_Hist_figé!E1959/Cours_Hist_figé!E1895 - 1</f>
        <v>-7.5863750629245885E-4</v>
      </c>
    </row>
    <row r="1896" spans="1:5" x14ac:dyDescent="0.4">
      <c r="A1896" s="27">
        <v>44820</v>
      </c>
      <c r="B1896" s="29">
        <f>Cours_Hist_figé!B1960/Cours_Hist_figé!B1896 - 1</f>
        <v>1.9202431551917032E-2</v>
      </c>
      <c r="C1896" s="29">
        <f>Cours_Hist_figé!C1960/Cours_Hist_figé!C1896 - 1</f>
        <v>-4.7016764454270721E-3</v>
      </c>
      <c r="D1896" s="29">
        <f>Cours_Hist_figé!D1960/Cours_Hist_figé!D1896 - 1</f>
        <v>-5.0937823064478582E-4</v>
      </c>
      <c r="E1896" s="29">
        <f>Cours_Hist_figé!E1960/Cours_Hist_figé!E1896 - 1</f>
        <v>-7.241629210793521E-4</v>
      </c>
    </row>
    <row r="1897" spans="1:5" x14ac:dyDescent="0.4">
      <c r="A1897" s="27">
        <v>44824</v>
      </c>
      <c r="B1897" s="29">
        <f>Cours_Hist_figé!B1961/Cours_Hist_figé!B1897 - 1</f>
        <v>-2.3966199109747288E-3</v>
      </c>
      <c r="C1897" s="29">
        <f>Cours_Hist_figé!C1961/Cours_Hist_figé!C1897 - 1</f>
        <v>-1.0058051110868882E-2</v>
      </c>
      <c r="D1897" s="29">
        <f>Cours_Hist_figé!D1961/Cours_Hist_figé!D1897 - 1</f>
        <v>-3.8533617495506434E-4</v>
      </c>
      <c r="E1897" s="29">
        <f>Cours_Hist_figé!E1961/Cours_Hist_figé!E1897 - 1</f>
        <v>-6.0249296367109739E-4</v>
      </c>
    </row>
    <row r="1898" spans="1:5" x14ac:dyDescent="0.4">
      <c r="A1898" s="27">
        <v>44825</v>
      </c>
      <c r="B1898" s="29">
        <f>Cours_Hist_figé!B1962/Cours_Hist_figé!B1898 - 1</f>
        <v>2.8644138198543612E-3</v>
      </c>
      <c r="C1898" s="29">
        <f>Cours_Hist_figé!C1962/Cours_Hist_figé!C1898 - 1</f>
        <v>-5.8665591762004921E-3</v>
      </c>
      <c r="D1898" s="29">
        <f>Cours_Hist_figé!D1962/Cours_Hist_figé!D1898 - 1</f>
        <v>-3.5084739081792105E-4</v>
      </c>
      <c r="E1898" s="29">
        <f>Cours_Hist_figé!E1962/Cours_Hist_figé!E1898 - 1</f>
        <v>-5.6807454182816741E-4</v>
      </c>
    </row>
    <row r="1899" spans="1:5" x14ac:dyDescent="0.4">
      <c r="A1899" s="27">
        <v>44826</v>
      </c>
      <c r="B1899" s="29">
        <f>Cours_Hist_figé!B1963/Cours_Hist_figé!B1899 - 1</f>
        <v>-7.752526390611969E-3</v>
      </c>
      <c r="C1899" s="29">
        <f>Cours_Hist_figé!C1963/Cours_Hist_figé!C1899 - 1</f>
        <v>-1.999184903902762E-2</v>
      </c>
      <c r="D1899" s="29">
        <f>Cours_Hist_figé!D1963/Cours_Hist_figé!D1899 - 1</f>
        <v>-3.1635765461746068E-4</v>
      </c>
      <c r="E1899" s="29">
        <f>Cours_Hist_figé!E1963/Cours_Hist_figé!E1899 - 1</f>
        <v>-5.3356362173651029E-4</v>
      </c>
    </row>
    <row r="1900" spans="1:5" x14ac:dyDescent="0.4">
      <c r="A1900" s="27">
        <v>44827</v>
      </c>
      <c r="B1900" s="29">
        <f>Cours_Hist_figé!B1964/Cours_Hist_figé!B1900 - 1</f>
        <v>-2.2719445932501747E-2</v>
      </c>
      <c r="C1900" s="29">
        <f>Cours_Hist_figé!C1964/Cours_Hist_figé!C1900 - 1</f>
        <v>-3.5333887366551742E-2</v>
      </c>
      <c r="D1900" s="29">
        <f>Cours_Hist_figé!D1964/Cours_Hist_figé!D1900 - 1</f>
        <v>-2.8197617115255369E-4</v>
      </c>
      <c r="E1900" s="29">
        <f>Cours_Hist_figé!E1964/Cours_Hist_figé!E1900 - 1</f>
        <v>-4.9914294514719071E-4</v>
      </c>
    </row>
    <row r="1901" spans="1:5" x14ac:dyDescent="0.4">
      <c r="A1901" s="27">
        <v>44830</v>
      </c>
      <c r="B1901" s="29">
        <f>Cours_Hist_figé!B1965/Cours_Hist_figé!B1901 - 1</f>
        <v>-5.1768508593792228E-2</v>
      </c>
      <c r="C1901" s="29">
        <f>Cours_Hist_figé!C1965/Cours_Hist_figé!C1901 - 1</f>
        <v>-3.849264635344829E-2</v>
      </c>
      <c r="D1901" s="29">
        <f>Cours_Hist_figé!D1965/Cours_Hist_figé!D1901 - 1</f>
        <v>-2.0609144289718273E-4</v>
      </c>
      <c r="E1901" s="29">
        <f>Cours_Hist_figé!E1965/Cours_Hist_figé!E1901 - 1</f>
        <v>-4.2795539907880542E-4</v>
      </c>
    </row>
    <row r="1902" spans="1:5" x14ac:dyDescent="0.4">
      <c r="A1902" s="27">
        <v>44831</v>
      </c>
      <c r="B1902" s="29">
        <f>Cours_Hist_figé!B1966/Cours_Hist_figé!B1902 - 1</f>
        <v>-5.7353582392695501E-2</v>
      </c>
      <c r="C1902" s="29">
        <f>Cours_Hist_figé!C1966/Cours_Hist_figé!C1902 - 1</f>
        <v>-4.1655960408220505E-2</v>
      </c>
      <c r="D1902" s="29">
        <f>Cours_Hist_figé!D1966/Cours_Hist_figé!D1902 - 1</f>
        <v>-1.4410531092512446E-4</v>
      </c>
      <c r="E1902" s="29">
        <f>Cours_Hist_figé!E1966/Cours_Hist_figé!E1902 - 1</f>
        <v>-3.6122575064556628E-4</v>
      </c>
    </row>
    <row r="1903" spans="1:5" x14ac:dyDescent="0.4">
      <c r="A1903" s="27">
        <v>44832</v>
      </c>
      <c r="B1903" s="29">
        <f>Cours_Hist_figé!B1967/Cours_Hist_figé!B1903 - 1</f>
        <v>-5.6697238801601046E-2</v>
      </c>
      <c r="C1903" s="29">
        <f>Cours_Hist_figé!C1967/Cours_Hist_figé!C1903 - 1</f>
        <v>-3.3475130424127086E-2</v>
      </c>
      <c r="D1903" s="29">
        <f>Cours_Hist_figé!D1967/Cours_Hist_figé!D1903 - 1</f>
        <v>-1.097035048003292E-4</v>
      </c>
      <c r="E1903" s="29">
        <f>Cours_Hist_figé!E1967/Cours_Hist_figé!E1903 - 1</f>
        <v>-3.267589087433409E-4</v>
      </c>
    </row>
    <row r="1904" spans="1:5" x14ac:dyDescent="0.4">
      <c r="A1904" s="27">
        <v>44833</v>
      </c>
      <c r="B1904" s="29">
        <f>Cours_Hist_figé!B1968/Cours_Hist_figé!B1904 - 1</f>
        <v>-6.6685979995212974E-2</v>
      </c>
      <c r="C1904" s="29">
        <f>Cours_Hist_figé!C1968/Cours_Hist_figé!C1904 - 1</f>
        <v>-4.4024476022941683E-2</v>
      </c>
      <c r="D1904" s="29">
        <f>Cours_Hist_figé!D1968/Cours_Hist_figé!D1904 - 1</f>
        <v>-7.5207125284415532E-5</v>
      </c>
      <c r="E1904" s="29">
        <f>Cours_Hist_figé!E1968/Cours_Hist_figé!E1904 - 1</f>
        <v>-2.9224018710283239E-4</v>
      </c>
    </row>
    <row r="1905" spans="1:5" x14ac:dyDescent="0.4">
      <c r="A1905" s="27">
        <v>44834</v>
      </c>
      <c r="B1905" s="29">
        <f>Cours_Hist_figé!B1969/Cours_Hist_figé!B1905 - 1</f>
        <v>-4.1116714343291338E-2</v>
      </c>
      <c r="C1905" s="29">
        <f>Cours_Hist_figé!C1969/Cours_Hist_figé!C1905 - 1</f>
        <v>-4.5882527116850036E-2</v>
      </c>
      <c r="D1905" s="29">
        <f>Cours_Hist_figé!D1969/Cours_Hist_figé!D1905 - 1</f>
        <v>-4.0811231775239598E-5</v>
      </c>
      <c r="E1905" s="29">
        <f>Cours_Hist_figé!E1969/Cours_Hist_figé!E1905 - 1</f>
        <v>-2.5784221484559389E-4</v>
      </c>
    </row>
    <row r="1906" spans="1:5" x14ac:dyDescent="0.4">
      <c r="A1906" s="27">
        <v>44837</v>
      </c>
      <c r="B1906" s="29">
        <f>Cours_Hist_figé!B1970/Cours_Hist_figé!B1906 - 1</f>
        <v>-3.4041397012535612E-2</v>
      </c>
      <c r="C1906" s="29">
        <f>Cours_Hist_figé!C1970/Cours_Hist_figé!C1906 - 1</f>
        <v>-4.3207468319110598E-2</v>
      </c>
      <c r="D1906" s="29">
        <f>Cours_Hist_figé!D1970/Cours_Hist_figé!D1906 - 1</f>
        <v>3.3882383758010448E-5</v>
      </c>
      <c r="E1906" s="29">
        <f>Cours_Hist_figé!E1970/Cours_Hist_figé!E1906 - 1</f>
        <v>-1.8793283490547985E-4</v>
      </c>
    </row>
    <row r="1907" spans="1:5" x14ac:dyDescent="0.4">
      <c r="A1907" s="27">
        <v>44838</v>
      </c>
      <c r="B1907" s="29">
        <f>Cours_Hist_figé!B1971/Cours_Hist_figé!B1907 - 1</f>
        <v>-1.0025322193652153E-2</v>
      </c>
      <c r="C1907" s="29">
        <f>Cours_Hist_figé!C1971/Cours_Hist_figé!C1907 - 1</f>
        <v>-3.1374940907583082E-2</v>
      </c>
      <c r="D1907" s="29">
        <f>Cours_Hist_figé!D1971/Cours_Hist_figé!D1907 - 1</f>
        <v>9.5689292574974161E-5</v>
      </c>
      <c r="E1907" s="29">
        <f>Cours_Hist_figé!E1971/Cours_Hist_figé!E1907 - 1</f>
        <v>-1.2139735496585757E-4</v>
      </c>
    </row>
    <row r="1908" spans="1:5" x14ac:dyDescent="0.4">
      <c r="A1908" s="27">
        <v>44839</v>
      </c>
      <c r="B1908" s="29">
        <f>Cours_Hist_figé!B1972/Cours_Hist_figé!B1908 - 1</f>
        <v>1.4659760255246734E-3</v>
      </c>
      <c r="C1908" s="29">
        <f>Cours_Hist_figé!C1972/Cours_Hist_figé!C1908 - 1</f>
        <v>-4.9760186294459441E-2</v>
      </c>
      <c r="D1908" s="29">
        <f>Cours_Hist_figé!D1972/Cours_Hist_figé!D1908 - 1</f>
        <v>1.2999625501830536E-4</v>
      </c>
      <c r="E1908" s="29">
        <f>Cours_Hist_figé!E1972/Cours_Hist_figé!E1908 - 1</f>
        <v>-8.7034498756577428E-5</v>
      </c>
    </row>
    <row r="1909" spans="1:5" x14ac:dyDescent="0.4">
      <c r="A1909" s="27">
        <v>44840</v>
      </c>
      <c r="B1909" s="29">
        <f>Cours_Hist_figé!B1973/Cours_Hist_figé!B1909 - 1</f>
        <v>-2.125649207206326E-2</v>
      </c>
      <c r="C1909" s="29">
        <f>Cours_Hist_figé!C1973/Cours_Hist_figé!C1909 - 1</f>
        <v>-5.6477568744599305E-2</v>
      </c>
      <c r="D1909" s="29">
        <f>Cours_Hist_figé!D1973/Cours_Hist_figé!D1909 - 1</f>
        <v>1.6420270522332636E-4</v>
      </c>
      <c r="E1909" s="29">
        <f>Cours_Hist_figé!E1973/Cours_Hist_figé!E1909 - 1</f>
        <v>-5.2812750832686994E-5</v>
      </c>
    </row>
    <row r="1910" spans="1:5" x14ac:dyDescent="0.4">
      <c r="A1910" s="27">
        <v>44841</v>
      </c>
      <c r="B1910" s="29">
        <f>Cours_Hist_figé!B1974/Cours_Hist_figé!B1910 - 1</f>
        <v>-4.9895447977658547E-2</v>
      </c>
      <c r="C1910" s="29">
        <f>Cours_Hist_figé!C1974/Cours_Hist_figé!C1910 - 1</f>
        <v>-5.7807715860379583E-2</v>
      </c>
      <c r="D1910" s="29">
        <f>Cours_Hist_figé!D1974/Cours_Hist_figé!D1910 - 1</f>
        <v>1.9851154657923864E-4</v>
      </c>
      <c r="E1910" s="29">
        <f>Cours_Hist_figé!E1974/Cours_Hist_figé!E1910 - 1</f>
        <v>-1.8508632875446906E-5</v>
      </c>
    </row>
    <row r="1911" spans="1:5" x14ac:dyDescent="0.4">
      <c r="A1911" s="27">
        <v>44844</v>
      </c>
      <c r="B1911" s="29">
        <f>Cours_Hist_figé!B1975/Cours_Hist_figé!B1911 - 1</f>
        <v>-5.8736811666902589E-2</v>
      </c>
      <c r="C1911" s="29">
        <f>Cours_Hist_figé!C1975/Cours_Hist_figé!C1911 - 1</f>
        <v>-6.2392078270208207E-2</v>
      </c>
      <c r="D1911" s="29">
        <f>Cours_Hist_figé!D1975/Cours_Hist_figé!D1911 - 1</f>
        <v>2.7391800145726286E-4</v>
      </c>
      <c r="E1911" s="29">
        <f>Cours_Hist_figé!E1975/Cours_Hist_figé!E1911 - 1</f>
        <v>5.2235412019152605E-5</v>
      </c>
    </row>
    <row r="1912" spans="1:5" x14ac:dyDescent="0.4">
      <c r="A1912" s="27">
        <v>44845</v>
      </c>
      <c r="B1912" s="29">
        <f>Cours_Hist_figé!B1976/Cours_Hist_figé!B1912 - 1</f>
        <v>-5.9523704012266476E-2</v>
      </c>
      <c r="C1912" s="29">
        <f>Cours_Hist_figé!C1976/Cours_Hist_figé!C1912 - 1</f>
        <v>-6.6113123104554972E-2</v>
      </c>
      <c r="D1912" s="29">
        <f>Cours_Hist_figé!D1976/Cours_Hist_figé!D1912 - 1</f>
        <v>3.3574073307485186E-4</v>
      </c>
      <c r="E1912" s="29">
        <f>Cours_Hist_figé!E1976/Cours_Hist_figé!E1912 - 1</f>
        <v>1.1868840283435489E-4</v>
      </c>
    </row>
    <row r="1913" spans="1:5" x14ac:dyDescent="0.4">
      <c r="A1913" s="27">
        <v>44846</v>
      </c>
      <c r="B1913" s="29">
        <f>Cours_Hist_figé!B1977/Cours_Hist_figé!B1913 - 1</f>
        <v>-6.869527637289119E-2</v>
      </c>
      <c r="C1913" s="29">
        <f>Cours_Hist_figé!C1977/Cours_Hist_figé!C1913 - 1</f>
        <v>-7.802441939783844E-2</v>
      </c>
      <c r="D1913" s="29">
        <f>Cours_Hist_figé!D1977/Cours_Hist_figé!D1913 - 1</f>
        <v>3.7005427899816645E-4</v>
      </c>
      <c r="E1913" s="29">
        <f>Cours_Hist_figé!E1977/Cours_Hist_figé!E1913 - 1</f>
        <v>1.5305899930684319E-4</v>
      </c>
    </row>
    <row r="1914" spans="1:5" x14ac:dyDescent="0.4">
      <c r="A1914" s="27">
        <v>44847</v>
      </c>
      <c r="B1914" s="29">
        <f>Cours_Hist_figé!B1978/Cours_Hist_figé!B1914 - 1</f>
        <v>-5.1932974864993486E-2</v>
      </c>
      <c r="C1914" s="29">
        <f>Cours_Hist_figé!C1978/Cours_Hist_figé!C1914 - 1</f>
        <v>-7.4474335583009643E-2</v>
      </c>
      <c r="D1914" s="29">
        <f>Cours_Hist_figé!D1978/Cours_Hist_figé!D1914 - 1</f>
        <v>4.0436876230209862E-4</v>
      </c>
      <c r="E1914" s="29">
        <f>Cours_Hist_figé!E1978/Cours_Hist_figé!E1914 - 1</f>
        <v>1.8745102218509224E-4</v>
      </c>
    </row>
    <row r="1915" spans="1:5" x14ac:dyDescent="0.4">
      <c r="A1915" s="27">
        <v>44848</v>
      </c>
      <c r="B1915" s="29">
        <f>Cours_Hist_figé!B1979/Cours_Hist_figé!B1915 - 1</f>
        <v>-3.2411443997022116E-2</v>
      </c>
      <c r="C1915" s="29">
        <f>Cours_Hist_figé!C1979/Cours_Hist_figé!C1915 - 1</f>
        <v>-7.2143505228742577E-2</v>
      </c>
      <c r="D1915" s="29">
        <f>Cours_Hist_figé!D1979/Cours_Hist_figé!D1915 - 1</f>
        <v>4.387778877203985E-4</v>
      </c>
      <c r="E1915" s="29">
        <f>Cours_Hist_figé!E1979/Cours_Hist_figé!E1915 - 1</f>
        <v>2.2187463657341588E-4</v>
      </c>
    </row>
    <row r="1916" spans="1:5" x14ac:dyDescent="0.4">
      <c r="A1916" s="27">
        <v>44851</v>
      </c>
      <c r="B1916" s="29">
        <f>Cours_Hist_figé!B1980/Cours_Hist_figé!B1916 - 1</f>
        <v>-3.1945443990343381E-2</v>
      </c>
      <c r="C1916" s="29">
        <f>Cours_Hist_figé!C1980/Cours_Hist_figé!C1916 - 1</f>
        <v>-7.2056916919320702E-2</v>
      </c>
      <c r="D1916" s="29">
        <f>Cours_Hist_figé!D1980/Cours_Hist_figé!D1916 - 1</f>
        <v>5.1442127879308686E-4</v>
      </c>
      <c r="E1916" s="29">
        <f>Cours_Hist_figé!E1980/Cours_Hist_figé!E1916 - 1</f>
        <v>2.9281342229681151E-4</v>
      </c>
    </row>
    <row r="1917" spans="1:5" x14ac:dyDescent="0.4">
      <c r="A1917" s="27">
        <v>44852</v>
      </c>
      <c r="B1917" s="29">
        <f>Cours_Hist_figé!B1981/Cours_Hist_figé!B1917 - 1</f>
        <v>-3.7447823174610706E-2</v>
      </c>
      <c r="C1917" s="29">
        <f>Cours_Hist_figé!C1981/Cours_Hist_figé!C1917 - 1</f>
        <v>-6.6286542042253926E-2</v>
      </c>
      <c r="D1917" s="29">
        <f>Cours_Hist_figé!D1981/Cours_Hist_figé!D1917 - 1</f>
        <v>5.7645511147819128E-4</v>
      </c>
      <c r="E1917" s="29">
        <f>Cours_Hist_figé!E1981/Cours_Hist_figé!E1917 - 1</f>
        <v>3.5960057015893554E-4</v>
      </c>
    </row>
    <row r="1918" spans="1:5" x14ac:dyDescent="0.4">
      <c r="A1918" s="27">
        <v>44853</v>
      </c>
      <c r="B1918" s="29">
        <f>Cours_Hist_figé!B1982/Cours_Hist_figé!B1918 - 1</f>
        <v>-5.5133123660026984E-2</v>
      </c>
      <c r="C1918" s="29">
        <f>Cours_Hist_figé!C1982/Cours_Hist_figé!C1918 - 1</f>
        <v>-6.8218368551598463E-2</v>
      </c>
      <c r="D1918" s="29">
        <f>Cours_Hist_figé!D1982/Cours_Hist_figé!D1918 - 1</f>
        <v>6.1086898612927598E-4</v>
      </c>
      <c r="E1918" s="29">
        <f>Cours_Hist_figé!E1982/Cours_Hist_figé!E1918 - 1</f>
        <v>3.940399201394218E-4</v>
      </c>
    </row>
    <row r="1919" spans="1:5" x14ac:dyDescent="0.4">
      <c r="A1919" s="27">
        <v>44854</v>
      </c>
      <c r="B1919" s="29">
        <f>Cours_Hist_figé!B1983/Cours_Hist_figé!B1919 - 1</f>
        <v>-5.0491166204886473E-2</v>
      </c>
      <c r="C1919" s="29">
        <f>Cours_Hist_figé!C1983/Cours_Hist_figé!C1919 - 1</f>
        <v>-7.0662363388524385E-2</v>
      </c>
      <c r="D1919" s="29">
        <f>Cours_Hist_figé!D1983/Cours_Hist_figé!D1919 - 1</f>
        <v>6.4529161604842677E-4</v>
      </c>
      <c r="E1919" s="29">
        <f>Cours_Hist_figé!E1983/Cours_Hist_figé!E1919 - 1</f>
        <v>4.2846006753483046E-4</v>
      </c>
    </row>
    <row r="1920" spans="1:5" x14ac:dyDescent="0.4">
      <c r="A1920" s="27">
        <v>44855</v>
      </c>
      <c r="B1920" s="29">
        <f>Cours_Hist_figé!B1984/Cours_Hist_figé!B1920 - 1</f>
        <v>-5.9834025115404921E-2</v>
      </c>
      <c r="C1920" s="29">
        <f>Cours_Hist_figé!C1984/Cours_Hist_figé!C1920 - 1</f>
        <v>-7.4053906659322433E-2</v>
      </c>
      <c r="D1920" s="29">
        <f>Cours_Hist_figé!D1984/Cours_Hist_figé!D1920 - 1</f>
        <v>6.7971519604648201E-4</v>
      </c>
      <c r="E1920" s="29">
        <f>Cours_Hist_figé!E1984/Cours_Hist_figé!E1920 - 1</f>
        <v>4.6288132447691588E-4</v>
      </c>
    </row>
    <row r="1921" spans="1:5" x14ac:dyDescent="0.4">
      <c r="A1921" s="27">
        <v>44858</v>
      </c>
      <c r="B1921" s="29">
        <f>Cours_Hist_figé!B1985/Cours_Hist_figé!B1921 - 1</f>
        <v>-4.9492010045052215E-2</v>
      </c>
      <c r="C1921" s="29">
        <f>Cours_Hist_figé!C1985/Cours_Hist_figé!C1921 - 1</f>
        <v>-7.8314740102034208E-2</v>
      </c>
      <c r="D1921" s="29">
        <f>Cours_Hist_figé!D1985/Cours_Hist_figé!D1921 - 1</f>
        <v>7.5547076631776733E-4</v>
      </c>
      <c r="E1921" s="29">
        <f>Cours_Hist_figé!E1985/Cours_Hist_figé!E1921 - 1</f>
        <v>5.3387270510407703E-4</v>
      </c>
    </row>
    <row r="1922" spans="1:5" x14ac:dyDescent="0.4">
      <c r="A1922" s="27">
        <v>44859</v>
      </c>
      <c r="B1922" s="29">
        <f>Cours_Hist_figé!B1986/Cours_Hist_figé!B1922 - 1</f>
        <v>-3.7349288539375136E-2</v>
      </c>
      <c r="C1922" s="29">
        <f>Cours_Hist_figé!C1986/Cours_Hist_figé!C1922 - 1</f>
        <v>-7.0310137490899982E-2</v>
      </c>
      <c r="D1922" s="29">
        <f>Cours_Hist_figé!D1986/Cours_Hist_figé!D1922 - 1</f>
        <v>8.1752057834671987E-4</v>
      </c>
      <c r="E1922" s="29">
        <f>Cours_Hist_figé!E1986/Cours_Hist_figé!E1922 - 1</f>
        <v>6.0068926997947081E-4</v>
      </c>
    </row>
    <row r="1923" spans="1:5" x14ac:dyDescent="0.4">
      <c r="A1923" s="27">
        <v>44860</v>
      </c>
      <c r="B1923" s="29">
        <f>Cours_Hist_figé!B1987/Cours_Hist_figé!B1923 - 1</f>
        <v>-3.2028414979727415E-2</v>
      </c>
      <c r="C1923" s="29">
        <f>Cours_Hist_figé!C1987/Cours_Hist_figé!C1923 - 1</f>
        <v>-7.236264854734209E-2</v>
      </c>
      <c r="D1923" s="29">
        <f>Cours_Hist_figé!D1987/Cours_Hist_figé!D1923 - 1</f>
        <v>8.5194891422712971E-4</v>
      </c>
      <c r="E1923" s="29">
        <f>Cours_Hist_figé!E1987/Cours_Hist_figé!E1923 - 1</f>
        <v>6.351364336141252E-4</v>
      </c>
    </row>
    <row r="1924" spans="1:5" x14ac:dyDescent="0.4">
      <c r="A1924" s="27">
        <v>44861</v>
      </c>
      <c r="B1924" s="29">
        <f>Cours_Hist_figé!B1988/Cours_Hist_figé!B1924 - 1</f>
        <v>-3.6763554484214755E-2</v>
      </c>
      <c r="C1924" s="29">
        <f>Cours_Hist_figé!C1988/Cours_Hist_figé!C1924 - 1</f>
        <v>-6.3684939574431554E-2</v>
      </c>
      <c r="D1924" s="29">
        <f>Cours_Hist_figé!D1988/Cours_Hist_figé!D1924 - 1</f>
        <v>8.8637038730587925E-4</v>
      </c>
      <c r="E1924" s="29">
        <f>Cours_Hist_figé!E1988/Cours_Hist_figé!E1924 - 1</f>
        <v>6.6951354048083722E-4</v>
      </c>
    </row>
    <row r="1925" spans="1:5" x14ac:dyDescent="0.4">
      <c r="A1925" s="27">
        <v>44862</v>
      </c>
      <c r="B1925" s="29">
        <f>Cours_Hist_figé!B1989/Cours_Hist_figé!B1925 - 1</f>
        <v>-4.5179287761555331E-2</v>
      </c>
      <c r="C1925" s="29">
        <f>Cours_Hist_figé!C1989/Cours_Hist_figé!C1925 - 1</f>
        <v>-7.6282367654485261E-2</v>
      </c>
      <c r="D1925" s="29">
        <f>Cours_Hist_figé!D1989/Cours_Hist_figé!D1925 - 1</f>
        <v>9.0699436295693658E-4</v>
      </c>
      <c r="E1925" s="29">
        <f>Cours_Hist_figé!E1989/Cours_Hist_figé!E1925 - 1</f>
        <v>6.9014341856199479E-4</v>
      </c>
    </row>
    <row r="1926" spans="1:5" x14ac:dyDescent="0.4">
      <c r="A1926" s="27">
        <v>44865</v>
      </c>
      <c r="B1926" s="29">
        <f>Cours_Hist_figé!B1990/Cours_Hist_figé!B1926 - 1</f>
        <v>-5.3424999926916072E-2</v>
      </c>
      <c r="C1926" s="29">
        <f>Cours_Hist_figé!C1990/Cours_Hist_figé!C1926 - 1</f>
        <v>-8.2820834070338245E-2</v>
      </c>
      <c r="D1926" s="29">
        <f>Cours_Hist_figé!D1990/Cours_Hist_figé!D1926 - 1</f>
        <v>9.6885077583341861E-4</v>
      </c>
      <c r="E1926" s="29">
        <f>Cours_Hist_figé!E1990/Cours_Hist_figé!E1926 - 1</f>
        <v>7.4726424990156914E-4</v>
      </c>
    </row>
    <row r="1927" spans="1:5" x14ac:dyDescent="0.4">
      <c r="A1927" s="27">
        <v>44866</v>
      </c>
      <c r="B1927" s="29">
        <f>Cours_Hist_figé!B1991/Cours_Hist_figé!B1927 - 1</f>
        <v>-4.6328733405520683E-2</v>
      </c>
      <c r="C1927" s="29">
        <f>Cours_Hist_figé!C1991/Cours_Hist_figé!C1927 - 1</f>
        <v>-8.4729399138051331E-2</v>
      </c>
      <c r="D1927" s="29">
        <f>Cours_Hist_figé!D1991/Cours_Hist_figé!D1927 - 1</f>
        <v>9.8977188362647794E-4</v>
      </c>
      <c r="E1927" s="29">
        <f>Cours_Hist_figé!E1991/Cours_Hist_figé!E1927 - 1</f>
        <v>7.7286755252625738E-4</v>
      </c>
    </row>
    <row r="1928" spans="1:5" x14ac:dyDescent="0.4">
      <c r="A1928" s="27">
        <v>44867</v>
      </c>
      <c r="B1928" s="29">
        <f>Cours_Hist_figé!B1992/Cours_Hist_figé!B1928 - 1</f>
        <v>-4.6921589516644269E-2</v>
      </c>
      <c r="C1928" s="29">
        <f>Cours_Hist_figé!C1992/Cours_Hist_figé!C1928 - 1</f>
        <v>-8.3219183666813468E-2</v>
      </c>
      <c r="D1928" s="29">
        <f>Cours_Hist_figé!D1992/Cours_Hist_figé!D1928 - 1</f>
        <v>1.0105911293016856E-3</v>
      </c>
      <c r="E1928" s="29">
        <f>Cours_Hist_figé!E1992/Cours_Hist_figé!E1928 - 1</f>
        <v>7.9363009090371861E-4</v>
      </c>
    </row>
    <row r="1929" spans="1:5" x14ac:dyDescent="0.4">
      <c r="A1929" s="27">
        <v>44868</v>
      </c>
      <c r="B1929" s="29">
        <f>Cours_Hist_figé!B1993/Cours_Hist_figé!B1929 - 1</f>
        <v>-5.9828201153630745E-2</v>
      </c>
      <c r="C1929" s="29">
        <f>Cours_Hist_figé!C1993/Cours_Hist_figé!C1929 - 1</f>
        <v>-8.5892344366438556E-2</v>
      </c>
      <c r="D1929" s="29">
        <f>Cours_Hist_figé!D1993/Cours_Hist_figé!D1929 - 1</f>
        <v>1.0520343714366387E-3</v>
      </c>
      <c r="E1929" s="29">
        <f>Cours_Hist_figé!E1993/Cours_Hist_figé!E1929 - 1</f>
        <v>8.3505179897169768E-4</v>
      </c>
    </row>
    <row r="1930" spans="1:5" x14ac:dyDescent="0.4">
      <c r="A1930" s="27">
        <v>44869</v>
      </c>
      <c r="B1930" s="29">
        <f>Cours_Hist_figé!B1994/Cours_Hist_figé!B1930 - 1</f>
        <v>-4.4201608783216884E-2</v>
      </c>
      <c r="C1930" s="29">
        <f>Cours_Hist_figé!C1994/Cours_Hist_figé!C1930 - 1</f>
        <v>-9.1576946660989811E-2</v>
      </c>
      <c r="D1930" s="29">
        <f>Cours_Hist_figé!D1994/Cours_Hist_figé!D1930 - 1</f>
        <v>1.0934776219824194E-3</v>
      </c>
      <c r="E1930" s="29">
        <f>Cours_Hist_figé!E1994/Cours_Hist_figé!E1930 - 1</f>
        <v>8.7648386929561894E-4</v>
      </c>
    </row>
    <row r="1931" spans="1:5" x14ac:dyDescent="0.4">
      <c r="A1931" s="27">
        <v>44872</v>
      </c>
      <c r="B1931" s="29">
        <f>Cours_Hist_figé!B1995/Cours_Hist_figé!B1931 - 1</f>
        <v>-3.4689011473006515E-2</v>
      </c>
      <c r="C1931" s="29">
        <f>Cours_Hist_figé!C1995/Cours_Hist_figé!C1931 - 1</f>
        <v>-8.4564714772059957E-2</v>
      </c>
      <c r="D1931" s="29">
        <f>Cours_Hist_figé!D1995/Cours_Hist_figé!D1931 - 1</f>
        <v>1.2174167430738514E-3</v>
      </c>
      <c r="E1931" s="29">
        <f>Cours_Hist_figé!E1995/Cours_Hist_figé!E1931 - 1</f>
        <v>9.9567507671571853E-4</v>
      </c>
    </row>
    <row r="1932" spans="1:5" x14ac:dyDescent="0.4">
      <c r="A1932" s="27">
        <v>44873</v>
      </c>
      <c r="B1932" s="29">
        <f>Cours_Hist_figé!B1996/Cours_Hist_figé!B1932 - 1</f>
        <v>-3.4484230059718346E-2</v>
      </c>
      <c r="C1932" s="29">
        <f>Cours_Hist_figé!C1996/Cours_Hist_figé!C1932 - 1</f>
        <v>-8.3024621153905298E-2</v>
      </c>
      <c r="D1932" s="29">
        <f>Cours_Hist_figé!D1996/Cours_Hist_figé!D1932 - 1</f>
        <v>1.2587662123955123E-3</v>
      </c>
      <c r="E1932" s="29">
        <f>Cours_Hist_figé!E1996/Cours_Hist_figé!E1932 - 1</f>
        <v>1.0416854663517494E-3</v>
      </c>
    </row>
    <row r="1933" spans="1:5" x14ac:dyDescent="0.4">
      <c r="A1933" s="27">
        <v>44874</v>
      </c>
      <c r="B1933" s="29">
        <f>Cours_Hist_figé!B1997/Cours_Hist_figé!B1933 - 1</f>
        <v>-3.1301389594828533E-2</v>
      </c>
      <c r="C1933" s="29">
        <f>Cours_Hist_figé!C1997/Cours_Hist_figé!C1933 - 1</f>
        <v>-7.5231825977994049E-2</v>
      </c>
      <c r="D1933" s="29">
        <f>Cours_Hist_figé!D1997/Cours_Hist_figé!D1933 - 1</f>
        <v>1.3001156817171733E-3</v>
      </c>
      <c r="E1933" s="29">
        <f>Cours_Hist_figé!E1997/Cours_Hist_figé!E1933 - 1</f>
        <v>1.0829761926731685E-3</v>
      </c>
    </row>
    <row r="1934" spans="1:5" x14ac:dyDescent="0.4">
      <c r="A1934" s="27">
        <v>44875</v>
      </c>
      <c r="B1934" s="29">
        <f>Cours_Hist_figé!B1998/Cours_Hist_figé!B1934 - 1</f>
        <v>-1.2995723682294069E-2</v>
      </c>
      <c r="C1934" s="29">
        <f>Cours_Hist_figé!C1998/Cours_Hist_figé!C1934 - 1</f>
        <v>-6.7134916400950817E-2</v>
      </c>
      <c r="D1934" s="29">
        <f>Cours_Hist_figé!D1998/Cours_Hist_figé!D1934 - 1</f>
        <v>1.341472957244072E-3</v>
      </c>
      <c r="E1934" s="29">
        <f>Cours_Hist_figé!E1998/Cours_Hist_figé!E1934 - 1</f>
        <v>1.1242671136879601E-3</v>
      </c>
    </row>
    <row r="1935" spans="1:5" x14ac:dyDescent="0.4">
      <c r="A1935" s="27">
        <v>44876</v>
      </c>
      <c r="B1935" s="29">
        <f>Cours_Hist_figé!B1999/Cours_Hist_figé!B1935 - 1</f>
        <v>-1.3988339960173457E-2</v>
      </c>
      <c r="C1935" s="29">
        <f>Cours_Hist_figé!C1999/Cours_Hist_figé!C1935 - 1</f>
        <v>-7.0735803315539858E-2</v>
      </c>
      <c r="D1935" s="29">
        <f>Cours_Hist_figé!D1999/Cours_Hist_figé!D1935 - 1</f>
        <v>1.382822426565733E-3</v>
      </c>
      <c r="E1935" s="29">
        <f>Cours_Hist_figé!E1999/Cours_Hist_figé!E1935 - 1</f>
        <v>1.1656497235079666E-3</v>
      </c>
    </row>
    <row r="1936" spans="1:5" x14ac:dyDescent="0.4">
      <c r="A1936" s="27">
        <v>44879</v>
      </c>
      <c r="B1936" s="29">
        <f>Cours_Hist_figé!B2000/Cours_Hist_figé!B1936 - 1</f>
        <v>-1.3793466443787317E-2</v>
      </c>
      <c r="C1936" s="29">
        <f>Cours_Hist_figé!C2000/Cours_Hist_figé!C1936 - 1</f>
        <v>-6.902024299514975E-2</v>
      </c>
      <c r="D1936" s="29">
        <f>Cours_Hist_figé!D2000/Cours_Hist_figé!D1936 - 1</f>
        <v>1.5070972144837214E-3</v>
      </c>
      <c r="E1936" s="29">
        <f>Cours_Hist_figé!E2000/Cours_Hist_figé!E1936 - 1</f>
        <v>1.285158640154771E-3</v>
      </c>
    </row>
    <row r="1937" spans="1:5" x14ac:dyDescent="0.4">
      <c r="A1937" s="27">
        <v>44880</v>
      </c>
      <c r="B1937" s="29">
        <f>Cours_Hist_figé!B2001/Cours_Hist_figé!B1937 - 1</f>
        <v>-1.3715281859132955E-2</v>
      </c>
      <c r="C1937" s="29">
        <f>Cours_Hist_figé!C2001/Cours_Hist_figé!C1937 - 1</f>
        <v>-6.9890566679716382E-2</v>
      </c>
      <c r="D1937" s="29">
        <f>Cours_Hist_figé!D2001/Cours_Hist_figé!D1937 - 1</f>
        <v>1.5486577535761548E-3</v>
      </c>
      <c r="E1937" s="29">
        <f>Cours_Hist_figé!E2001/Cours_Hist_figé!E1937 - 1</f>
        <v>1.3314567070887851E-3</v>
      </c>
    </row>
    <row r="1938" spans="1:5" x14ac:dyDescent="0.4">
      <c r="A1938" s="27">
        <v>44881</v>
      </c>
      <c r="B1938" s="29">
        <f>Cours_Hist_figé!B2002/Cours_Hist_figé!B1938 - 1</f>
        <v>-2.4446589230501914E-2</v>
      </c>
      <c r="C1938" s="29">
        <f>Cours_Hist_figé!C2002/Cours_Hist_figé!C1938 - 1</f>
        <v>-5.9047436002661158E-2</v>
      </c>
      <c r="D1938" s="29">
        <f>Cours_Hist_figé!D2002/Cours_Hist_figé!D1938 - 1</f>
        <v>1.5901244854361618E-3</v>
      </c>
      <c r="E1938" s="29">
        <f>Cours_Hist_figé!E2002/Cours_Hist_figé!E1938 - 1</f>
        <v>1.3728505576144912E-3</v>
      </c>
    </row>
    <row r="1939" spans="1:5" x14ac:dyDescent="0.4">
      <c r="A1939" s="27">
        <v>44882</v>
      </c>
      <c r="B1939" s="29">
        <f>Cours_Hist_figé!B2003/Cours_Hist_figé!B1939 - 1</f>
        <v>-1.9866437872270271E-2</v>
      </c>
      <c r="C1939" s="29">
        <f>Cours_Hist_figé!C2003/Cours_Hist_figé!C1939 - 1</f>
        <v>-5.2936240181117533E-2</v>
      </c>
      <c r="D1939" s="29">
        <f>Cours_Hist_figé!D2003/Cours_Hist_figé!D1939 - 1</f>
        <v>1.6315912257125476E-3</v>
      </c>
      <c r="E1939" s="29">
        <f>Cours_Hist_figé!E2003/Cours_Hist_figé!E1939 - 1</f>
        <v>1.414244567779388E-3</v>
      </c>
    </row>
    <row r="1940" spans="1:5" x14ac:dyDescent="0.4">
      <c r="A1940" s="27">
        <v>44883</v>
      </c>
      <c r="B1940" s="29">
        <f>Cours_Hist_figé!B2004/Cours_Hist_figé!B1940 - 1</f>
        <v>-1.3101877466844547E-2</v>
      </c>
      <c r="C1940" s="29">
        <f>Cours_Hist_figé!C2004/Cours_Hist_figé!C1940 - 1</f>
        <v>-5.0846182525375871E-2</v>
      </c>
      <c r="D1940" s="29">
        <f>Cours_Hist_figé!D2004/Cours_Hist_figé!D1940 - 1</f>
        <v>1.6730579744048679E-3</v>
      </c>
      <c r="E1940" s="29">
        <f>Cours_Hist_figé!E2004/Cours_Hist_figé!E1940 - 1</f>
        <v>1.455659087856942E-3</v>
      </c>
    </row>
    <row r="1941" spans="1:5" x14ac:dyDescent="0.4">
      <c r="A1941" s="27">
        <v>44886</v>
      </c>
      <c r="B1941" s="29">
        <f>Cours_Hist_figé!B2005/Cours_Hist_figé!B1941 - 1</f>
        <v>-7.2005525071618948E-3</v>
      </c>
      <c r="C1941" s="29">
        <f>Cours_Hist_figé!C2005/Cours_Hist_figé!C1941 - 1</f>
        <v>-4.0390830262484245E-2</v>
      </c>
      <c r="D1941" s="29">
        <f>Cours_Hist_figé!D2005/Cours_Hist_figé!D1941 - 1</f>
        <v>1.7972625685276356E-3</v>
      </c>
      <c r="E1941" s="29">
        <f>Cours_Hist_figé!E2005/Cours_Hist_figé!E1941 - 1</f>
        <v>1.5750792110080791E-3</v>
      </c>
    </row>
    <row r="1942" spans="1:5" x14ac:dyDescent="0.4">
      <c r="A1942" s="27">
        <v>44887</v>
      </c>
      <c r="B1942" s="29">
        <f>Cours_Hist_figé!B2006/Cours_Hist_figé!B1942 - 1</f>
        <v>9.2765977508688646E-3</v>
      </c>
      <c r="C1942" s="29">
        <f>Cours_Hist_figé!C2006/Cours_Hist_figé!C1942 - 1</f>
        <v>-3.514425368067231E-2</v>
      </c>
      <c r="D1942" s="29">
        <f>Cours_Hist_figé!D2006/Cours_Hist_figé!D1942 - 1</f>
        <v>1.8385338098398929E-3</v>
      </c>
      <c r="E1942" s="29">
        <f>Cours_Hist_figé!E2006/Cours_Hist_figé!E1942 - 1</f>
        <v>1.6211256009699415E-3</v>
      </c>
    </row>
    <row r="1943" spans="1:5" x14ac:dyDescent="0.4">
      <c r="A1943" s="27">
        <v>44888</v>
      </c>
      <c r="B1943" s="29">
        <f>Cours_Hist_figé!B2007/Cours_Hist_figé!B1943 - 1</f>
        <v>1.9272237695246774E-2</v>
      </c>
      <c r="C1943" s="29">
        <f>Cours_Hist_figé!C2007/Cours_Hist_figé!C1943 - 1</f>
        <v>-2.785399770896213E-2</v>
      </c>
      <c r="D1943" s="29">
        <f>Cours_Hist_figé!D2007/Cours_Hist_figé!D1943 - 1</f>
        <v>1.8799143296817089E-3</v>
      </c>
      <c r="E1943" s="29">
        <f>Cours_Hist_figé!E2007/Cours_Hist_figé!E1943 - 1</f>
        <v>1.6624697497189533E-3</v>
      </c>
    </row>
    <row r="1944" spans="1:5" x14ac:dyDescent="0.4">
      <c r="A1944" s="27">
        <v>44889</v>
      </c>
      <c r="B1944" s="29">
        <f>Cours_Hist_figé!B2008/Cours_Hist_figé!B1944 - 1</f>
        <v>2.219990066084554E-2</v>
      </c>
      <c r="C1944" s="29">
        <f>Cours_Hist_figé!C2008/Cours_Hist_figé!C1944 - 1</f>
        <v>-1.9325382501411359E-2</v>
      </c>
      <c r="D1944" s="29">
        <f>Cours_Hist_figé!D2008/Cours_Hist_figé!D1944 - 1</f>
        <v>1.9212870349185618E-3</v>
      </c>
      <c r="E1944" s="29">
        <f>Cours_Hist_figé!E2008/Cours_Hist_figé!E1944 - 1</f>
        <v>1.703793675369214E-3</v>
      </c>
    </row>
    <row r="1945" spans="1:5" x14ac:dyDescent="0.4">
      <c r="A1945" s="27">
        <v>44890</v>
      </c>
      <c r="B1945" s="29">
        <f>Cours_Hist_figé!B2009/Cours_Hist_figé!B1945 - 1</f>
        <v>1.8833212992138471E-2</v>
      </c>
      <c r="C1945" s="29">
        <f>Cours_Hist_figé!C2009/Cours_Hist_figé!C1945 - 1</f>
        <v>-3.0561276794626058E-2</v>
      </c>
      <c r="D1945" s="29">
        <f>Cours_Hist_figé!D2009/Cours_Hist_figé!D1945 - 1</f>
        <v>1.9626675379640357E-3</v>
      </c>
      <c r="E1945" s="29">
        <f>Cours_Hist_figé!E2009/Cours_Hist_figé!E1945 - 1</f>
        <v>1.7451686856324589E-3</v>
      </c>
    </row>
    <row r="1946" spans="1:5" x14ac:dyDescent="0.4">
      <c r="A1946" s="27">
        <v>44893</v>
      </c>
      <c r="B1946" s="29">
        <f>Cours_Hist_figé!B2010/Cours_Hist_figé!B1946 - 1</f>
        <v>2.9580351566286245E-2</v>
      </c>
      <c r="C1946" s="29">
        <f>Cours_Hist_figé!C2010/Cours_Hist_figé!C1946 - 1</f>
        <v>-2.5884529361378084E-2</v>
      </c>
      <c r="D1946" s="29">
        <f>Cours_Hist_figé!D2010/Cours_Hist_figé!D1946 - 1</f>
        <v>2.086817242745731E-3</v>
      </c>
      <c r="E1946" s="29">
        <f>Cours_Hist_figé!E2010/Cours_Hist_figé!E1946 - 1</f>
        <v>1.8645200648401694E-3</v>
      </c>
    </row>
    <row r="1947" spans="1:5" x14ac:dyDescent="0.4">
      <c r="A1947" s="27">
        <v>44894</v>
      </c>
      <c r="B1947" s="29">
        <f>Cours_Hist_figé!B2011/Cours_Hist_figé!B1947 - 1</f>
        <v>4.4273089355522099E-2</v>
      </c>
      <c r="C1947" s="29">
        <f>Cours_Hist_figé!C2011/Cours_Hist_figé!C1947 - 1</f>
        <v>-1.2546636873921768E-2</v>
      </c>
      <c r="D1947" s="29">
        <f>Cours_Hist_figé!D2011/Cours_Hist_figé!D1947 - 1</f>
        <v>2.1276972767596547E-3</v>
      </c>
      <c r="E1947" s="29">
        <f>Cours_Hist_figé!E2011/Cours_Hist_figé!E1947 - 1</f>
        <v>1.9124935837699919E-3</v>
      </c>
    </row>
    <row r="1948" spans="1:5" x14ac:dyDescent="0.4">
      <c r="A1948" s="27">
        <v>44895</v>
      </c>
      <c r="B1948" s="29">
        <f>Cours_Hist_figé!B2012/Cours_Hist_figé!B1948 - 1</f>
        <v>6.4033699155638057E-2</v>
      </c>
      <c r="C1948" s="29">
        <f>Cours_Hist_figé!C2012/Cours_Hist_figé!C1948 - 1</f>
        <v>-1.2578565036132527E-2</v>
      </c>
      <c r="D1948" s="29">
        <f>Cours_Hist_figé!D2012/Cours_Hist_figé!D1948 - 1</f>
        <v>2.1690857564302668E-3</v>
      </c>
      <c r="E1948" s="29">
        <f>Cours_Hist_figé!E2012/Cours_Hist_figé!E1948 - 1</f>
        <v>1.9538595807466752E-3</v>
      </c>
    </row>
    <row r="1949" spans="1:5" x14ac:dyDescent="0.4">
      <c r="A1949" s="27">
        <v>44896</v>
      </c>
      <c r="B1949" s="29">
        <f>Cours_Hist_figé!B2013/Cours_Hist_figé!B1949 - 1</f>
        <v>9.1760941070481827E-2</v>
      </c>
      <c r="C1949" s="29">
        <f>Cours_Hist_figé!C2013/Cours_Hist_figé!C1949 - 1</f>
        <v>-4.2501025886831911E-4</v>
      </c>
      <c r="D1949" s="29">
        <f>Cours_Hist_figé!D2013/Cours_Hist_figé!D1949 - 1</f>
        <v>2.2103731868485799E-3</v>
      </c>
      <c r="E1949" s="29">
        <f>Cours_Hist_figé!E2013/Cours_Hist_figé!E1949 - 1</f>
        <v>1.9950940227615455E-3</v>
      </c>
    </row>
    <row r="1950" spans="1:5" x14ac:dyDescent="0.4">
      <c r="A1950" s="27">
        <v>44897</v>
      </c>
      <c r="B1950" s="29">
        <f>Cours_Hist_figé!B2014/Cours_Hist_figé!B1950 - 1</f>
        <v>6.8452566904179335E-2</v>
      </c>
      <c r="C1950" s="29">
        <f>Cours_Hist_figé!C2014/Cours_Hist_figé!C1950 - 1</f>
        <v>-7.6897278445345885E-3</v>
      </c>
      <c r="D1950" s="29">
        <f>Cours_Hist_figé!D2014/Cours_Hist_figé!D1950 - 1</f>
        <v>2.2517616745960645E-3</v>
      </c>
      <c r="E1950" s="29">
        <f>Cours_Hist_figé!E2014/Cours_Hist_figé!E1950 - 1</f>
        <v>2.036409600819189E-3</v>
      </c>
    </row>
    <row r="1951" spans="1:5" x14ac:dyDescent="0.4">
      <c r="A1951" s="27">
        <v>44900</v>
      </c>
      <c r="B1951" s="29">
        <f>Cours_Hist_figé!B2015/Cours_Hist_figé!B1951 - 1</f>
        <v>7.0187921729216063E-2</v>
      </c>
      <c r="C1951" s="29">
        <f>Cours_Hist_figé!C2015/Cours_Hist_figé!C1951 - 1</f>
        <v>-3.6474760860411015E-3</v>
      </c>
      <c r="D1951" s="29">
        <f>Cours_Hist_figé!D2015/Cours_Hist_figé!D1951 - 1</f>
        <v>2.3756456509154145E-3</v>
      </c>
      <c r="E1951" s="29">
        <f>Cours_Hist_figé!E2015/Cours_Hist_figé!E1951 - 1</f>
        <v>2.160235322417714E-3</v>
      </c>
    </row>
    <row r="1952" spans="1:5" x14ac:dyDescent="0.4">
      <c r="A1952" s="27">
        <v>44901</v>
      </c>
      <c r="B1952" s="29">
        <f>Cours_Hist_figé!B2016/Cours_Hist_figé!B1952 - 1</f>
        <v>6.2111266014839961E-2</v>
      </c>
      <c r="C1952" s="29">
        <f>Cours_Hist_figé!C2016/Cours_Hist_figé!C1952 - 1</f>
        <v>7.3936850953293387E-4</v>
      </c>
      <c r="D1952" s="29">
        <f>Cours_Hist_figé!D2016/Cours_Hist_figé!D1952 - 1</f>
        <v>2.4170421632021544E-3</v>
      </c>
      <c r="E1952" s="29">
        <f>Cours_Hist_figé!E2016/Cours_Hist_figé!E1952 - 1</f>
        <v>2.2015721729196081E-3</v>
      </c>
    </row>
    <row r="1953" spans="1:5" x14ac:dyDescent="0.4">
      <c r="A1953" s="27">
        <v>44902</v>
      </c>
      <c r="B1953" s="29">
        <f>Cours_Hist_figé!B2017/Cours_Hist_figé!B1953 - 1</f>
        <v>6.1698684766113621E-2</v>
      </c>
      <c r="C1953" s="29">
        <f>Cours_Hist_figé!C2017/Cours_Hist_figé!C1953 - 1</f>
        <v>-8.0503993642111471E-4</v>
      </c>
      <c r="D1953" s="29">
        <f>Cours_Hist_figé!D2017/Cours_Hist_figé!D1953 - 1</f>
        <v>2.4585399335790292E-3</v>
      </c>
      <c r="E1953" s="29">
        <f>Cours_Hist_figé!E2017/Cours_Hist_figé!E1953 - 1</f>
        <v>2.2430920381157904E-3</v>
      </c>
    </row>
    <row r="1954" spans="1:5" x14ac:dyDescent="0.4">
      <c r="A1954" s="27">
        <v>44903</v>
      </c>
      <c r="B1954" s="29">
        <f>Cours_Hist_figé!B2018/Cours_Hist_figé!B1954 - 1</f>
        <v>5.4624408571259053E-2</v>
      </c>
      <c r="C1954" s="29">
        <f>Cours_Hist_figé!C2018/Cours_Hist_figé!C1954 - 1</f>
        <v>4.1215932678482226E-3</v>
      </c>
      <c r="D1954" s="29">
        <f>Cours_Hist_figé!D2018/Cours_Hist_figé!D1954 - 1</f>
        <v>2.4995451717693129E-3</v>
      </c>
      <c r="E1954" s="29">
        <f>Cours_Hist_figé!E2018/Cours_Hist_figé!E1954 - 1</f>
        <v>2.2841440108403166E-3</v>
      </c>
    </row>
    <row r="1955" spans="1:5" x14ac:dyDescent="0.4">
      <c r="A1955" s="27">
        <v>44904</v>
      </c>
      <c r="B1955" s="29">
        <f>Cours_Hist_figé!B2019/Cours_Hist_figé!B1955 - 1</f>
        <v>4.7760438524661719E-2</v>
      </c>
      <c r="C1955" s="29">
        <f>Cours_Hist_figé!C2019/Cours_Hist_figé!C1955 - 1</f>
        <v>-9.6172698812813096E-4</v>
      </c>
      <c r="D1955" s="29">
        <f>Cours_Hist_figé!D2019/Cours_Hist_figé!D1955 - 1</f>
        <v>2.5409492554391289E-3</v>
      </c>
      <c r="E1955" s="29">
        <f>Cours_Hist_figé!E2019/Cours_Hist_figé!E1955 - 1</f>
        <v>2.3255220259745801E-3</v>
      </c>
    </row>
    <row r="1956" spans="1:5" x14ac:dyDescent="0.4">
      <c r="A1956" s="27">
        <v>44907</v>
      </c>
      <c r="B1956" s="29">
        <f>Cours_Hist_figé!B2020/Cours_Hist_figé!B1956 - 1</f>
        <v>2.466092257107344E-2</v>
      </c>
      <c r="C1956" s="29">
        <f>Cours_Hist_figé!C2020/Cours_Hist_figé!C1956 - 1</f>
        <v>-5.6393268643094574E-3</v>
      </c>
      <c r="D1956" s="29">
        <f>Cours_Hist_figé!D2020/Cours_Hist_figé!D1956 - 1</f>
        <v>2.665060025851318E-3</v>
      </c>
      <c r="E1956" s="29">
        <f>Cours_Hist_figé!E2020/Cours_Hist_figé!E1956 - 1</f>
        <v>2.4495554298413769E-3</v>
      </c>
    </row>
    <row r="1957" spans="1:5" x14ac:dyDescent="0.4">
      <c r="A1957" s="27">
        <v>44908</v>
      </c>
      <c r="B1957" s="29">
        <f>Cours_Hist_figé!B2021/Cours_Hist_figé!B1957 - 1</f>
        <v>5.3154129978337128E-2</v>
      </c>
      <c r="C1957" s="29">
        <f>Cours_Hist_figé!C2021/Cours_Hist_figé!C1957 - 1</f>
        <v>1.3819635572054345E-3</v>
      </c>
      <c r="D1957" s="29">
        <f>Cours_Hist_figé!D2021/Cours_Hist_figé!D1957 - 1</f>
        <v>2.7064719157210426E-3</v>
      </c>
      <c r="E1957" s="29">
        <f>Cours_Hist_figé!E2021/Cours_Hist_figé!E1957 - 1</f>
        <v>2.4909342319459071E-3</v>
      </c>
    </row>
    <row r="1958" spans="1:5" x14ac:dyDescent="0.4">
      <c r="A1958" s="27">
        <v>44909</v>
      </c>
      <c r="B1958" s="29">
        <f>Cours_Hist_figé!B2022/Cours_Hist_figé!B1958 - 1</f>
        <v>6.1629684376732108E-2</v>
      </c>
      <c r="C1958" s="29">
        <f>Cours_Hist_figé!C2022/Cours_Hist_figé!C1958 - 1</f>
        <v>-2.1212764678433249E-3</v>
      </c>
      <c r="D1958" s="29">
        <f>Cours_Hist_figé!D2022/Cours_Hist_figé!D1958 - 1</f>
        <v>2.747782046146785E-3</v>
      </c>
      <c r="E1958" s="29">
        <f>Cours_Hist_figé!E2022/Cours_Hist_figé!E1958 - 1</f>
        <v>2.5322317228466673E-3</v>
      </c>
    </row>
    <row r="1959" spans="1:5" x14ac:dyDescent="0.4">
      <c r="A1959" s="27">
        <v>44910</v>
      </c>
      <c r="B1959" s="29">
        <f>Cours_Hist_figé!B2023/Cours_Hist_figé!B1959 - 1</f>
        <v>3.8647745954965451E-2</v>
      </c>
      <c r="C1959" s="29">
        <f>Cours_Hist_figé!C2023/Cours_Hist_figé!C1959 - 1</f>
        <v>-1.1036272931586821E-2</v>
      </c>
      <c r="D1959" s="29">
        <f>Cours_Hist_figé!D2023/Cours_Hist_figé!D1959 - 1</f>
        <v>2.768434579836887E-3</v>
      </c>
      <c r="E1959" s="29">
        <f>Cours_Hist_figé!E2023/Cours_Hist_figé!E1959 - 1</f>
        <v>2.5528459062096331E-3</v>
      </c>
    </row>
    <row r="1960" spans="1:5" x14ac:dyDescent="0.4">
      <c r="A1960" s="27">
        <v>44911</v>
      </c>
      <c r="B1960" s="29">
        <f>Cours_Hist_figé!B2024/Cours_Hist_figé!B1960 - 1</f>
        <v>4.2532888649072342E-2</v>
      </c>
      <c r="C1960" s="29">
        <f>Cours_Hist_figé!C2024/Cours_Hist_figé!C1960 - 1</f>
        <v>-1.4945576011294648E-2</v>
      </c>
      <c r="D1960" s="29">
        <f>Cours_Hist_figé!D2024/Cours_Hist_figé!D1960 - 1</f>
        <v>2.7891018919865562E-3</v>
      </c>
      <c r="E1960" s="29">
        <f>Cours_Hist_figé!E2024/Cours_Hist_figé!E1960 - 1</f>
        <v>2.5735407623781459E-3</v>
      </c>
    </row>
    <row r="1961" spans="1:5" x14ac:dyDescent="0.4">
      <c r="A1961" s="27">
        <v>44914</v>
      </c>
      <c r="B1961" s="29">
        <f>Cours_Hist_figé!B2025/Cours_Hist_figé!B1961 - 1</f>
        <v>5.7240800529210212E-2</v>
      </c>
      <c r="C1961" s="29">
        <f>Cours_Hist_figé!C2025/Cours_Hist_figé!C1961 - 1</f>
        <v>-6.7145460034825355E-3</v>
      </c>
      <c r="D1961" s="29">
        <f>Cours_Hist_figé!D2025/Cours_Hist_figé!D1961 - 1</f>
        <v>2.8304028739107867E-3</v>
      </c>
      <c r="E1961" s="29">
        <f>Cours_Hist_figé!E2025/Cours_Hist_figé!E1961 - 1</f>
        <v>2.617230712062435E-3</v>
      </c>
    </row>
    <row r="1962" spans="1:5" x14ac:dyDescent="0.4">
      <c r="A1962" s="27">
        <v>44915</v>
      </c>
      <c r="B1962" s="29">
        <f>Cours_Hist_figé!B2026/Cours_Hist_figé!B1962 - 1</f>
        <v>4.4010876858645576E-2</v>
      </c>
      <c r="C1962" s="29">
        <f>Cours_Hist_figé!C2026/Cours_Hist_figé!C1962 - 1</f>
        <v>-1.5354799781590267E-2</v>
      </c>
      <c r="D1962" s="29">
        <f>Cours_Hist_figé!D2026/Cours_Hist_figé!D1962 - 1</f>
        <v>2.8510667448973237E-3</v>
      </c>
      <c r="E1962" s="29">
        <f>Cours_Hist_figé!E2026/Cours_Hist_figé!E1962 - 1</f>
        <v>2.6379530579281329E-3</v>
      </c>
    </row>
    <row r="1963" spans="1:5" x14ac:dyDescent="0.4">
      <c r="A1963" s="27">
        <v>44916</v>
      </c>
      <c r="B1963" s="29">
        <f>Cours_Hist_figé!B2027/Cours_Hist_figé!B1963 - 1</f>
        <v>8.078647334064315E-2</v>
      </c>
      <c r="C1963" s="29">
        <f>Cours_Hist_figé!C2027/Cours_Hist_figé!C1963 - 1</f>
        <v>-1.0683910193193147E-2</v>
      </c>
      <c r="D1963" s="29">
        <f>Cours_Hist_figé!D2027/Cours_Hist_figé!D1963 - 1</f>
        <v>2.8717219555498552E-3</v>
      </c>
      <c r="E1963" s="29">
        <f>Cours_Hist_figé!E2027/Cours_Hist_figé!E1963 - 1</f>
        <v>2.6586135149495593E-3</v>
      </c>
    </row>
    <row r="1964" spans="1:5" x14ac:dyDescent="0.4">
      <c r="A1964" s="27">
        <v>44917</v>
      </c>
      <c r="B1964" s="29">
        <f>Cours_Hist_figé!B2028/Cours_Hist_figé!B1964 - 1</f>
        <v>9.594700195443151E-2</v>
      </c>
      <c r="C1964" s="29">
        <f>Cours_Hist_figé!C2028/Cours_Hist_figé!C1964 - 1</f>
        <v>-9.8861562020627902E-3</v>
      </c>
      <c r="D1964" s="29">
        <f>Cours_Hist_figé!D2028/Cours_Hist_figé!D1964 - 1</f>
        <v>2.9063233916821751E-3</v>
      </c>
      <c r="E1964" s="29">
        <f>Cours_Hist_figé!E2028/Cours_Hist_figé!E1964 - 1</f>
        <v>2.6931838881787407E-3</v>
      </c>
    </row>
    <row r="1965" spans="1:5" x14ac:dyDescent="0.4">
      <c r="A1965" s="27">
        <v>44918</v>
      </c>
      <c r="B1965" s="29">
        <f>Cours_Hist_figé!B2029/Cours_Hist_figé!B1965 - 1</f>
        <v>0.10024106231182373</v>
      </c>
      <c r="C1965" s="29">
        <f>Cours_Hist_figé!C2029/Cours_Hist_figé!C1965 - 1</f>
        <v>-8.0092126786962536E-3</v>
      </c>
      <c r="D1965" s="29">
        <f>Cours_Hist_figé!D2029/Cours_Hist_figé!D1965 - 1</f>
        <v>2.899399737665842E-3</v>
      </c>
      <c r="E1965" s="29">
        <f>Cours_Hist_figé!E2029/Cours_Hist_figé!E1965 - 1</f>
        <v>2.6909015934697411E-3</v>
      </c>
    </row>
    <row r="1966" spans="1:5" x14ac:dyDescent="0.4">
      <c r="A1966" s="27">
        <v>44923</v>
      </c>
      <c r="B1966" s="29">
        <f>Cours_Hist_figé!B2030/Cours_Hist_figé!B1966 - 1</f>
        <v>0.10128917593691211</v>
      </c>
      <c r="C1966" s="29">
        <f>Cours_Hist_figé!C2030/Cours_Hist_figé!C1966 - 1</f>
        <v>-5.0584512750868615E-3</v>
      </c>
      <c r="D1966" s="29">
        <f>Cours_Hist_figé!D2030/Cours_Hist_figé!D1966 - 1</f>
        <v>3.155953783757548E-3</v>
      </c>
      <c r="E1966" s="29">
        <f>Cours_Hist_figé!E2030/Cours_Hist_figé!E1966 - 1</f>
        <v>2.9379744058555257E-3</v>
      </c>
    </row>
    <row r="1967" spans="1:5" x14ac:dyDescent="0.4">
      <c r="A1967" s="27">
        <v>44924</v>
      </c>
      <c r="B1967" s="29">
        <f>Cours_Hist_figé!B2031/Cours_Hist_figé!B1967 - 1</f>
        <v>0.10486051195906376</v>
      </c>
      <c r="C1967" s="29">
        <f>Cours_Hist_figé!C2031/Cours_Hist_figé!C1967 - 1</f>
        <v>-5.1034620686698506E-3</v>
      </c>
      <c r="D1967" s="29">
        <f>Cours_Hist_figé!D2031/Cours_Hist_figé!D1967 - 1</f>
        <v>3.1906549797726669E-3</v>
      </c>
      <c r="E1967" s="29">
        <f>Cours_Hist_figé!E2031/Cours_Hist_figé!E1967 - 1</f>
        <v>2.9726379837184957E-3</v>
      </c>
    </row>
    <row r="1968" spans="1:5" x14ac:dyDescent="0.4">
      <c r="A1968" s="27">
        <v>44925</v>
      </c>
      <c r="B1968" s="29">
        <f>Cours_Hist_figé!B2032/Cours_Hist_figé!B1968 - 1</f>
        <v>0.10859573408581635</v>
      </c>
      <c r="C1968" s="29">
        <f>Cours_Hist_figé!C2032/Cours_Hist_figé!C1968 - 1</f>
        <v>-7.7707016067599666E-3</v>
      </c>
      <c r="D1968" s="29">
        <f>Cours_Hist_figé!D2032/Cours_Hist_figé!D1968 - 1</f>
        <v>3.2253703716407234E-3</v>
      </c>
      <c r="E1968" s="29">
        <f>Cours_Hist_figé!E2032/Cours_Hist_figé!E1968 - 1</f>
        <v>3.0072596463821544E-3</v>
      </c>
    </row>
    <row r="1969" spans="1:5" x14ac:dyDescent="0.4">
      <c r="A1969" s="27">
        <v>44929</v>
      </c>
      <c r="B1969" s="29">
        <f>Cours_Hist_figé!B2033/Cours_Hist_figé!B1969 - 1</f>
        <v>0.12051096363171099</v>
      </c>
      <c r="C1969" s="29">
        <f>Cours_Hist_figé!C2033/Cours_Hist_figé!C1969 - 1</f>
        <v>-1.4629570012815174E-3</v>
      </c>
      <c r="D1969" s="29">
        <f>Cours_Hist_figé!D2033/Cours_Hist_figé!D1969 - 1</f>
        <v>3.425208757970033E-3</v>
      </c>
      <c r="E1969" s="29">
        <f>Cours_Hist_figé!E2033/Cours_Hist_figé!E1969 - 1</f>
        <v>3.1999273202369949E-3</v>
      </c>
    </row>
    <row r="1970" spans="1:5" x14ac:dyDescent="0.4">
      <c r="A1970" s="27">
        <v>44930</v>
      </c>
      <c r="B1970" s="29">
        <f>Cours_Hist_figé!B2034/Cours_Hist_figé!B1970 - 1</f>
        <v>0.12799004498805688</v>
      </c>
      <c r="C1970" s="29">
        <f>Cours_Hist_figé!C2034/Cours_Hist_figé!C1970 - 1</f>
        <v>-7.4195573161682793E-3</v>
      </c>
      <c r="D1970" s="29">
        <f>Cours_Hist_figé!D2034/Cours_Hist_figé!D1970 - 1</f>
        <v>3.4198979659796347E-3</v>
      </c>
      <c r="E1970" s="29">
        <f>Cours_Hist_figé!E2034/Cours_Hist_figé!E1970 - 1</f>
        <v>3.1993192752681754E-3</v>
      </c>
    </row>
    <row r="1971" spans="1:5" x14ac:dyDescent="0.4">
      <c r="A1971" s="27">
        <v>44931</v>
      </c>
      <c r="B1971" s="29">
        <f>Cours_Hist_figé!B2035/Cours_Hist_figé!B1971 - 1</f>
        <v>9.2180558269337576E-2</v>
      </c>
      <c r="C1971" s="29">
        <f>Cours_Hist_figé!C2035/Cours_Hist_figé!C1971 - 1</f>
        <v>-1.3715881858982315E-2</v>
      </c>
      <c r="D1971" s="29">
        <f>Cours_Hist_figé!D2035/Cours_Hist_figé!D1971 - 1</f>
        <v>3.4547146387511329E-3</v>
      </c>
      <c r="E1971" s="29">
        <f>Cours_Hist_figé!E2035/Cours_Hist_figé!E1971 - 1</f>
        <v>3.2340967503525775E-3</v>
      </c>
    </row>
    <row r="1972" spans="1:5" x14ac:dyDescent="0.4">
      <c r="A1972" s="27">
        <v>44932</v>
      </c>
      <c r="B1972" s="29">
        <f>Cours_Hist_figé!B2036/Cours_Hist_figé!B1972 - 1</f>
        <v>0.11528468964450811</v>
      </c>
      <c r="C1972" s="29">
        <f>Cours_Hist_figé!C2036/Cours_Hist_figé!C1972 - 1</f>
        <v>3.0734691129199465E-3</v>
      </c>
      <c r="D1972" s="29">
        <f>Cours_Hist_figé!D2036/Cours_Hist_figé!D1972 - 1</f>
        <v>3.4893348066409313E-3</v>
      </c>
      <c r="E1972" s="29">
        <f>Cours_Hist_figé!E2036/Cours_Hist_figé!E1972 - 1</f>
        <v>3.2687306000456218E-3</v>
      </c>
    </row>
    <row r="1973" spans="1:5" x14ac:dyDescent="0.4">
      <c r="A1973" s="27">
        <v>44935</v>
      </c>
      <c r="B1973" s="29">
        <f>Cours_Hist_figé!B2037/Cours_Hist_figé!B1973 - 1</f>
        <v>0.13243505461735761</v>
      </c>
      <c r="C1973" s="29">
        <f>Cours_Hist_figé!C2037/Cours_Hist_figé!C1973 - 1</f>
        <v>5.9509935966437499E-3</v>
      </c>
      <c r="D1973" s="29">
        <f>Cours_Hist_figé!D2037/Cours_Hist_figé!D1973 - 1</f>
        <v>3.634634595512054E-3</v>
      </c>
      <c r="E1973" s="29">
        <f>Cours_Hist_figé!E2037/Cours_Hist_figé!E1973 - 1</f>
        <v>3.4092385462989316E-3</v>
      </c>
    </row>
    <row r="1974" spans="1:5" x14ac:dyDescent="0.4">
      <c r="A1974" s="27">
        <v>44936</v>
      </c>
      <c r="B1974" s="29">
        <f>Cours_Hist_figé!B2038/Cours_Hist_figé!B1974 - 1</f>
        <v>0.13838512411650394</v>
      </c>
      <c r="C1974" s="29">
        <f>Cours_Hist_figé!C2038/Cours_Hist_figé!C1974 - 1</f>
        <v>1.0311209922141407E-2</v>
      </c>
      <c r="D1974" s="29">
        <f>Cours_Hist_figé!D2038/Cours_Hist_figé!D1974 - 1</f>
        <v>3.6692574367893638E-3</v>
      </c>
      <c r="E1974" s="29">
        <f>Cours_Hist_figé!E2038/Cours_Hist_figé!E1974 - 1</f>
        <v>3.4439392593532681E-3</v>
      </c>
    </row>
    <row r="1975" spans="1:5" x14ac:dyDescent="0.4">
      <c r="A1975" s="27">
        <v>44937</v>
      </c>
      <c r="B1975" s="29">
        <f>Cours_Hist_figé!B2039/Cours_Hist_figé!B1975 - 1</f>
        <v>0.14726714461960699</v>
      </c>
      <c r="C1975" s="29">
        <f>Cours_Hist_figé!C2039/Cours_Hist_figé!C1975 - 1</f>
        <v>2.3822429375524923E-2</v>
      </c>
      <c r="D1975" s="29">
        <f>Cours_Hist_figé!D2039/Cours_Hist_figé!D1975 - 1</f>
        <v>3.6626412264533226E-3</v>
      </c>
      <c r="E1975" s="29">
        <f>Cours_Hist_figé!E2039/Cours_Hist_figé!E1975 - 1</f>
        <v>3.4420444599685407E-3</v>
      </c>
    </row>
    <row r="1976" spans="1:5" x14ac:dyDescent="0.4">
      <c r="A1976" s="27">
        <v>44938</v>
      </c>
      <c r="B1976" s="29">
        <f>Cours_Hist_figé!B2040/Cours_Hist_figé!B1976 - 1</f>
        <v>0.16112847706649069</v>
      </c>
      <c r="C1976" s="29">
        <f>Cours_Hist_figé!C2040/Cours_Hist_figé!C1976 - 1</f>
        <v>2.6004039217523145E-2</v>
      </c>
      <c r="D1976" s="29">
        <f>Cours_Hist_figé!D2040/Cours_Hist_figé!D1976 - 1</f>
        <v>3.6972606130543095E-3</v>
      </c>
      <c r="E1976" s="29">
        <f>Cours_Hist_figé!E2040/Cours_Hist_figé!E1976 - 1</f>
        <v>3.4767522060341616E-3</v>
      </c>
    </row>
    <row r="1977" spans="1:5" x14ac:dyDescent="0.4">
      <c r="A1977" s="27">
        <v>44939</v>
      </c>
      <c r="B1977" s="29">
        <f>Cours_Hist_figé!B2041/Cours_Hist_figé!B1977 - 1</f>
        <v>0.1726744631317676</v>
      </c>
      <c r="C1977" s="29">
        <f>Cours_Hist_figé!C2041/Cours_Hist_figé!C1977 - 1</f>
        <v>3.0852758851162454E-2</v>
      </c>
      <c r="D1977" s="29">
        <f>Cours_Hist_figé!D2041/Cours_Hist_figé!D1977 - 1</f>
        <v>3.7318864038502486E-3</v>
      </c>
      <c r="E1977" s="29">
        <f>Cours_Hist_figé!E2041/Cours_Hist_figé!E1977 - 1</f>
        <v>3.5113975291873878E-3</v>
      </c>
    </row>
    <row r="1978" spans="1:5" x14ac:dyDescent="0.4">
      <c r="A1978" s="27">
        <v>44942</v>
      </c>
      <c r="B1978" s="29">
        <f>Cours_Hist_figé!B2042/Cours_Hist_figé!B1978 - 1</f>
        <v>0.16915862571665796</v>
      </c>
      <c r="C1978" s="29">
        <f>Cours_Hist_figé!C2042/Cours_Hist_figé!C1978 - 1</f>
        <v>2.932519916718479E-2</v>
      </c>
      <c r="D1978" s="29">
        <f>Cours_Hist_figé!D2042/Cours_Hist_figé!D1978 - 1</f>
        <v>3.8773237378200154E-3</v>
      </c>
      <c r="E1978" s="29">
        <f>Cours_Hist_figé!E2042/Cours_Hist_figé!E1978 - 1</f>
        <v>3.6520247904572312E-3</v>
      </c>
    </row>
    <row r="1979" spans="1:5" x14ac:dyDescent="0.4">
      <c r="A1979" s="27">
        <v>44943</v>
      </c>
      <c r="B1979" s="29">
        <f>Cours_Hist_figé!B2043/Cours_Hist_figé!B1979 - 1</f>
        <v>0.1679266756086657</v>
      </c>
      <c r="C1979" s="29">
        <f>Cours_Hist_figé!C2043/Cours_Hist_figé!C1979 - 1</f>
        <v>3.709468974330199E-2</v>
      </c>
      <c r="D1979" s="29">
        <f>Cours_Hist_figé!D2043/Cours_Hist_figé!D1979 - 1</f>
        <v>3.9120614141638921E-3</v>
      </c>
      <c r="E1979" s="29">
        <f>Cours_Hist_figé!E2043/Cours_Hist_figé!E1979 - 1</f>
        <v>3.6867061658589773E-3</v>
      </c>
    </row>
    <row r="1980" spans="1:5" x14ac:dyDescent="0.4">
      <c r="A1980" s="27">
        <v>44944</v>
      </c>
      <c r="B1980" s="29">
        <f>Cours_Hist_figé!B2044/Cours_Hist_figé!B1980 - 1</f>
        <v>0.15024949753137573</v>
      </c>
      <c r="C1980" s="29">
        <f>Cours_Hist_figé!C2044/Cours_Hist_figé!C1980 - 1</f>
        <v>3.9882707995386957E-2</v>
      </c>
      <c r="D1980" s="29">
        <f>Cours_Hist_figé!D2044/Cours_Hist_figé!D1980 - 1</f>
        <v>3.9054307235164565E-3</v>
      </c>
      <c r="E1980" s="29">
        <f>Cours_Hist_figé!E2044/Cours_Hist_figé!E1980 - 1</f>
        <v>3.6847573764569042E-3</v>
      </c>
    </row>
    <row r="1981" spans="1:5" x14ac:dyDescent="0.4">
      <c r="A1981" s="27">
        <v>44945</v>
      </c>
      <c r="B1981" s="29">
        <f>Cours_Hist_figé!B2045/Cours_Hist_figé!B1981 - 1</f>
        <v>0.12877164390636353</v>
      </c>
      <c r="C1981" s="29">
        <f>Cours_Hist_figé!C2045/Cours_Hist_figé!C1981 - 1</f>
        <v>3.3985724133090311E-2</v>
      </c>
      <c r="D1981" s="29">
        <f>Cours_Hist_figé!D2045/Cours_Hist_figé!D1981 - 1</f>
        <v>3.9401649282075901E-3</v>
      </c>
      <c r="E1981" s="29">
        <f>Cours_Hist_figé!E2045/Cours_Hist_figé!E1981 - 1</f>
        <v>3.719445815157707E-3</v>
      </c>
    </row>
    <row r="1982" spans="1:5" x14ac:dyDescent="0.4">
      <c r="A1982" s="27">
        <v>44946</v>
      </c>
      <c r="B1982" s="29">
        <f>Cours_Hist_figé!B2046/Cours_Hist_figé!B1982 - 1</f>
        <v>0.13822455387540922</v>
      </c>
      <c r="C1982" s="29">
        <f>Cours_Hist_figé!C2046/Cours_Hist_figé!C1982 - 1</f>
        <v>3.1202450797526593E-2</v>
      </c>
      <c r="D1982" s="29">
        <f>Cours_Hist_figé!D2046/Cours_Hist_figé!D1982 - 1</f>
        <v>3.974905533335571E-3</v>
      </c>
      <c r="E1982" s="29">
        <f>Cours_Hist_figé!E2046/Cours_Hist_figé!E1982 - 1</f>
        <v>3.75418384440529E-3</v>
      </c>
    </row>
    <row r="1983" spans="1:5" x14ac:dyDescent="0.4">
      <c r="A1983" s="27">
        <v>44949</v>
      </c>
      <c r="B1983" s="29">
        <f>Cours_Hist_figé!B2047/Cours_Hist_figé!B1983 - 1</f>
        <v>0.14151475901343558</v>
      </c>
      <c r="C1983" s="29">
        <f>Cours_Hist_figé!C2047/Cours_Hist_figé!C1983 - 1</f>
        <v>3.0648467780390654E-2</v>
      </c>
      <c r="D1983" s="29">
        <f>Cours_Hist_figé!D2047/Cours_Hist_figé!D1983 - 1</f>
        <v>4.1205821052729963E-3</v>
      </c>
      <c r="E1983" s="29">
        <f>Cours_Hist_figé!E2047/Cours_Hist_figé!E1983 - 1</f>
        <v>3.8950631103897848E-3</v>
      </c>
    </row>
    <row r="1984" spans="1:5" x14ac:dyDescent="0.4">
      <c r="A1984" s="27">
        <v>44950</v>
      </c>
      <c r="B1984" s="29">
        <f>Cours_Hist_figé!B2048/Cours_Hist_figé!B1984 - 1</f>
        <v>0.14521299859164527</v>
      </c>
      <c r="C1984" s="29">
        <f>Cours_Hist_figé!C2048/Cours_Hist_figé!C1984 - 1</f>
        <v>3.5707041808711537E-2</v>
      </c>
      <c r="D1984" s="29">
        <f>Cours_Hist_figé!D2048/Cours_Hist_figé!D1984 - 1</f>
        <v>4.1553175316457747E-3</v>
      </c>
      <c r="E1984" s="29">
        <f>Cours_Hist_figé!E2048/Cours_Hist_figé!E1984 - 1</f>
        <v>3.9298069034885419E-3</v>
      </c>
    </row>
    <row r="1985" spans="1:5" x14ac:dyDescent="0.4">
      <c r="A1985" s="27">
        <v>44951</v>
      </c>
      <c r="B1985" s="29">
        <f>Cours_Hist_figé!B2049/Cours_Hist_figé!B1985 - 1</f>
        <v>0.12690374015327288</v>
      </c>
      <c r="C1985" s="29">
        <f>Cours_Hist_figé!C2049/Cours_Hist_figé!C1985 - 1</f>
        <v>2.8922264200627046E-2</v>
      </c>
      <c r="D1985" s="29">
        <f>Cours_Hist_figé!D2049/Cours_Hist_figé!D1985 - 1</f>
        <v>4.1487897304148813E-3</v>
      </c>
      <c r="E1985" s="29">
        <f>Cours_Hist_figé!E2049/Cours_Hist_figé!E1985 - 1</f>
        <v>3.9279466106687533E-3</v>
      </c>
    </row>
    <row r="1986" spans="1:5" x14ac:dyDescent="0.4">
      <c r="A1986" s="27">
        <v>44952</v>
      </c>
      <c r="B1986" s="29">
        <f>Cours_Hist_figé!B2050/Cours_Hist_figé!B1986 - 1</f>
        <v>0.11501560175001768</v>
      </c>
      <c r="C1986" s="29">
        <f>Cours_Hist_figé!C2050/Cours_Hist_figé!C1986 - 1</f>
        <v>1.4957112414376583E-2</v>
      </c>
      <c r="D1986" s="29">
        <f>Cours_Hist_figé!D2050/Cours_Hist_figé!D1986 - 1</f>
        <v>4.1836387078151294E-3</v>
      </c>
      <c r="E1986" s="29">
        <f>Cours_Hist_figé!E2050/Cours_Hist_figé!E1986 - 1</f>
        <v>3.9626870680309345E-3</v>
      </c>
    </row>
    <row r="1987" spans="1:5" x14ac:dyDescent="0.4">
      <c r="A1987" s="27">
        <v>44953</v>
      </c>
      <c r="B1987" s="29">
        <f>Cours_Hist_figé!B2051/Cours_Hist_figé!B1987 - 1</f>
        <v>0.11071404333704971</v>
      </c>
      <c r="C1987" s="29">
        <f>Cours_Hist_figé!C2051/Cours_Hist_figé!C1987 - 1</f>
        <v>1.0783319638674627E-2</v>
      </c>
      <c r="D1987" s="29">
        <f>Cours_Hist_figé!D2051/Cours_Hist_figé!D1987 - 1</f>
        <v>4.2184784501080319E-3</v>
      </c>
      <c r="E1987" s="29">
        <f>Cours_Hist_figé!E2051/Cours_Hist_figé!E1987 - 1</f>
        <v>3.9974873888091178E-3</v>
      </c>
    </row>
    <row r="1988" spans="1:5" x14ac:dyDescent="0.4">
      <c r="A1988" s="27">
        <v>44956</v>
      </c>
      <c r="B1988" s="29">
        <f>Cours_Hist_figé!B2052/Cours_Hist_figé!B1988 - 1</f>
        <v>0.10973483396471795</v>
      </c>
      <c r="C1988" s="29">
        <f>Cours_Hist_figé!C2052/Cours_Hist_figé!C1988 - 1</f>
        <v>-2.1507425266550362E-3</v>
      </c>
      <c r="D1988" s="29">
        <f>Cours_Hist_figé!D2052/Cours_Hist_figé!D1988 - 1</f>
        <v>4.3643941762143701E-3</v>
      </c>
      <c r="E1988" s="29">
        <f>Cours_Hist_figé!E2052/Cours_Hist_figé!E1988 - 1</f>
        <v>4.1386590355996233E-3</v>
      </c>
    </row>
    <row r="1989" spans="1:5" x14ac:dyDescent="0.4">
      <c r="A1989" s="27">
        <v>44957</v>
      </c>
      <c r="B1989" s="29">
        <f>Cours_Hist_figé!B2053/Cours_Hist_figé!B1989 - 1</f>
        <v>0.10532671657004844</v>
      </c>
      <c r="C1989" s="29">
        <f>Cours_Hist_figé!C2053/Cours_Hist_figé!C1989 - 1</f>
        <v>3.3488911975863012E-3</v>
      </c>
      <c r="D1989" s="29">
        <f>Cours_Hist_figé!D2053/Cours_Hist_figé!D1989 - 1</f>
        <v>4.3992365249907461E-3</v>
      </c>
      <c r="E1989" s="29">
        <f>Cours_Hist_figé!E2053/Cours_Hist_figé!E1989 - 1</f>
        <v>4.1734446410317538E-3</v>
      </c>
    </row>
    <row r="1990" spans="1:5" x14ac:dyDescent="0.4">
      <c r="A1990" s="27">
        <v>44958</v>
      </c>
      <c r="B1990" s="29">
        <f>Cours_Hist_figé!B2054/Cours_Hist_figé!B1990 - 1</f>
        <v>0.10084111146541308</v>
      </c>
      <c r="C1990" s="29">
        <f>Cours_Hist_figé!C2054/Cours_Hist_figé!C1990 - 1</f>
        <v>8.1889233521050819E-3</v>
      </c>
      <c r="D1990" s="29">
        <f>Cours_Hist_figé!D2054/Cours_Hist_figé!D1990 - 1</f>
        <v>4.3925078371687132E-3</v>
      </c>
      <c r="E1990" s="29">
        <f>Cours_Hist_figé!E2054/Cours_Hist_figé!E1990 - 1</f>
        <v>4.1713785764199152E-3</v>
      </c>
    </row>
    <row r="1991" spans="1:5" x14ac:dyDescent="0.4">
      <c r="A1991" s="27">
        <v>44959</v>
      </c>
      <c r="B1991" s="29">
        <f>Cours_Hist_figé!B2055/Cours_Hist_figé!B1991 - 1</f>
        <v>0.10806449507949822</v>
      </c>
      <c r="C1991" s="29">
        <f>Cours_Hist_figé!C2055/Cours_Hist_figé!C1991 - 1</f>
        <v>2.3953386754715478E-2</v>
      </c>
      <c r="D1991" s="29">
        <f>Cours_Hist_figé!D2055/Cours_Hist_figé!D1991 - 1</f>
        <v>4.4274646142221652E-3</v>
      </c>
      <c r="E1991" s="29">
        <f>Cours_Hist_figé!E2055/Cours_Hist_figé!E1991 - 1</f>
        <v>4.2063347337120138E-3</v>
      </c>
    </row>
    <row r="1992" spans="1:5" x14ac:dyDescent="0.4">
      <c r="A1992" s="27">
        <v>44960</v>
      </c>
      <c r="B1992" s="29">
        <f>Cours_Hist_figé!B2056/Cours_Hist_figé!B1992 - 1</f>
        <v>0.11607807410733084</v>
      </c>
      <c r="C1992" s="29">
        <f>Cours_Hist_figé!C2056/Cours_Hist_figé!C1992 - 1</f>
        <v>1.530156217343559E-2</v>
      </c>
      <c r="D1992" s="29">
        <f>Cours_Hist_figé!D2056/Cours_Hist_figé!D1992 - 1</f>
        <v>4.462114508045012E-3</v>
      </c>
      <c r="E1992" s="29">
        <f>Cours_Hist_figé!E2056/Cours_Hist_figé!E1992 - 1</f>
        <v>4.2410039920026676E-3</v>
      </c>
    </row>
    <row r="1993" spans="1:5" x14ac:dyDescent="0.4">
      <c r="A1993" s="27">
        <v>44963</v>
      </c>
      <c r="B1993" s="29">
        <f>Cours_Hist_figé!B2057/Cours_Hist_figé!B1993 - 1</f>
        <v>0.11789019255839794</v>
      </c>
      <c r="C1993" s="29">
        <f>Cours_Hist_figé!C2057/Cours_Hist_figé!C1993 - 1</f>
        <v>1.684646645410881E-2</v>
      </c>
      <c r="D1993" s="29">
        <f>Cours_Hist_figé!D2057/Cours_Hist_figé!D1993 - 1</f>
        <v>4.58666705012023E-3</v>
      </c>
      <c r="E1993" s="29">
        <f>Cours_Hist_figé!E2057/Cours_Hist_figé!E1993 - 1</f>
        <v>4.3606995297882367E-3</v>
      </c>
    </row>
    <row r="1994" spans="1:5" x14ac:dyDescent="0.4">
      <c r="A1994" s="27">
        <v>44964</v>
      </c>
      <c r="B1994" s="29">
        <f>Cours_Hist_figé!B2058/Cours_Hist_figé!B1994 - 1</f>
        <v>0.10000701993738548</v>
      </c>
      <c r="C1994" s="29">
        <f>Cours_Hist_figé!C2058/Cours_Hist_figé!C1994 - 1</f>
        <v>1.7895353890714505E-2</v>
      </c>
      <c r="D1994" s="29">
        <f>Cours_Hist_figé!D2058/Cours_Hist_figé!D1994 - 1</f>
        <v>4.6006304236072548E-3</v>
      </c>
      <c r="E1994" s="29">
        <f>Cours_Hist_figé!E2058/Cours_Hist_figé!E1994 - 1</f>
        <v>4.3745813094304697E-3</v>
      </c>
    </row>
    <row r="1995" spans="1:5" x14ac:dyDescent="0.4">
      <c r="A1995" s="27">
        <v>44965</v>
      </c>
      <c r="B1995" s="29">
        <f>Cours_Hist_figé!B2059/Cours_Hist_figé!B1995 - 1</f>
        <v>9.9699033703734674E-2</v>
      </c>
      <c r="C1995" s="29">
        <f>Cours_Hist_figé!C2059/Cours_Hist_figé!C1995 - 1</f>
        <v>1.4853650428930498E-2</v>
      </c>
      <c r="D1995" s="29">
        <f>Cours_Hist_figé!D2059/Cours_Hist_figé!D1995 - 1</f>
        <v>4.5317227256989057E-3</v>
      </c>
      <c r="E1995" s="29">
        <f>Cours_Hist_figé!E2059/Cours_Hist_figé!E1995 - 1</f>
        <v>4.3103984746617474E-3</v>
      </c>
    </row>
    <row r="1996" spans="1:5" x14ac:dyDescent="0.4">
      <c r="A1996" s="27">
        <v>44966</v>
      </c>
      <c r="B1996" s="29">
        <f>Cours_Hist_figé!B2060/Cours_Hist_figé!B1996 - 1</f>
        <v>9.8821030094310869E-2</v>
      </c>
      <c r="C1996" s="29">
        <f>Cours_Hist_figé!C2060/Cours_Hist_figé!C1996 - 1</f>
        <v>1.4405579340635466E-2</v>
      </c>
      <c r="D1996" s="29">
        <f>Cours_Hist_figé!D2060/Cours_Hist_figé!D1996 - 1</f>
        <v>4.5596415680764224E-3</v>
      </c>
      <c r="E1996" s="29">
        <f>Cours_Hist_figé!E2060/Cours_Hist_figé!E1996 - 1</f>
        <v>4.3383300098267519E-3</v>
      </c>
    </row>
    <row r="1997" spans="1:5" x14ac:dyDescent="0.4">
      <c r="A1997" s="27">
        <v>44967</v>
      </c>
      <c r="B1997" s="29">
        <f>Cours_Hist_figé!B2061/Cours_Hist_figé!B1997 - 1</f>
        <v>9.2231707658957829E-2</v>
      </c>
      <c r="C1997" s="29">
        <f>Cours_Hist_figé!C2061/Cours_Hist_figé!C1997 - 1</f>
        <v>4.6416161946660761E-3</v>
      </c>
      <c r="D1997" s="29">
        <f>Cours_Hist_figé!D2061/Cours_Hist_figé!D1997 - 1</f>
        <v>4.5875736967320169E-3</v>
      </c>
      <c r="E1997" s="29">
        <f>Cours_Hist_figé!E2061/Cours_Hist_figé!E1997 - 1</f>
        <v>4.3662491777798351E-3</v>
      </c>
    </row>
    <row r="1998" spans="1:5" x14ac:dyDescent="0.4">
      <c r="A1998" s="27">
        <v>44970</v>
      </c>
      <c r="B1998" s="29">
        <f>Cours_Hist_figé!B2062/Cours_Hist_figé!B1998 - 1</f>
        <v>7.3172414352847603E-2</v>
      </c>
      <c r="C1998" s="29">
        <f>Cours_Hist_figé!C2062/Cours_Hist_figé!C1998 - 1</f>
        <v>-7.6592305631322244E-3</v>
      </c>
      <c r="D1998" s="29">
        <f>Cours_Hist_figé!D2062/Cours_Hist_figé!D1998 - 1</f>
        <v>4.7542210133235674E-3</v>
      </c>
      <c r="E1998" s="29">
        <f>Cours_Hist_figé!E2062/Cours_Hist_figé!E1998 - 1</f>
        <v>4.5281443107445529E-3</v>
      </c>
    </row>
    <row r="1999" spans="1:5" x14ac:dyDescent="0.4">
      <c r="A1999" s="27">
        <v>44971</v>
      </c>
      <c r="B1999" s="29">
        <f>Cours_Hist_figé!B2063/Cours_Hist_figé!B1999 - 1</f>
        <v>7.3532702686461393E-2</v>
      </c>
      <c r="C1999" s="29">
        <f>Cours_Hist_figé!C2063/Cours_Hist_figé!C1999 - 1</f>
        <v>-1.5212163346091101E-3</v>
      </c>
      <c r="D1999" s="29">
        <f>Cours_Hist_figé!D2063/Cours_Hist_figé!D1999 - 1</f>
        <v>4.7820570506660331E-3</v>
      </c>
      <c r="E1999" s="29">
        <f>Cours_Hist_figé!E2063/Cours_Hist_figé!E1999 - 1</f>
        <v>4.5559927474965178E-3</v>
      </c>
    </row>
    <row r="2000" spans="1:5" x14ac:dyDescent="0.4">
      <c r="A2000" s="27">
        <v>44972</v>
      </c>
      <c r="B2000" s="29">
        <f>Cours_Hist_figé!B2064/Cours_Hist_figé!B2000 - 1</f>
        <v>7.6330876572037631E-2</v>
      </c>
      <c r="C2000" s="29">
        <f>Cours_Hist_figé!C2064/Cours_Hist_figé!C2000 - 1</f>
        <v>-5.3516338502250793E-3</v>
      </c>
      <c r="D2000" s="29">
        <f>Cours_Hist_figé!D2064/Cours_Hist_figé!D2000 - 1</f>
        <v>4.726699792074962E-3</v>
      </c>
      <c r="E2000" s="29">
        <f>Cours_Hist_figé!E2064/Cours_Hist_figé!E2000 - 1</f>
        <v>4.5054249588847295E-3</v>
      </c>
    </row>
    <row r="2001" spans="1:5" x14ac:dyDescent="0.4">
      <c r="A2001" s="27">
        <v>44973</v>
      </c>
      <c r="B2001" s="29">
        <f>Cours_Hist_figé!B2065/Cours_Hist_figé!B2001 - 1</f>
        <v>7.4917226587381425E-2</v>
      </c>
      <c r="C2001" s="29">
        <f>Cours_Hist_figé!C2065/Cours_Hist_figé!C2001 - 1</f>
        <v>-1.1882876907040707E-2</v>
      </c>
      <c r="D2001" s="29">
        <f>Cours_Hist_figé!D2065/Cours_Hist_figé!D2001 - 1</f>
        <v>4.7547271417447412E-3</v>
      </c>
      <c r="E2001" s="29">
        <f>Cours_Hist_figé!E2065/Cours_Hist_figé!E2001 - 1</f>
        <v>4.5334527518225975E-3</v>
      </c>
    </row>
    <row r="2002" spans="1:5" x14ac:dyDescent="0.4">
      <c r="A2002" s="27">
        <v>44974</v>
      </c>
      <c r="B2002" s="29">
        <f>Cours_Hist_figé!B2066/Cours_Hist_figé!B2002 - 1</f>
        <v>8.303199124140126E-2</v>
      </c>
      <c r="C2002" s="29">
        <f>Cours_Hist_figé!C2066/Cours_Hist_figé!C2002 - 1</f>
        <v>-1.566914041080425E-2</v>
      </c>
      <c r="D2002" s="29">
        <f>Cours_Hist_figé!D2066/Cours_Hist_figé!D2002 - 1</f>
        <v>4.7825573310262826E-3</v>
      </c>
      <c r="E2002" s="29">
        <f>Cours_Hist_figé!E2066/Cours_Hist_figé!E2002 - 1</f>
        <v>4.5613465289882082E-3</v>
      </c>
    </row>
    <row r="2003" spans="1:5" x14ac:dyDescent="0.4">
      <c r="A2003" s="27">
        <v>44977</v>
      </c>
      <c r="B2003" s="29">
        <f>Cours_Hist_figé!B2067/Cours_Hist_figé!B2003 - 1</f>
        <v>8.8053399023197532E-2</v>
      </c>
      <c r="C2003" s="29">
        <f>Cours_Hist_figé!C2067/Cours_Hist_figé!C2003 - 1</f>
        <v>-1.4791171202880427E-2</v>
      </c>
      <c r="D2003" s="29">
        <f>Cours_Hist_figé!D2067/Cours_Hist_figé!D2003 - 1</f>
        <v>4.9489457263283132E-3</v>
      </c>
      <c r="E2003" s="29">
        <f>Cours_Hist_figé!E2067/Cours_Hist_figé!E2003 - 1</f>
        <v>4.7229969465392152E-3</v>
      </c>
    </row>
    <row r="2004" spans="1:5" x14ac:dyDescent="0.4">
      <c r="A2004" s="27">
        <v>44978</v>
      </c>
      <c r="B2004" s="29">
        <f>Cours_Hist_figé!B2068/Cours_Hist_figé!B2004 - 1</f>
        <v>7.3872257380943385E-2</v>
      </c>
      <c r="C2004" s="29">
        <f>Cours_Hist_figé!C2068/Cours_Hist_figé!C2004 - 1</f>
        <v>-2.2544755168504405E-2</v>
      </c>
      <c r="D2004" s="29">
        <f>Cours_Hist_figé!D2068/Cours_Hist_figé!D2004 - 1</f>
        <v>4.9767811829466435E-3</v>
      </c>
      <c r="E2004" s="29">
        <f>Cours_Hist_figé!E2068/Cours_Hist_figé!E2004 - 1</f>
        <v>4.7508403039908664E-3</v>
      </c>
    </row>
    <row r="2005" spans="1:5" x14ac:dyDescent="0.4">
      <c r="A2005" s="27">
        <v>44979</v>
      </c>
      <c r="B2005" s="29">
        <f>Cours_Hist_figé!B2069/Cours_Hist_figé!B2005 - 1</f>
        <v>7.1338333236512064E-2</v>
      </c>
      <c r="C2005" s="29">
        <f>Cours_Hist_figé!C2069/Cours_Hist_figé!C2005 - 1</f>
        <v>-2.3059993421927327E-2</v>
      </c>
      <c r="D2005" s="29">
        <f>Cours_Hist_figé!D2069/Cours_Hist_figé!D2005 - 1</f>
        <v>4.9215174224304103E-3</v>
      </c>
      <c r="E2005" s="29">
        <f>Cours_Hist_figé!E2069/Cours_Hist_figé!E2005 - 1</f>
        <v>4.7003145285646752E-3</v>
      </c>
    </row>
    <row r="2006" spans="1:5" x14ac:dyDescent="0.4">
      <c r="A2006" s="27">
        <v>44980</v>
      </c>
      <c r="B2006" s="29">
        <f>Cours_Hist_figé!B2070/Cours_Hist_figé!B2006 - 1</f>
        <v>6.3960528284534801E-2</v>
      </c>
      <c r="C2006" s="29">
        <f>Cours_Hist_figé!C2070/Cours_Hist_figé!C2006 - 1</f>
        <v>-2.1137432430719527E-2</v>
      </c>
      <c r="D2006" s="29">
        <f>Cours_Hist_figé!D2070/Cours_Hist_figé!D2006 - 1</f>
        <v>4.9493571646093137E-3</v>
      </c>
      <c r="E2006" s="29">
        <f>Cours_Hist_figé!E2070/Cours_Hist_figé!E2006 - 1</f>
        <v>4.7281035570869712E-3</v>
      </c>
    </row>
    <row r="2007" spans="1:5" x14ac:dyDescent="0.4">
      <c r="A2007" s="27">
        <v>44981</v>
      </c>
      <c r="B2007" s="29">
        <f>Cours_Hist_figé!B2071/Cours_Hist_figé!B2007 - 1</f>
        <v>4.6338272729416818E-2</v>
      </c>
      <c r="C2007" s="29">
        <f>Cours_Hist_figé!C2071/Cours_Hist_figé!C2007 - 1</f>
        <v>-2.9901748415395168E-2</v>
      </c>
      <c r="D2007" s="29">
        <f>Cours_Hist_figé!D2071/Cours_Hist_figé!D2007 - 1</f>
        <v>4.9770849827255326E-3</v>
      </c>
      <c r="E2007" s="29">
        <f>Cours_Hist_figé!E2071/Cours_Hist_figé!E2007 - 1</f>
        <v>4.7558699840695162E-3</v>
      </c>
    </row>
    <row r="2008" spans="1:5" x14ac:dyDescent="0.4">
      <c r="A2008" s="27">
        <v>44984</v>
      </c>
      <c r="B2008" s="29">
        <f>Cours_Hist_figé!B2072/Cours_Hist_figé!B2008 - 1</f>
        <v>5.2638538155570291E-2</v>
      </c>
      <c r="C2008" s="29">
        <f>Cours_Hist_figé!C2072/Cours_Hist_figé!C2008 - 1</f>
        <v>-3.7405515196287875E-2</v>
      </c>
      <c r="D2008" s="29">
        <f>Cours_Hist_figé!D2072/Cours_Hist_figé!D2008 - 1</f>
        <v>5.1434010780924133E-3</v>
      </c>
      <c r="E2008" s="29">
        <f>Cours_Hist_figé!E2072/Cours_Hist_figé!E2008 - 1</f>
        <v>4.9174377190261964E-3</v>
      </c>
    </row>
    <row r="2009" spans="1:5" x14ac:dyDescent="0.4">
      <c r="A2009" s="27">
        <v>44985</v>
      </c>
      <c r="B2009" s="29">
        <f>Cours_Hist_figé!B2073/Cours_Hist_figé!B2009 - 1</f>
        <v>4.8817587031583454E-2</v>
      </c>
      <c r="C2009" s="29">
        <f>Cours_Hist_figé!C2073/Cours_Hist_figé!C2009 - 1</f>
        <v>-3.3423491950019812E-2</v>
      </c>
      <c r="D2009" s="29">
        <f>Cours_Hist_figé!D2073/Cours_Hist_figé!D2009 - 1</f>
        <v>5.1711419396580638E-3</v>
      </c>
      <c r="E2009" s="29">
        <f>Cours_Hist_figé!E2073/Cours_Hist_figé!E2009 - 1</f>
        <v>4.9451538669902373E-3</v>
      </c>
    </row>
    <row r="2010" spans="1:5" x14ac:dyDescent="0.4">
      <c r="A2010" s="27">
        <v>44986</v>
      </c>
      <c r="B2010" s="29">
        <f>Cours_Hist_figé!B2074/Cours_Hist_figé!B2010 - 1</f>
        <v>4.7616762949894031E-2</v>
      </c>
      <c r="C2010" s="29">
        <f>Cours_Hist_figé!C2074/Cours_Hist_figé!C2010 - 1</f>
        <v>-3.7161412114468551E-2</v>
      </c>
      <c r="D2010" s="29">
        <f>Cours_Hist_figé!D2074/Cours_Hist_figé!D2010 - 1</f>
        <v>5.1155660756567745E-3</v>
      </c>
      <c r="E2010" s="29">
        <f>Cours_Hist_figé!E2074/Cours_Hist_figé!E2010 - 1</f>
        <v>4.8943248095185687E-3</v>
      </c>
    </row>
    <row r="2011" spans="1:5" x14ac:dyDescent="0.4">
      <c r="A2011" s="27">
        <v>44987</v>
      </c>
      <c r="B2011" s="29">
        <f>Cours_Hist_figé!B2075/Cours_Hist_figé!B2011 - 1</f>
        <v>5.4733649261520911E-2</v>
      </c>
      <c r="C2011" s="29">
        <f>Cours_Hist_figé!C2075/Cours_Hist_figé!C2011 - 1</f>
        <v>-4.3305700907525724E-2</v>
      </c>
      <c r="D2011" s="29">
        <f>Cours_Hist_figé!D2075/Cours_Hist_figé!D2011 - 1</f>
        <v>5.1434052878094327E-3</v>
      </c>
      <c r="E2011" s="29">
        <f>Cours_Hist_figé!E2075/Cours_Hist_figé!E2011 - 1</f>
        <v>4.9220986461739891E-3</v>
      </c>
    </row>
    <row r="2012" spans="1:5" x14ac:dyDescent="0.4">
      <c r="A2012" s="27">
        <v>44988</v>
      </c>
      <c r="B2012" s="29">
        <f>Cours_Hist_figé!B2076/Cours_Hist_figé!B2012 - 1</f>
        <v>5.7020902198284817E-2</v>
      </c>
      <c r="C2012" s="29">
        <f>Cours_Hist_figé!C2076/Cours_Hist_figé!C2012 - 1</f>
        <v>-4.0161732452563825E-2</v>
      </c>
      <c r="D2012" s="29">
        <f>Cours_Hist_figé!D2076/Cours_Hist_figé!D2012 - 1</f>
        <v>5.1712499499634301E-3</v>
      </c>
      <c r="E2012" s="29">
        <f>Cours_Hist_figé!E2076/Cours_Hist_figé!E2012 - 1</f>
        <v>4.9499211322392433E-3</v>
      </c>
    </row>
    <row r="2013" spans="1:5" x14ac:dyDescent="0.4">
      <c r="A2013" s="27">
        <v>44991</v>
      </c>
      <c r="B2013" s="29">
        <f>Cours_Hist_figé!B2077/Cours_Hist_figé!B2013 - 1</f>
        <v>4.7707460334515339E-2</v>
      </c>
      <c r="C2013" s="29">
        <f>Cours_Hist_figé!C2077/Cours_Hist_figé!C2013 - 1</f>
        <v>-4.7613195236826278E-2</v>
      </c>
      <c r="D2013" s="29">
        <f>Cours_Hist_figé!D2077/Cours_Hist_figé!D2013 - 1</f>
        <v>5.3381973579742503E-3</v>
      </c>
      <c r="E2013" s="29">
        <f>Cours_Hist_figé!E2077/Cours_Hist_figé!E2013 - 1</f>
        <v>5.1120781505318291E-3</v>
      </c>
    </row>
    <row r="2014" spans="1:5" x14ac:dyDescent="0.4">
      <c r="A2014" s="27">
        <v>44992</v>
      </c>
      <c r="B2014" s="29">
        <f>Cours_Hist_figé!B2078/Cours_Hist_figé!B2014 - 1</f>
        <v>4.1683632743481747E-2</v>
      </c>
      <c r="C2014" s="29">
        <f>Cours_Hist_figé!C2078/Cours_Hist_figé!C2014 - 1</f>
        <v>-4.4745504271849423E-2</v>
      </c>
      <c r="D2014" s="29">
        <f>Cours_Hist_figé!D2078/Cours_Hist_figé!D2014 - 1</f>
        <v>5.36604726194434E-3</v>
      </c>
      <c r="E2014" s="29">
        <f>Cours_Hist_figé!E2078/Cours_Hist_figé!E2014 - 1</f>
        <v>5.1399623336703115E-3</v>
      </c>
    </row>
    <row r="2015" spans="1:5" x14ac:dyDescent="0.4">
      <c r="A2015" s="27">
        <v>44993</v>
      </c>
      <c r="B2015" s="29">
        <f>Cours_Hist_figé!B2079/Cours_Hist_figé!B2015 - 1</f>
        <v>4.6587900040050867E-2</v>
      </c>
      <c r="C2015" s="29">
        <f>Cours_Hist_figé!C2079/Cours_Hist_figé!C2015 - 1</f>
        <v>-4.1311797012397178E-2</v>
      </c>
      <c r="D2015" s="29">
        <f>Cours_Hist_figé!D2079/Cours_Hist_figé!D2015 - 1</f>
        <v>5.3109625716256659E-3</v>
      </c>
      <c r="E2015" s="29">
        <f>Cours_Hist_figé!E2079/Cours_Hist_figé!E2015 - 1</f>
        <v>5.0896629438652585E-3</v>
      </c>
    </row>
    <row r="2016" spans="1:5" x14ac:dyDescent="0.4">
      <c r="A2016" s="27">
        <v>44994</v>
      </c>
      <c r="B2016" s="29">
        <f>Cours_Hist_figé!B2080/Cours_Hist_figé!B2016 - 1</f>
        <v>5.1186198803297556E-2</v>
      </c>
      <c r="C2016" s="29">
        <f>Cours_Hist_figé!C2080/Cours_Hist_figé!C2016 - 1</f>
        <v>-4.6043213140967043E-2</v>
      </c>
      <c r="D2016" s="29">
        <f>Cours_Hist_figé!D2080/Cours_Hist_figé!D2016 - 1</f>
        <v>5.3389029088111162E-3</v>
      </c>
      <c r="E2016" s="29">
        <f>Cours_Hist_figé!E2080/Cours_Hist_figé!E2016 - 1</f>
        <v>5.1176149556471096E-3</v>
      </c>
    </row>
    <row r="2017" spans="1:5" x14ac:dyDescent="0.4">
      <c r="A2017" s="27">
        <v>44995</v>
      </c>
      <c r="B2017" s="29">
        <f>Cours_Hist_figé!B2081/Cours_Hist_figé!B2017 - 1</f>
        <v>4.408803389889826E-2</v>
      </c>
      <c r="C2017" s="29">
        <f>Cours_Hist_figé!C2081/Cours_Hist_figé!C2017 - 1</f>
        <v>-3.838214301981524E-2</v>
      </c>
      <c r="D2017" s="29">
        <f>Cours_Hist_figé!D2081/Cours_Hist_figé!D2017 - 1</f>
        <v>5.3667542412110247E-3</v>
      </c>
      <c r="E2017" s="29">
        <f>Cours_Hist_figé!E2081/Cours_Hist_figé!E2017 - 1</f>
        <v>5.1453912175285499E-3</v>
      </c>
    </row>
    <row r="2018" spans="1:5" x14ac:dyDescent="0.4">
      <c r="A2018" s="27">
        <v>44998</v>
      </c>
      <c r="B2018" s="29">
        <f>Cours_Hist_figé!B2082/Cours_Hist_figé!B2018 - 1</f>
        <v>2.118772183515194E-2</v>
      </c>
      <c r="C2018" s="29">
        <f>Cours_Hist_figé!C2082/Cours_Hist_figé!C2018 - 1</f>
        <v>-2.6514903712069215E-2</v>
      </c>
      <c r="D2018" s="29">
        <f>Cours_Hist_figé!D2082/Cours_Hist_figé!D2018 - 1</f>
        <v>5.5337299388165118E-3</v>
      </c>
      <c r="E2018" s="29">
        <f>Cours_Hist_figé!E2082/Cours_Hist_figé!E2018 - 1</f>
        <v>5.3076068732633708E-3</v>
      </c>
    </row>
    <row r="2019" spans="1:5" x14ac:dyDescent="0.4">
      <c r="A2019" s="27">
        <v>44999</v>
      </c>
      <c r="B2019" s="29">
        <f>Cours_Hist_figé!B2083/Cours_Hist_figé!B2019 - 1</f>
        <v>2.8102137836899077E-2</v>
      </c>
      <c r="C2019" s="29">
        <f>Cours_Hist_figé!C2083/Cours_Hist_figé!C2019 - 1</f>
        <v>-3.0672752203552145E-2</v>
      </c>
      <c r="D2019" s="29">
        <f>Cours_Hist_figé!D2083/Cours_Hist_figé!D2019 - 1</f>
        <v>5.561688222447847E-3</v>
      </c>
      <c r="E2019" s="29">
        <f>Cours_Hist_figé!E2083/Cours_Hist_figé!E2019 - 1</f>
        <v>5.3355467822424618E-3</v>
      </c>
    </row>
    <row r="2020" spans="1:5" x14ac:dyDescent="0.4">
      <c r="A2020" s="27">
        <v>45000</v>
      </c>
      <c r="B2020" s="29">
        <f>Cours_Hist_figé!B2084/Cours_Hist_figé!B2020 - 1</f>
        <v>3.6005369502738471E-3</v>
      </c>
      <c r="C2020" s="29">
        <f>Cours_Hist_figé!C2084/Cours_Hist_figé!C2020 - 1</f>
        <v>-1.4666223115100685E-2</v>
      </c>
      <c r="D2020" s="29">
        <f>Cours_Hist_figé!D2084/Cours_Hist_figé!D2020 - 1</f>
        <v>5.5066884849264142E-3</v>
      </c>
      <c r="E2020" s="29">
        <f>Cours_Hist_figé!E2084/Cours_Hist_figé!E2020 - 1</f>
        <v>5.2853192198460963E-3</v>
      </c>
    </row>
    <row r="2021" spans="1:5" x14ac:dyDescent="0.4">
      <c r="A2021" s="27">
        <v>45001</v>
      </c>
      <c r="B2021" s="29">
        <f>Cours_Hist_figé!B2085/Cours_Hist_figé!B2021 - 1</f>
        <v>3.8173193926942517E-3</v>
      </c>
      <c r="C2021" s="29">
        <f>Cours_Hist_figé!C2085/Cours_Hist_figé!C2021 - 1</f>
        <v>-2.0974522136026352E-2</v>
      </c>
      <c r="D2021" s="29">
        <f>Cours_Hist_figé!D2085/Cours_Hist_figé!D2021 - 1</f>
        <v>5.5345420203689599E-3</v>
      </c>
      <c r="E2021" s="29">
        <f>Cours_Hist_figé!E2085/Cours_Hist_figé!E2021 - 1</f>
        <v>5.313245512426068E-3</v>
      </c>
    </row>
    <row r="2022" spans="1:5" x14ac:dyDescent="0.4">
      <c r="A2022" s="27">
        <v>45002</v>
      </c>
      <c r="B2022" s="29">
        <f>Cours_Hist_figé!B2086/Cours_Hist_figé!B2022 - 1</f>
        <v>-7.7065311512006796E-3</v>
      </c>
      <c r="C2022" s="29">
        <f>Cours_Hist_figé!C2086/Cours_Hist_figé!C2022 - 1</f>
        <v>-1.1641765429391437E-2</v>
      </c>
      <c r="D2022" s="29">
        <f>Cours_Hist_figé!D2086/Cours_Hist_figé!D2022 - 1</f>
        <v>5.5623932551986943E-3</v>
      </c>
      <c r="E2022" s="29">
        <f>Cours_Hist_figé!E2086/Cours_Hist_figé!E2022 - 1</f>
        <v>5.3411392215023668E-3</v>
      </c>
    </row>
    <row r="2023" spans="1:5" x14ac:dyDescent="0.4">
      <c r="A2023" s="27">
        <v>45005</v>
      </c>
      <c r="B2023" s="29">
        <f>Cours_Hist_figé!B2087/Cours_Hist_figé!B2023 - 1</f>
        <v>3.1260524354327357E-2</v>
      </c>
      <c r="C2023" s="29">
        <f>Cours_Hist_figé!C2087/Cours_Hist_figé!C2023 - 1</f>
        <v>-1.5497750241796338E-3</v>
      </c>
      <c r="D2023" s="29">
        <f>Cours_Hist_figé!D2087/Cours_Hist_figé!D2023 - 1</f>
        <v>5.7293120419530386E-3</v>
      </c>
      <c r="E2023" s="29">
        <f>Cours_Hist_figé!E2087/Cours_Hist_figé!E2023 - 1</f>
        <v>5.5032214770542875E-3</v>
      </c>
    </row>
    <row r="2024" spans="1:5" x14ac:dyDescent="0.4">
      <c r="A2024" s="27">
        <v>45006</v>
      </c>
      <c r="B2024" s="29">
        <f>Cours_Hist_figé!B2088/Cours_Hist_figé!B2024 - 1</f>
        <v>5.7181346094644869E-2</v>
      </c>
      <c r="C2024" s="29">
        <f>Cours_Hist_figé!C2088/Cours_Hist_figé!C2024 - 1</f>
        <v>-1.548818667345464E-3</v>
      </c>
      <c r="D2024" s="29">
        <f>Cours_Hist_figé!D2088/Cours_Hist_figé!D2024 - 1</f>
        <v>5.7571684570378867E-3</v>
      </c>
      <c r="E2024" s="29">
        <f>Cours_Hist_figé!E2088/Cours_Hist_figé!E2024 - 1</f>
        <v>5.5310037596454364E-3</v>
      </c>
    </row>
    <row r="2025" spans="1:5" x14ac:dyDescent="0.4">
      <c r="A2025" s="27">
        <v>45007</v>
      </c>
      <c r="B2025" s="29">
        <f>Cours_Hist_figé!B2089/Cours_Hist_figé!B2025 - 1</f>
        <v>5.6794643881072027E-2</v>
      </c>
      <c r="C2025" s="29">
        <f>Cours_Hist_figé!C2089/Cours_Hist_figé!C2025 - 1</f>
        <v>-3.3368927445004415E-3</v>
      </c>
      <c r="D2025" s="29">
        <f>Cours_Hist_figé!D2089/Cours_Hist_figé!D2025 - 1</f>
        <v>5.7019650854022164E-3</v>
      </c>
      <c r="E2025" s="29">
        <f>Cours_Hist_figé!E2089/Cours_Hist_figé!E2025 - 1</f>
        <v>5.4805429939830397E-3</v>
      </c>
    </row>
    <row r="2026" spans="1:5" x14ac:dyDescent="0.4">
      <c r="A2026" s="27">
        <v>45008</v>
      </c>
      <c r="B2026" s="29">
        <f>Cours_Hist_figé!B2090/Cours_Hist_figé!B2026 - 1</f>
        <v>5.8673649223274227E-2</v>
      </c>
      <c r="C2026" s="29">
        <f>Cours_Hist_figé!C2090/Cours_Hist_figé!C2026 - 1</f>
        <v>1.116149052302795E-2</v>
      </c>
      <c r="D2026" s="29">
        <f>Cours_Hist_figé!D2090/Cours_Hist_figé!D2026 - 1</f>
        <v>5.743796035390325E-3</v>
      </c>
      <c r="E2026" s="29">
        <f>Cours_Hist_figé!E2090/Cours_Hist_figé!E2026 - 1</f>
        <v>5.5222977659099559E-3</v>
      </c>
    </row>
    <row r="2027" spans="1:5" x14ac:dyDescent="0.4">
      <c r="A2027" s="27">
        <v>45009</v>
      </c>
      <c r="B2027" s="29">
        <f>Cours_Hist_figé!B2091/Cours_Hist_figé!B2027 - 1</f>
        <v>2.7704243779060445E-2</v>
      </c>
      <c r="C2027" s="29">
        <f>Cours_Hist_figé!C2091/Cours_Hist_figé!C2027 - 1</f>
        <v>1.5477438614018624E-2</v>
      </c>
      <c r="D2027" s="29">
        <f>Cours_Hist_figé!D2091/Cours_Hist_figé!D2027 - 1</f>
        <v>5.7856313575570528E-3</v>
      </c>
      <c r="E2027" s="29">
        <f>Cours_Hist_figé!E2091/Cours_Hist_figé!E2027 - 1</f>
        <v>5.5640796870395359E-3</v>
      </c>
    </row>
    <row r="2028" spans="1:5" x14ac:dyDescent="0.4">
      <c r="A2028" s="27">
        <v>45012</v>
      </c>
      <c r="B2028" s="29">
        <f>Cours_Hist_figé!B2092/Cours_Hist_figé!B2028 - 1</f>
        <v>4.8577413752231458E-2</v>
      </c>
      <c r="C2028" s="29">
        <f>Cours_Hist_figé!C2092/Cours_Hist_figé!C2028 - 1</f>
        <v>1.3632919515870645E-2</v>
      </c>
      <c r="D2028" s="29">
        <f>Cours_Hist_figé!D2092/Cours_Hist_figé!D2028 - 1</f>
        <v>5.9802387482255082E-3</v>
      </c>
      <c r="E2028" s="29">
        <f>Cours_Hist_figé!E2092/Cours_Hist_figé!E2028 - 1</f>
        <v>5.7538672869290597E-3</v>
      </c>
    </row>
    <row r="2029" spans="1:5" x14ac:dyDescent="0.4">
      <c r="A2029" s="27">
        <v>45013</v>
      </c>
      <c r="B2029" s="29">
        <f>Cours_Hist_figé!B2093/Cours_Hist_figé!B2029 - 1</f>
        <v>4.8064217599185444E-2</v>
      </c>
      <c r="C2029" s="29">
        <f>Cours_Hist_figé!C2093/Cours_Hist_figé!C2029 - 1</f>
        <v>1.0914173808754368E-2</v>
      </c>
      <c r="D2029" s="29">
        <f>Cours_Hist_figé!D2093/Cours_Hist_figé!D2029 - 1</f>
        <v>6.0080077718620561E-3</v>
      </c>
      <c r="E2029" s="29">
        <f>Cours_Hist_figé!E2093/Cours_Hist_figé!E2029 - 1</f>
        <v>5.7816324110600004E-3</v>
      </c>
    </row>
    <row r="2030" spans="1:5" x14ac:dyDescent="0.4">
      <c r="A2030" s="27">
        <v>45014</v>
      </c>
      <c r="B2030" s="29">
        <f>Cours_Hist_figé!B2094/Cours_Hist_figé!B2030 - 1</f>
        <v>6.1239378290771862E-2</v>
      </c>
      <c r="C2030" s="29">
        <f>Cours_Hist_figé!C2094/Cours_Hist_figé!C2030 - 1</f>
        <v>1.7257202910586855E-2</v>
      </c>
      <c r="D2030" s="29">
        <f>Cours_Hist_figé!D2094/Cours_Hist_figé!D2030 - 1</f>
        <v>5.8130790583530434E-3</v>
      </c>
      <c r="E2030" s="29">
        <f>Cours_Hist_figé!E2094/Cours_Hist_figé!E2030 - 1</f>
        <v>5.5961689566517148E-3</v>
      </c>
    </row>
    <row r="2031" spans="1:5" x14ac:dyDescent="0.4">
      <c r="A2031" s="27">
        <v>45015</v>
      </c>
      <c r="B2031" s="29">
        <f>Cours_Hist_figé!B2095/Cours_Hist_figé!B2031 - 1</f>
        <v>6.4950572329152134E-2</v>
      </c>
      <c r="C2031" s="29">
        <f>Cours_Hist_figé!C2095/Cours_Hist_figé!C2031 - 1</f>
        <v>1.1368041869931789E-2</v>
      </c>
      <c r="D2031" s="29">
        <f>Cours_Hist_figé!D2095/Cours_Hist_figé!D2031 - 1</f>
        <v>5.840739109978621E-3</v>
      </c>
      <c r="E2031" s="29">
        <f>Cours_Hist_figé!E2095/Cours_Hist_figé!E2031 - 1</f>
        <v>5.623760931137145E-3</v>
      </c>
    </row>
    <row r="2032" spans="1:5" x14ac:dyDescent="0.4">
      <c r="A2032" s="27">
        <v>45016</v>
      </c>
      <c r="B2032" s="29">
        <f>Cours_Hist_figé!B2096/Cours_Hist_figé!B2032 - 1</f>
        <v>8.6069817113570091E-2</v>
      </c>
      <c r="C2032" s="29">
        <f>Cours_Hist_figé!C2096/Cours_Hist_figé!C2032 - 1</f>
        <v>2.0862491430283958E-2</v>
      </c>
      <c r="D2032" s="29">
        <f>Cours_Hist_figé!D2096/Cours_Hist_figé!D2032 - 1</f>
        <v>5.8683960572580851E-3</v>
      </c>
      <c r="E2032" s="29">
        <f>Cours_Hist_figé!E2096/Cours_Hist_figé!E2032 - 1</f>
        <v>5.6514413792501106E-3</v>
      </c>
    </row>
    <row r="2033" spans="1:5" x14ac:dyDescent="0.4">
      <c r="A2033" s="27">
        <v>45019</v>
      </c>
      <c r="B2033" s="29">
        <f>Cours_Hist_figé!B2097/Cours_Hist_figé!B2033 - 1</f>
        <v>6.1957842800350216E-2</v>
      </c>
      <c r="C2033" s="29">
        <f>Cours_Hist_figé!C2097/Cours_Hist_figé!C2033 - 1</f>
        <v>1.4634035250824073E-2</v>
      </c>
      <c r="D2033" s="29">
        <f>Cours_Hist_figé!D2097/Cours_Hist_figé!D2033 - 1</f>
        <v>5.8960517633002141E-3</v>
      </c>
      <c r="E2033" s="29">
        <f>Cours_Hist_figé!E2097/Cours_Hist_figé!E2033 - 1</f>
        <v>5.681485413568943E-3</v>
      </c>
    </row>
    <row r="2034" spans="1:5" x14ac:dyDescent="0.4">
      <c r="A2034" s="27">
        <v>45020</v>
      </c>
      <c r="B2034" s="29">
        <f>Cours_Hist_figé!B2098/Cours_Hist_figé!B2034 - 1</f>
        <v>4.6195002019069342E-2</v>
      </c>
      <c r="C2034" s="29">
        <f>Cours_Hist_figé!C2098/Cours_Hist_figé!C2034 - 1</f>
        <v>5.7533890842924595E-3</v>
      </c>
      <c r="D2034" s="29">
        <f>Cours_Hist_figé!D2098/Cours_Hist_figé!D2034 - 1</f>
        <v>5.9238068230522689E-3</v>
      </c>
      <c r="E2034" s="29">
        <f>Cours_Hist_figé!E2098/Cours_Hist_figé!E2034 - 1</f>
        <v>5.7092466629544703E-3</v>
      </c>
    </row>
    <row r="2035" spans="1:5" x14ac:dyDescent="0.4">
      <c r="A2035" s="27">
        <v>45021</v>
      </c>
      <c r="B2035" s="29">
        <f>Cours_Hist_figé!B2099/Cours_Hist_figé!B2035 - 1</f>
        <v>4.7115319282429402E-2</v>
      </c>
      <c r="C2035" s="29">
        <f>Cours_Hist_figé!C2099/Cours_Hist_figé!C2035 - 1</f>
        <v>1.4397461159799674E-2</v>
      </c>
      <c r="D2035" s="29">
        <f>Cours_Hist_figé!D2099/Cours_Hist_figé!D2035 - 1</f>
        <v>5.9515743655502718E-3</v>
      </c>
      <c r="E2035" s="29">
        <f>Cours_Hist_figé!E2099/Cours_Hist_figé!E2035 - 1</f>
        <v>5.7370252866533189E-3</v>
      </c>
    </row>
    <row r="2036" spans="1:5" x14ac:dyDescent="0.4">
      <c r="A2036" s="27">
        <v>45022</v>
      </c>
      <c r="B2036" s="29">
        <f>Cours_Hist_figé!B2100/Cours_Hist_figé!B2036 - 1</f>
        <v>4.1047869527308212E-2</v>
      </c>
      <c r="C2036" s="29">
        <f>Cours_Hist_figé!C2100/Cours_Hist_figé!C2036 - 1</f>
        <v>7.336412400709813E-3</v>
      </c>
      <c r="D2036" s="29">
        <f>Cours_Hist_figé!D2100/Cours_Hist_figé!D2036 - 1</f>
        <v>5.979635475794387E-3</v>
      </c>
      <c r="E2036" s="29">
        <f>Cours_Hist_figé!E2100/Cours_Hist_figé!E2036 - 1</f>
        <v>5.7650141997149795E-3</v>
      </c>
    </row>
    <row r="2037" spans="1:5" x14ac:dyDescent="0.4">
      <c r="A2037" s="27">
        <v>45027</v>
      </c>
      <c r="B2037" s="29">
        <f>Cours_Hist_figé!B2101/Cours_Hist_figé!B2037 - 1</f>
        <v>3.8320042206576144E-2</v>
      </c>
      <c r="C2037" s="29">
        <f>Cours_Hist_figé!C2101/Cours_Hist_figé!C2037 - 1</f>
        <v>1.1319545007351106E-3</v>
      </c>
      <c r="D2037" s="29">
        <f>Cours_Hist_figé!D2101/Cours_Hist_figé!D2037 - 1</f>
        <v>6.230778811822324E-3</v>
      </c>
      <c r="E2037" s="29">
        <f>Cours_Hist_figé!E2101/Cours_Hist_figé!E2037 - 1</f>
        <v>6.0114182351829193E-3</v>
      </c>
    </row>
    <row r="2038" spans="1:5" x14ac:dyDescent="0.4">
      <c r="A2038" s="27">
        <v>45028</v>
      </c>
      <c r="B2038" s="29">
        <f>Cours_Hist_figé!B2102/Cours_Hist_figé!B2038 - 1</f>
        <v>4.6333890443546188E-2</v>
      </c>
      <c r="C2038" s="29">
        <f>Cours_Hist_figé!C2102/Cours_Hist_figé!C2038 - 1</f>
        <v>1.0820887907314614E-3</v>
      </c>
      <c r="D2038" s="29">
        <f>Cours_Hist_figé!D2102/Cours_Hist_figé!D2038 - 1</f>
        <v>6.258655056247564E-3</v>
      </c>
      <c r="E2038" s="29">
        <f>Cours_Hist_figé!E2102/Cours_Hist_figé!E2038 - 1</f>
        <v>6.0392753448663683E-3</v>
      </c>
    </row>
    <row r="2039" spans="1:5" x14ac:dyDescent="0.4">
      <c r="A2039" s="27">
        <v>45029</v>
      </c>
      <c r="B2039" s="29">
        <f>Cours_Hist_figé!B2103/Cours_Hist_figé!B2039 - 1</f>
        <v>4.6865156001735908E-2</v>
      </c>
      <c r="C2039" s="29">
        <f>Cours_Hist_figé!C2103/Cours_Hist_figé!C2039 - 1</f>
        <v>-6.0376972888501745E-3</v>
      </c>
      <c r="D2039" s="29">
        <f>Cours_Hist_figé!D2103/Cours_Hist_figé!D2039 - 1</f>
        <v>6.2866292364245346E-3</v>
      </c>
      <c r="E2039" s="29">
        <f>Cours_Hist_figé!E2103/Cours_Hist_figé!E2039 - 1</f>
        <v>6.0671598839954211E-3</v>
      </c>
    </row>
    <row r="2040" spans="1:5" x14ac:dyDescent="0.4">
      <c r="A2040" s="27">
        <v>45030</v>
      </c>
      <c r="B2040" s="29">
        <f>Cours_Hist_figé!B2104/Cours_Hist_figé!B2040 - 1</f>
        <v>4.627451921397352E-2</v>
      </c>
      <c r="C2040" s="29">
        <f>Cours_Hist_figé!C2104/Cours_Hist_figé!C2040 - 1</f>
        <v>-1.2419407304846697E-2</v>
      </c>
      <c r="D2040" s="29">
        <f>Cours_Hist_figé!D2104/Cours_Hist_figé!D2040 - 1</f>
        <v>6.3146003340790458E-3</v>
      </c>
      <c r="E2040" s="29">
        <f>Cours_Hist_figé!E2104/Cours_Hist_figé!E2040 - 1</f>
        <v>6.0950717865291271E-3</v>
      </c>
    </row>
    <row r="2041" spans="1:5" x14ac:dyDescent="0.4">
      <c r="A2041" s="27">
        <v>45033</v>
      </c>
      <c r="B2041" s="29">
        <f>Cours_Hist_figé!B2105/Cours_Hist_figé!B2041 - 1</f>
        <v>4.0923348208188104E-2</v>
      </c>
      <c r="C2041" s="29">
        <f>Cours_Hist_figé!C2105/Cours_Hist_figé!C2041 - 1</f>
        <v>-1.5214893914964334E-2</v>
      </c>
      <c r="D2041" s="29">
        <f>Cours_Hist_figé!D2105/Cours_Hist_figé!D2041 - 1</f>
        <v>6.5091137494899254E-3</v>
      </c>
      <c r="E2041" s="29">
        <f>Cours_Hist_figé!E2105/Cours_Hist_figé!E2041 - 1</f>
        <v>6.2847729502863992E-3</v>
      </c>
    </row>
    <row r="2042" spans="1:5" x14ac:dyDescent="0.4">
      <c r="A2042" s="27">
        <v>45034</v>
      </c>
      <c r="B2042" s="29">
        <f>Cours_Hist_figé!B2106/Cours_Hist_figé!B2042 - 1</f>
        <v>4.0014565873709662E-2</v>
      </c>
      <c r="C2042" s="29">
        <f>Cours_Hist_figé!C2106/Cours_Hist_figé!C2042 - 1</f>
        <v>-1.3294740090399215E-2</v>
      </c>
      <c r="D2042" s="29">
        <f>Cours_Hist_figé!D2106/Cours_Hist_figé!D2042 - 1</f>
        <v>6.4258851489455981E-3</v>
      </c>
      <c r="E2042" s="29">
        <f>Cours_Hist_figé!E2106/Cours_Hist_figé!E2042 - 1</f>
        <v>6.2063554592313164E-3</v>
      </c>
    </row>
    <row r="2043" spans="1:5" x14ac:dyDescent="0.4">
      <c r="A2043" s="27">
        <v>45035</v>
      </c>
      <c r="B2043" s="29">
        <f>Cours_Hist_figé!B2107/Cours_Hist_figé!B2043 - 1</f>
        <v>3.4752649254380596E-2</v>
      </c>
      <c r="C2043" s="29">
        <f>Cours_Hist_figé!C2107/Cours_Hist_figé!C2043 - 1</f>
        <v>-2.2133280509344266E-2</v>
      </c>
      <c r="D2043" s="29">
        <f>Cours_Hist_figé!D2107/Cours_Hist_figé!D2043 - 1</f>
        <v>6.4537624046299147E-3</v>
      </c>
      <c r="E2043" s="29">
        <f>Cours_Hist_figé!E2107/Cours_Hist_figé!E2043 - 1</f>
        <v>6.2342724491668555E-3</v>
      </c>
    </row>
    <row r="2044" spans="1:5" x14ac:dyDescent="0.4">
      <c r="A2044" s="27">
        <v>45036</v>
      </c>
      <c r="B2044" s="29">
        <f>Cours_Hist_figé!B2108/Cours_Hist_figé!B2044 - 1</f>
        <v>3.0944610708813824E-2</v>
      </c>
      <c r="C2044" s="29">
        <f>Cours_Hist_figé!C2108/Cours_Hist_figé!C2044 - 1</f>
        <v>-2.5972505718581673E-2</v>
      </c>
      <c r="D2044" s="29">
        <f>Cours_Hist_figé!D2108/Cours_Hist_figé!D2044 - 1</f>
        <v>6.4817453706143002E-3</v>
      </c>
      <c r="E2044" s="29">
        <f>Cours_Hist_figé!E2108/Cours_Hist_figé!E2044 - 1</f>
        <v>6.2622473960725067E-3</v>
      </c>
    </row>
    <row r="2045" spans="1:5" x14ac:dyDescent="0.4">
      <c r="A2045" s="27">
        <v>45037</v>
      </c>
      <c r="B2045" s="29">
        <f>Cours_Hist_figé!B2109/Cours_Hist_figé!B2045 - 1</f>
        <v>5.0676169880522481E-2</v>
      </c>
      <c r="C2045" s="29">
        <f>Cours_Hist_figé!C2109/Cours_Hist_figé!C2045 - 1</f>
        <v>-2.446231002708843E-2</v>
      </c>
      <c r="D2045" s="29">
        <f>Cours_Hist_figé!D2109/Cours_Hist_figé!D2045 - 1</f>
        <v>6.5097174270787317E-3</v>
      </c>
      <c r="E2045" s="29">
        <f>Cours_Hist_figé!E2109/Cours_Hist_figé!E2045 - 1</f>
        <v>6.2902495546253157E-3</v>
      </c>
    </row>
    <row r="2046" spans="1:5" x14ac:dyDescent="0.4">
      <c r="A2046" s="27">
        <v>45040</v>
      </c>
      <c r="B2046" s="29">
        <f>Cours_Hist_figé!B2110/Cours_Hist_figé!B2046 - 1</f>
        <v>4.8216137453877206E-2</v>
      </c>
      <c r="C2046" s="29">
        <f>Cours_Hist_figé!C2110/Cours_Hist_figé!C2046 - 1</f>
        <v>-1.6723744041955091E-2</v>
      </c>
      <c r="D2046" s="29">
        <f>Cours_Hist_figé!D2110/Cours_Hist_figé!D2046 - 1</f>
        <v>6.7046725039339172E-3</v>
      </c>
      <c r="E2046" s="29">
        <f>Cours_Hist_figé!E2110/Cours_Hist_figé!E2046 - 1</f>
        <v>6.4804059337495445E-3</v>
      </c>
    </row>
    <row r="2047" spans="1:5" x14ac:dyDescent="0.4">
      <c r="A2047" s="27">
        <v>45041</v>
      </c>
      <c r="B2047" s="29">
        <f>Cours_Hist_figé!B2111/Cours_Hist_figé!B2047 - 1</f>
        <v>3.9486706019997042E-2</v>
      </c>
      <c r="C2047" s="29">
        <f>Cours_Hist_figé!C2111/Cours_Hist_figé!C2047 - 1</f>
        <v>-8.3846416458731587E-3</v>
      </c>
      <c r="D2047" s="29">
        <f>Cours_Hist_figé!D2111/Cours_Hist_figé!D2047 - 1</f>
        <v>6.6215273972343169E-3</v>
      </c>
      <c r="E2047" s="29">
        <f>Cours_Hist_figé!E2111/Cours_Hist_figé!E2047 - 1</f>
        <v>6.4020254944701094E-3</v>
      </c>
    </row>
    <row r="2048" spans="1:5" x14ac:dyDescent="0.4">
      <c r="A2048" s="27">
        <v>45042</v>
      </c>
      <c r="B2048" s="29">
        <f>Cours_Hist_figé!B2112/Cours_Hist_figé!B2048 - 1</f>
        <v>3.3439376633568996E-2</v>
      </c>
      <c r="C2048" s="29">
        <f>Cours_Hist_figé!C2112/Cours_Hist_figé!C2048 - 1</f>
        <v>-1.1599485655077735E-2</v>
      </c>
      <c r="D2048" s="29">
        <f>Cours_Hist_figé!D2112/Cours_Hist_figé!D2048 - 1</f>
        <v>6.6494140553616798E-3</v>
      </c>
      <c r="E2048" s="29">
        <f>Cours_Hist_figé!E2112/Cours_Hist_figé!E2048 - 1</f>
        <v>6.4299520444015545E-3</v>
      </c>
    </row>
    <row r="2049" spans="1:5" x14ac:dyDescent="0.4">
      <c r="A2049" s="27">
        <v>45043</v>
      </c>
      <c r="B2049" s="29">
        <f>Cours_Hist_figé!B2113/Cours_Hist_figé!B2049 - 1</f>
        <v>3.8076733004506647E-2</v>
      </c>
      <c r="C2049" s="29">
        <f>Cours_Hist_figé!C2113/Cours_Hist_figé!C2049 - 1</f>
        <v>-1.5229073718059705E-2</v>
      </c>
      <c r="D2049" s="29">
        <f>Cours_Hist_figé!D2113/Cours_Hist_figé!D2049 - 1</f>
        <v>6.6771959312872387E-3</v>
      </c>
      <c r="E2049" s="29">
        <f>Cours_Hist_figé!E2113/Cours_Hist_figé!E2049 - 1</f>
        <v>6.457794390981153E-3</v>
      </c>
    </row>
    <row r="2050" spans="1:5" x14ac:dyDescent="0.4">
      <c r="A2050" s="27">
        <v>45044</v>
      </c>
      <c r="B2050" s="29">
        <f>Cours_Hist_figé!B2114/Cours_Hist_figé!B2050 - 1</f>
        <v>4.0559430282727682E-2</v>
      </c>
      <c r="C2050" s="29">
        <f>Cours_Hist_figé!C2114/Cours_Hist_figé!C2050 - 1</f>
        <v>-4.3767831786630795E-3</v>
      </c>
      <c r="D2050" s="29">
        <f>Cours_Hist_figé!D2114/Cours_Hist_figé!D2050 - 1</f>
        <v>6.7049746827889667E-3</v>
      </c>
      <c r="E2050" s="29">
        <f>Cours_Hist_figé!E2114/Cours_Hist_figé!E2050 - 1</f>
        <v>6.4856439080172024E-3</v>
      </c>
    </row>
    <row r="2051" spans="1:5" x14ac:dyDescent="0.4">
      <c r="A2051" s="27">
        <v>45047</v>
      </c>
      <c r="B2051" s="29">
        <f>Cours_Hist_figé!B2115/Cours_Hist_figé!B2051 - 1</f>
        <v>3.8951299092389924E-2</v>
      </c>
      <c r="C2051" s="29">
        <f>Cours_Hist_figé!C2115/Cours_Hist_figé!C2051 - 1</f>
        <v>-2.6236940978772161E-3</v>
      </c>
      <c r="D2051" s="29">
        <f>Cours_Hist_figé!D2115/Cours_Hist_figé!D2051 - 1</f>
        <v>6.9825113810826345E-3</v>
      </c>
      <c r="E2051" s="29">
        <f>Cours_Hist_figé!E2115/Cours_Hist_figé!E2051 - 1</f>
        <v>6.7560295954647298E-3</v>
      </c>
    </row>
    <row r="2052" spans="1:5" x14ac:dyDescent="0.4">
      <c r="A2052" s="27">
        <v>45048</v>
      </c>
      <c r="B2052" s="29">
        <f>Cours_Hist_figé!B2116/Cours_Hist_figé!B2052 - 1</f>
        <v>2.7917636138289348E-2</v>
      </c>
      <c r="C2052" s="29">
        <f>Cours_Hist_figé!C2116/Cours_Hist_figé!C2052 - 1</f>
        <v>4.0645411113193752E-3</v>
      </c>
      <c r="D2052" s="29">
        <f>Cours_Hist_figé!D2116/Cours_Hist_figé!D2052 - 1</f>
        <v>6.8154765667280959E-3</v>
      </c>
      <c r="E2052" s="29">
        <f>Cours_Hist_figé!E2116/Cours_Hist_figé!E2052 - 1</f>
        <v>6.596151584527199E-3</v>
      </c>
    </row>
    <row r="2053" spans="1:5" x14ac:dyDescent="0.4">
      <c r="A2053" s="27">
        <v>45049</v>
      </c>
      <c r="B2053" s="29">
        <f>Cours_Hist_figé!B2117/Cours_Hist_figé!B2053 - 1</f>
        <v>3.4123944700667597E-2</v>
      </c>
      <c r="C2053" s="29">
        <f>Cours_Hist_figé!C2117/Cours_Hist_figé!C2053 - 1</f>
        <v>3.0970661325617765E-3</v>
      </c>
      <c r="D2053" s="29">
        <f>Cours_Hist_figé!D2117/Cours_Hist_figé!D2053 - 1</f>
        <v>6.8431700563957865E-3</v>
      </c>
      <c r="E2053" s="29">
        <f>Cours_Hist_figé!E2117/Cours_Hist_figé!E2053 - 1</f>
        <v>6.6238851604125681E-3</v>
      </c>
    </row>
    <row r="2054" spans="1:5" x14ac:dyDescent="0.4">
      <c r="A2054" s="27">
        <v>45050</v>
      </c>
      <c r="B2054" s="29">
        <f>Cours_Hist_figé!B2118/Cours_Hist_figé!B2054 - 1</f>
        <v>3.0581088014128177E-2</v>
      </c>
      <c r="C2054" s="29">
        <f>Cours_Hist_figé!C2118/Cours_Hist_figé!C2054 - 1</f>
        <v>6.5854867481822676E-3</v>
      </c>
      <c r="D2054" s="29">
        <f>Cours_Hist_figé!D2118/Cours_Hist_figé!D2054 - 1</f>
        <v>6.8711575633364497E-3</v>
      </c>
      <c r="E2054" s="29">
        <f>Cours_Hist_figé!E2118/Cours_Hist_figé!E2054 - 1</f>
        <v>6.6519007542684694E-3</v>
      </c>
    </row>
    <row r="2055" spans="1:5" x14ac:dyDescent="0.4">
      <c r="A2055" s="27">
        <v>45051</v>
      </c>
      <c r="B2055" s="29">
        <f>Cours_Hist_figé!B2119/Cours_Hist_figé!B2055 - 1</f>
        <v>2.9272324555538853E-2</v>
      </c>
      <c r="C2055" s="29">
        <f>Cours_Hist_figé!C2119/Cours_Hist_figé!C2055 - 1</f>
        <v>-1.5549925593041802E-2</v>
      </c>
      <c r="D2055" s="29">
        <f>Cours_Hist_figé!D2119/Cours_Hist_figé!D2055 - 1</f>
        <v>6.8989386789284346E-3</v>
      </c>
      <c r="E2055" s="29">
        <f>Cours_Hist_figé!E2119/Cours_Hist_figé!E2055 - 1</f>
        <v>6.6797503339253161E-3</v>
      </c>
    </row>
    <row r="2056" spans="1:5" x14ac:dyDescent="0.4">
      <c r="A2056" s="27">
        <v>45054</v>
      </c>
      <c r="B2056" s="29">
        <f>Cours_Hist_figé!B2120/Cours_Hist_figé!B2056 - 1</f>
        <v>2.9078147780912555E-2</v>
      </c>
      <c r="C2056" s="29">
        <f>Cours_Hist_figé!C2120/Cours_Hist_figé!C2056 - 1</f>
        <v>-8.5870707778555877E-3</v>
      </c>
      <c r="D2056" s="29">
        <f>Cours_Hist_figé!D2120/Cours_Hist_figé!D2056 - 1</f>
        <v>7.0936669633143712E-3</v>
      </c>
      <c r="E2056" s="29">
        <f>Cours_Hist_figé!E2120/Cours_Hist_figé!E2056 - 1</f>
        <v>6.8696645179402438E-3</v>
      </c>
    </row>
    <row r="2057" spans="1:5" x14ac:dyDescent="0.4">
      <c r="A2057" s="27">
        <v>45055</v>
      </c>
      <c r="B2057" s="29">
        <f>Cours_Hist_figé!B2121/Cours_Hist_figé!B2057 - 1</f>
        <v>3.4225429073557301E-2</v>
      </c>
      <c r="C2057" s="29">
        <f>Cours_Hist_figé!C2121/Cours_Hist_figé!C2057 - 1</f>
        <v>-4.703536346208459E-3</v>
      </c>
      <c r="D2057" s="29">
        <f>Cours_Hist_figé!D2121/Cours_Hist_figé!D2057 - 1</f>
        <v>7.0104925797578321E-3</v>
      </c>
      <c r="E2057" s="29">
        <f>Cours_Hist_figé!E2121/Cours_Hist_figé!E2057 - 1</f>
        <v>6.7913126984671113E-3</v>
      </c>
    </row>
    <row r="2058" spans="1:5" x14ac:dyDescent="0.4">
      <c r="A2058" s="27">
        <v>45056</v>
      </c>
      <c r="B2058" s="29">
        <f>Cours_Hist_figé!B2122/Cours_Hist_figé!B2058 - 1</f>
        <v>2.7817018037031183E-2</v>
      </c>
      <c r="C2058" s="29">
        <f>Cours_Hist_figé!C2122/Cours_Hist_figé!C2058 - 1</f>
        <v>-6.2568048260236431E-4</v>
      </c>
      <c r="D2058" s="29">
        <f>Cours_Hist_figé!D2122/Cours_Hist_figé!D2058 - 1</f>
        <v>7.0382815796048437E-3</v>
      </c>
      <c r="E2058" s="29">
        <f>Cours_Hist_figé!E2122/Cours_Hist_figé!E2058 - 1</f>
        <v>6.819086852264622E-3</v>
      </c>
    </row>
    <row r="2059" spans="1:5" x14ac:dyDescent="0.4">
      <c r="A2059" s="27">
        <v>45057</v>
      </c>
      <c r="B2059" s="29">
        <f>Cours_Hist_figé!B2123/Cours_Hist_figé!B2059 - 1</f>
        <v>2.6256243803776336E-2</v>
      </c>
      <c r="C2059" s="29">
        <f>Cours_Hist_figé!C2123/Cours_Hist_figé!C2059 - 1</f>
        <v>6.3560333471839314E-3</v>
      </c>
      <c r="D2059" s="29">
        <f>Cours_Hist_figé!D2123/Cours_Hist_figé!D2059 - 1</f>
        <v>7.0730217972148068E-3</v>
      </c>
      <c r="E2059" s="29">
        <f>Cours_Hist_figé!E2123/Cours_Hist_figé!E2059 - 1</f>
        <v>6.8538425913908796E-3</v>
      </c>
    </row>
    <row r="2060" spans="1:5" x14ac:dyDescent="0.4">
      <c r="A2060" s="27">
        <v>45058</v>
      </c>
      <c r="B2060" s="29">
        <f>Cours_Hist_figé!B2124/Cours_Hist_figé!B2060 - 1</f>
        <v>2.4208632685452702E-2</v>
      </c>
      <c r="C2060" s="29">
        <f>Cours_Hist_figé!C2124/Cours_Hist_figé!C2060 - 1</f>
        <v>5.4810744315814119E-4</v>
      </c>
      <c r="D2060" s="29">
        <f>Cours_Hist_figé!D2124/Cours_Hist_figé!D2060 - 1</f>
        <v>7.0937750011044187E-3</v>
      </c>
      <c r="E2060" s="29">
        <f>Cours_Hist_figé!E2124/Cours_Hist_figé!E2060 - 1</f>
        <v>6.8746518322078121E-3</v>
      </c>
    </row>
    <row r="2061" spans="1:5" x14ac:dyDescent="0.4">
      <c r="A2061" s="27">
        <v>45061</v>
      </c>
      <c r="B2061" s="29">
        <f>Cours_Hist_figé!B2125/Cours_Hist_figé!B2061 - 1</f>
        <v>3.6077677271035613E-2</v>
      </c>
      <c r="C2061" s="29">
        <f>Cours_Hist_figé!C2125/Cours_Hist_figé!C2061 - 1</f>
        <v>3.0099036538777657E-3</v>
      </c>
      <c r="D2061" s="29">
        <f>Cours_Hist_figé!D2125/Cours_Hist_figé!D2061 - 1</f>
        <v>7.2954760539436503E-3</v>
      </c>
      <c r="E2061" s="29">
        <f>Cours_Hist_figé!E2125/Cours_Hist_figé!E2061 - 1</f>
        <v>7.0716214484931594E-3</v>
      </c>
    </row>
    <row r="2062" spans="1:5" x14ac:dyDescent="0.4">
      <c r="A2062" s="27">
        <v>45062</v>
      </c>
      <c r="B2062" s="29">
        <f>Cours_Hist_figé!B2126/Cours_Hist_figé!B2062 - 1</f>
        <v>2.247589241300707E-2</v>
      </c>
      <c r="C2062" s="29">
        <f>Cours_Hist_figé!C2126/Cours_Hist_figé!C2062 - 1</f>
        <v>4.7404231059999802E-4</v>
      </c>
      <c r="D2062" s="29">
        <f>Cours_Hist_figé!D2126/Cours_Hist_figé!D2062 - 1</f>
        <v>7.1771473698731825E-3</v>
      </c>
      <c r="E2062" s="29">
        <f>Cours_Hist_figé!E2126/Cours_Hist_figé!E2062 - 1</f>
        <v>6.9581235633588978E-3</v>
      </c>
    </row>
    <row r="2063" spans="1:5" x14ac:dyDescent="0.4">
      <c r="A2063" s="27">
        <v>45063</v>
      </c>
      <c r="B2063" s="29">
        <f>Cours_Hist_figé!B2127/Cours_Hist_figé!B2063 - 1</f>
        <v>2.0082028718637179E-2</v>
      </c>
      <c r="C2063" s="29">
        <f>Cours_Hist_figé!C2127/Cours_Hist_figé!C2063 - 1</f>
        <v>3.980904093737081E-3</v>
      </c>
      <c r="D2063" s="29">
        <f>Cours_Hist_figé!D2127/Cours_Hist_figé!D2063 - 1</f>
        <v>7.1980961939801524E-3</v>
      </c>
      <c r="E2063" s="29">
        <f>Cours_Hist_figé!E2127/Cours_Hist_figé!E2063 - 1</f>
        <v>6.9790098526740785E-3</v>
      </c>
    </row>
    <row r="2064" spans="1:5" x14ac:dyDescent="0.4">
      <c r="A2064" s="27">
        <v>45064</v>
      </c>
      <c r="B2064" s="29">
        <f>Cours_Hist_figé!B2128/Cours_Hist_figé!B2064 - 1</f>
        <v>2.05133922159495E-2</v>
      </c>
      <c r="C2064" s="29">
        <f>Cours_Hist_figé!C2128/Cours_Hist_figé!C2064 - 1</f>
        <v>3.8402988126695625E-4</v>
      </c>
      <c r="D2064" s="29">
        <f>Cours_Hist_figé!D2128/Cours_Hist_figé!D2064 - 1</f>
        <v>7.2191429228272153E-3</v>
      </c>
      <c r="E2064" s="29">
        <f>Cours_Hist_figé!E2128/Cours_Hist_figé!E2064 - 1</f>
        <v>7.000024773841762E-3</v>
      </c>
    </row>
    <row r="2065" spans="1:5" x14ac:dyDescent="0.4">
      <c r="A2065" s="27">
        <v>45065</v>
      </c>
      <c r="B2065" s="29">
        <f>Cours_Hist_figé!B2129/Cours_Hist_figé!B2065 - 1</f>
        <v>2.4891141340909417E-2</v>
      </c>
      <c r="C2065" s="29">
        <f>Cours_Hist_figé!C2129/Cours_Hist_figé!C2065 - 1</f>
        <v>3.6089376404480067E-3</v>
      </c>
      <c r="D2065" s="29">
        <f>Cours_Hist_figé!D2129/Cours_Hist_figé!D2065 - 1</f>
        <v>7.2399913559380025E-3</v>
      </c>
      <c r="E2065" s="29">
        <f>Cours_Hist_figé!E2129/Cours_Hist_figé!E2065 - 1</f>
        <v>7.0209448332194668E-3</v>
      </c>
    </row>
    <row r="2066" spans="1:5" x14ac:dyDescent="0.4">
      <c r="A2066" s="27">
        <v>45068</v>
      </c>
      <c r="B2066" s="29">
        <f>Cours_Hist_figé!B2130/Cours_Hist_figé!B2066 - 1</f>
        <v>2.7473413762440391E-2</v>
      </c>
      <c r="C2066" s="29">
        <f>Cours_Hist_figé!C2130/Cours_Hist_figé!C2066 - 1</f>
        <v>4.2793293253384768E-4</v>
      </c>
      <c r="D2066" s="29">
        <f>Cours_Hist_figé!D2130/Cours_Hist_figé!D2066 - 1</f>
        <v>7.4421283135910343E-3</v>
      </c>
      <c r="E2066" s="29">
        <f>Cours_Hist_figé!E2130/Cours_Hist_figé!E2066 - 1</f>
        <v>7.2182269519487363E-3</v>
      </c>
    </row>
    <row r="2067" spans="1:5" x14ac:dyDescent="0.4">
      <c r="A2067" s="27">
        <v>45069</v>
      </c>
      <c r="B2067" s="29">
        <f>Cours_Hist_figé!B2131/Cours_Hist_figé!B2067 - 1</f>
        <v>2.0367945226529738E-2</v>
      </c>
      <c r="C2067" s="29">
        <f>Cours_Hist_figé!C2131/Cours_Hist_figé!C2067 - 1</f>
        <v>2.2629211461078214E-4</v>
      </c>
      <c r="D2067" s="29">
        <f>Cours_Hist_figé!D2131/Cours_Hist_figé!D2067 - 1</f>
        <v>7.3242776517488117E-3</v>
      </c>
      <c r="E2067" s="29">
        <f>Cours_Hist_figé!E2131/Cours_Hist_figé!E2067 - 1</f>
        <v>7.1050971990171963E-3</v>
      </c>
    </row>
    <row r="2068" spans="1:5" x14ac:dyDescent="0.4">
      <c r="A2068" s="27">
        <v>45070</v>
      </c>
      <c r="B2068" s="29">
        <f>Cours_Hist_figé!B2132/Cours_Hist_figé!B2068 - 1</f>
        <v>4.1320306614600621E-3</v>
      </c>
      <c r="C2068" s="29">
        <f>Cours_Hist_figé!C2132/Cours_Hist_figé!C2068 - 1</f>
        <v>6.6914324934097547E-3</v>
      </c>
      <c r="D2068" s="29">
        <f>Cours_Hist_figé!D2132/Cours_Hist_figé!D2068 - 1</f>
        <v>7.3455316772801371E-3</v>
      </c>
      <c r="E2068" s="29">
        <f>Cours_Hist_figé!E2132/Cours_Hist_figé!E2068 - 1</f>
        <v>7.126276891682215E-3</v>
      </c>
    </row>
    <row r="2069" spans="1:5" x14ac:dyDescent="0.4">
      <c r="A2069" s="27">
        <v>45071</v>
      </c>
      <c r="B2069" s="29">
        <f>Cours_Hist_figé!B2133/Cours_Hist_figé!B2069 - 1</f>
        <v>4.1485188984460297E-3</v>
      </c>
      <c r="C2069" s="29">
        <f>Cours_Hist_figé!C2133/Cours_Hist_figé!C2069 - 1</f>
        <v>3.9983703876147469E-3</v>
      </c>
      <c r="D2069" s="29">
        <f>Cours_Hist_figé!D2133/Cours_Hist_figé!D2069 - 1</f>
        <v>7.3664880595261106E-3</v>
      </c>
      <c r="E2069" s="29">
        <f>Cours_Hist_figé!E2133/Cours_Hist_figé!E2069 - 1</f>
        <v>7.1472520734956468E-3</v>
      </c>
    </row>
    <row r="2070" spans="1:5" x14ac:dyDescent="0.4">
      <c r="A2070" s="27">
        <v>45072</v>
      </c>
      <c r="B2070" s="29">
        <f>Cours_Hist_figé!B2134/Cours_Hist_figé!B2070 - 1</f>
        <v>1.5431558858414629E-2</v>
      </c>
      <c r="C2070" s="29">
        <f>Cours_Hist_figé!C2134/Cours_Hist_figé!C2070 - 1</f>
        <v>-1.7325466023778713E-3</v>
      </c>
      <c r="D2070" s="29">
        <f>Cours_Hist_figé!D2134/Cours_Hist_figé!D2070 - 1</f>
        <v>7.3874337393942113E-3</v>
      </c>
      <c r="E2070" s="29">
        <f>Cours_Hist_figé!E2134/Cours_Hist_figé!E2070 - 1</f>
        <v>7.1682142181974662E-3</v>
      </c>
    </row>
    <row r="2071" spans="1:5" x14ac:dyDescent="0.4">
      <c r="A2071" s="27">
        <v>45075</v>
      </c>
      <c r="B2071" s="29">
        <f>Cours_Hist_figé!B2135/Cours_Hist_figé!B2071 - 1</f>
        <v>2.5521678861051278E-2</v>
      </c>
      <c r="C2071" s="29">
        <f>Cours_Hist_figé!C2135/Cours_Hist_figé!C2071 - 1</f>
        <v>9.1334970218610589E-3</v>
      </c>
      <c r="D2071" s="29">
        <f>Cours_Hist_figé!D2135/Cours_Hist_figé!D2071 - 1</f>
        <v>7.5897030595868387E-3</v>
      </c>
      <c r="E2071" s="29">
        <f>Cours_Hist_figé!E2135/Cours_Hist_figé!E2071 - 1</f>
        <v>7.365636809301801E-3</v>
      </c>
    </row>
    <row r="2072" spans="1:5" x14ac:dyDescent="0.4">
      <c r="A2072" s="27">
        <v>45076</v>
      </c>
      <c r="B2072" s="29">
        <f>Cours_Hist_figé!B2136/Cours_Hist_figé!B2072 - 1</f>
        <v>5.8530109681320663E-3</v>
      </c>
      <c r="C2072" s="29">
        <f>Cours_Hist_figé!C2136/Cours_Hist_figé!C2072 - 1</f>
        <v>1.6975282292307936E-2</v>
      </c>
      <c r="D2072" s="29">
        <f>Cours_Hist_figé!D2136/Cours_Hist_figé!D2072 - 1</f>
        <v>7.4717462980584681E-3</v>
      </c>
      <c r="E2072" s="29">
        <f>Cours_Hist_figé!E2136/Cours_Hist_figé!E2072 - 1</f>
        <v>7.2524085493466117E-3</v>
      </c>
    </row>
    <row r="2073" spans="1:5" x14ac:dyDescent="0.4">
      <c r="A2073" s="27">
        <v>45077</v>
      </c>
      <c r="B2073" s="29">
        <f>Cours_Hist_figé!B2137/Cours_Hist_figé!B2073 - 1</f>
        <v>-1.6028389604896276E-3</v>
      </c>
      <c r="C2073" s="29">
        <f>Cours_Hist_figé!C2137/Cours_Hist_figé!C2073 - 1</f>
        <v>2.5046585503565311E-2</v>
      </c>
      <c r="D2073" s="29">
        <f>Cours_Hist_figé!D2137/Cours_Hist_figé!D2073 - 1</f>
        <v>7.4927005742313479E-3</v>
      </c>
      <c r="E2073" s="29">
        <f>Cours_Hist_figé!E2137/Cours_Hist_figé!E2073 - 1</f>
        <v>7.2733970886404986E-3</v>
      </c>
    </row>
    <row r="2074" spans="1:5" x14ac:dyDescent="0.4">
      <c r="A2074" s="27">
        <v>45078</v>
      </c>
      <c r="B2074" s="29">
        <f>Cours_Hist_figé!B2138/Cours_Hist_figé!B2074 - 1</f>
        <v>1.3482109896942207E-2</v>
      </c>
      <c r="C2074" s="29">
        <f>Cours_Hist_figé!C2138/Cours_Hist_figé!C2074 - 1</f>
        <v>3.0951564452904812E-2</v>
      </c>
      <c r="D2074" s="29">
        <f>Cours_Hist_figé!D2138/Cours_Hist_figé!D2074 - 1</f>
        <v>7.5138479294045712E-3</v>
      </c>
      <c r="E2074" s="29">
        <f>Cours_Hist_figé!E2138/Cours_Hist_figé!E2074 - 1</f>
        <v>7.294546325941953E-3</v>
      </c>
    </row>
    <row r="2075" spans="1:5" x14ac:dyDescent="0.4">
      <c r="A2075" s="27">
        <v>45079</v>
      </c>
      <c r="B2075" s="29">
        <f>Cours_Hist_figé!B2139/Cours_Hist_figé!B2075 - 1</f>
        <v>2.2190544760391617E-2</v>
      </c>
      <c r="C2075" s="29">
        <f>Cours_Hist_figé!C2139/Cours_Hist_figé!C2075 - 1</f>
        <v>3.0495016088329052E-2</v>
      </c>
      <c r="D2075" s="29">
        <f>Cours_Hist_figé!D2139/Cours_Hist_figé!D2075 - 1</f>
        <v>7.5348119155522753E-3</v>
      </c>
      <c r="E2075" s="29">
        <f>Cours_Hist_figé!E2139/Cours_Hist_figé!E2075 - 1</f>
        <v>7.315498915061891E-3</v>
      </c>
    </row>
    <row r="2076" spans="1:5" x14ac:dyDescent="0.4">
      <c r="A2076" s="27">
        <v>45082</v>
      </c>
      <c r="B2076" s="29">
        <f>Cours_Hist_figé!B2140/Cours_Hist_figé!B2076 - 1</f>
        <v>7.9864606376456315E-3</v>
      </c>
      <c r="C2076" s="29">
        <f>Cours_Hist_figé!C2140/Cours_Hist_figé!C2076 - 1</f>
        <v>2.5408619003020716E-2</v>
      </c>
      <c r="D2076" s="29">
        <f>Cours_Hist_figé!D2140/Cours_Hist_figé!D2076 - 1</f>
        <v>7.736701972221427E-3</v>
      </c>
      <c r="E2076" s="29">
        <f>Cours_Hist_figé!E2140/Cours_Hist_figé!E2076 - 1</f>
        <v>7.5126176423629953E-3</v>
      </c>
    </row>
    <row r="2077" spans="1:5" x14ac:dyDescent="0.4">
      <c r="A2077" s="27">
        <v>45083</v>
      </c>
      <c r="B2077" s="29">
        <f>Cours_Hist_figé!B2141/Cours_Hist_figé!B2077 - 1</f>
        <v>1.2295132403333131E-2</v>
      </c>
      <c r="C2077" s="29">
        <f>Cours_Hist_figé!C2141/Cours_Hist_figé!C2077 - 1</f>
        <v>2.4524290879289312E-2</v>
      </c>
      <c r="D2077" s="29">
        <f>Cours_Hist_figé!D2141/Cours_Hist_figé!D2077 - 1</f>
        <v>7.6185214887007913E-3</v>
      </c>
      <c r="E2077" s="29">
        <f>Cours_Hist_figé!E2141/Cours_Hist_figé!E2077 - 1</f>
        <v>7.3992393617858809E-3</v>
      </c>
    </row>
    <row r="2078" spans="1:5" x14ac:dyDescent="0.4">
      <c r="A2078" s="27">
        <v>45084</v>
      </c>
      <c r="B2078" s="29">
        <f>Cours_Hist_figé!B2142/Cours_Hist_figé!B2078 - 1</f>
        <v>1.7840519490359474E-2</v>
      </c>
      <c r="C2078" s="29">
        <f>Cours_Hist_figé!C2142/Cours_Hist_figé!C2078 - 1</f>
        <v>2.0596121113625632E-2</v>
      </c>
      <c r="D2078" s="29">
        <f>Cours_Hist_figé!D2142/Cours_Hist_figé!D2078 - 1</f>
        <v>7.6393778219416841E-3</v>
      </c>
      <c r="E2078" s="29">
        <f>Cours_Hist_figé!E2142/Cours_Hist_figé!E2078 - 1</f>
        <v>7.4201170849812481E-3</v>
      </c>
    </row>
    <row r="2079" spans="1:5" x14ac:dyDescent="0.4">
      <c r="A2079" s="27">
        <v>45085</v>
      </c>
      <c r="B2079" s="29">
        <f>Cours_Hist_figé!B2143/Cours_Hist_figé!B2079 - 1</f>
        <v>1.7115638879463324E-2</v>
      </c>
      <c r="C2079" s="29">
        <f>Cours_Hist_figé!C2143/Cours_Hist_figé!C2079 - 1</f>
        <v>1.8145923714012024E-2</v>
      </c>
      <c r="D2079" s="29">
        <f>Cours_Hist_figé!D2143/Cours_Hist_figé!D2079 - 1</f>
        <v>7.6602312180495957E-3</v>
      </c>
      <c r="E2079" s="29">
        <f>Cours_Hist_figé!E2143/Cours_Hist_figé!E2079 - 1</f>
        <v>7.4409820867464838E-3</v>
      </c>
    </row>
    <row r="2080" spans="1:5" x14ac:dyDescent="0.4">
      <c r="A2080" s="27">
        <v>45086</v>
      </c>
      <c r="B2080" s="29">
        <f>Cours_Hist_figé!B2144/Cours_Hist_figé!B2080 - 1</f>
        <v>1.6488982134839736E-2</v>
      </c>
      <c r="C2080" s="29">
        <f>Cours_Hist_figé!C2144/Cours_Hist_figé!C2080 - 1</f>
        <v>2.2337735445649542E-2</v>
      </c>
      <c r="D2080" s="29">
        <f>Cours_Hist_figé!D2144/Cours_Hist_figé!D2080 - 1</f>
        <v>7.6810894826704335E-3</v>
      </c>
      <c r="E2080" s="29">
        <f>Cours_Hist_figé!E2144/Cours_Hist_figé!E2080 - 1</f>
        <v>7.4618844381171279E-3</v>
      </c>
    </row>
    <row r="2081" spans="1:5" x14ac:dyDescent="0.4">
      <c r="A2081" s="27">
        <v>45089</v>
      </c>
      <c r="B2081" s="29">
        <f>Cours_Hist_figé!B2145/Cours_Hist_figé!B2081 - 1</f>
        <v>3.1753823722775021E-2</v>
      </c>
      <c r="C2081" s="29">
        <f>Cours_Hist_figé!C2145/Cours_Hist_figé!C2081 - 1</f>
        <v>1.3565523426422921E-2</v>
      </c>
      <c r="D2081" s="29">
        <f>Cours_Hist_figé!D2145/Cours_Hist_figé!D2081 - 1</f>
        <v>7.8828089518399036E-3</v>
      </c>
      <c r="E2081" s="29">
        <f>Cours_Hist_figé!E2145/Cours_Hist_figé!E2081 - 1</f>
        <v>7.6588806160460265E-3</v>
      </c>
    </row>
    <row r="2082" spans="1:5" x14ac:dyDescent="0.4">
      <c r="A2082" s="27">
        <v>45090</v>
      </c>
      <c r="B2082" s="29">
        <f>Cours_Hist_figé!B2146/Cours_Hist_figé!B2082 - 1</f>
        <v>6.2893007545387292E-2</v>
      </c>
      <c r="C2082" s="29">
        <f>Cours_Hist_figé!C2146/Cours_Hist_figé!C2082 - 1</f>
        <v>4.0674812829544216E-4</v>
      </c>
      <c r="D2082" s="29">
        <f>Cours_Hist_figé!D2146/Cours_Hist_figé!D2082 - 1</f>
        <v>7.7644207051725811E-3</v>
      </c>
      <c r="E2082" s="29">
        <f>Cours_Hist_figé!E2146/Cours_Hist_figé!E2082 - 1</f>
        <v>7.5452107229185827E-3</v>
      </c>
    </row>
    <row r="2083" spans="1:5" x14ac:dyDescent="0.4">
      <c r="A2083" s="27">
        <v>45091</v>
      </c>
      <c r="B2083" s="29">
        <f>Cours_Hist_figé!B2147/Cours_Hist_figé!B2083 - 1</f>
        <v>5.0645931480608697E-2</v>
      </c>
      <c r="C2083" s="29">
        <f>Cours_Hist_figé!C2147/Cours_Hist_figé!C2083 - 1</f>
        <v>9.4332454637200414E-3</v>
      </c>
      <c r="D2083" s="29">
        <f>Cours_Hist_figé!D2147/Cours_Hist_figé!D2083 - 1</f>
        <v>7.7852713003438989E-3</v>
      </c>
      <c r="E2083" s="29">
        <f>Cours_Hist_figé!E2147/Cours_Hist_figé!E2083 - 1</f>
        <v>7.5660986265040364E-3</v>
      </c>
    </row>
    <row r="2084" spans="1:5" x14ac:dyDescent="0.4">
      <c r="A2084" s="27">
        <v>45092</v>
      </c>
      <c r="B2084" s="29">
        <f>Cours_Hist_figé!B2148/Cours_Hist_figé!B2084 - 1</f>
        <v>8.0695690649412954E-2</v>
      </c>
      <c r="C2084" s="29">
        <f>Cours_Hist_figé!C2148/Cours_Hist_figé!C2084 - 1</f>
        <v>-9.9495379551156615E-3</v>
      </c>
      <c r="D2084" s="29">
        <f>Cours_Hist_figé!D2148/Cours_Hist_figé!D2084 - 1</f>
        <v>7.8062352167422855E-3</v>
      </c>
      <c r="E2084" s="29">
        <f>Cours_Hist_figé!E2148/Cours_Hist_figé!E2084 - 1</f>
        <v>7.5870542607892055E-3</v>
      </c>
    </row>
    <row r="2085" spans="1:5" x14ac:dyDescent="0.4">
      <c r="A2085" s="27">
        <v>45093</v>
      </c>
      <c r="B2085" s="29">
        <f>Cours_Hist_figé!B2149/Cours_Hist_figé!B2085 - 1</f>
        <v>7.2775741705921826E-2</v>
      </c>
      <c r="C2085" s="29">
        <f>Cours_Hist_figé!C2149/Cours_Hist_figé!C2085 - 1</f>
        <v>-1.6339609509830044E-3</v>
      </c>
      <c r="D2085" s="29">
        <f>Cours_Hist_figé!D2149/Cours_Hist_figé!D2085 - 1</f>
        <v>7.827196903187339E-3</v>
      </c>
      <c r="E2085" s="29">
        <f>Cours_Hist_figé!E2149/Cours_Hist_figé!E2085 - 1</f>
        <v>7.6079568335520875E-3</v>
      </c>
    </row>
    <row r="2086" spans="1:5" x14ac:dyDescent="0.4">
      <c r="A2086" s="27">
        <v>45096</v>
      </c>
      <c r="B2086" s="29">
        <f>Cours_Hist_figé!B2150/Cours_Hist_figé!B2086 - 1</f>
        <v>7.4843347803571714E-2</v>
      </c>
      <c r="C2086" s="29">
        <f>Cours_Hist_figé!C2150/Cours_Hist_figé!C2086 - 1</f>
        <v>-1.266991738726253E-2</v>
      </c>
      <c r="D2086" s="29">
        <f>Cours_Hist_figé!D2150/Cours_Hist_figé!D2086 - 1</f>
        <v>8.0288480349413049E-3</v>
      </c>
      <c r="E2086" s="29">
        <f>Cours_Hist_figé!E2150/Cours_Hist_figé!E2086 - 1</f>
        <v>7.804801130076644E-3</v>
      </c>
    </row>
    <row r="2087" spans="1:5" x14ac:dyDescent="0.4">
      <c r="A2087" s="27">
        <v>45097</v>
      </c>
      <c r="B2087" s="29">
        <f>Cours_Hist_figé!B2151/Cours_Hist_figé!B2087 - 1</f>
        <v>5.8253730261321301E-2</v>
      </c>
      <c r="C2087" s="29">
        <f>Cours_Hist_figé!C2151/Cours_Hist_figé!C2087 - 1</f>
        <v>-5.8068574968390685E-3</v>
      </c>
      <c r="D2087" s="29">
        <f>Cours_Hist_figé!D2151/Cours_Hist_figé!D2087 - 1</f>
        <v>7.9103233470938505E-3</v>
      </c>
      <c r="E2087" s="29">
        <f>Cours_Hist_figé!E2151/Cours_Hist_figé!E2087 - 1</f>
        <v>7.6910944434298578E-3</v>
      </c>
    </row>
    <row r="2088" spans="1:5" x14ac:dyDescent="0.4">
      <c r="A2088" s="27">
        <v>45098</v>
      </c>
      <c r="B2088" s="29">
        <f>Cours_Hist_figé!B2152/Cours_Hist_figé!B2088 - 1</f>
        <v>3.9685252814809946E-2</v>
      </c>
      <c r="C2088" s="29">
        <f>Cours_Hist_figé!C2152/Cours_Hist_figé!C2088 - 1</f>
        <v>-8.527077668862848E-5</v>
      </c>
      <c r="D2088" s="29">
        <f>Cours_Hist_figé!D2152/Cours_Hist_figé!D2088 - 1</f>
        <v>7.9311852983381392E-3</v>
      </c>
      <c r="E2088" s="29">
        <f>Cours_Hist_figé!E2152/Cours_Hist_figé!E2088 - 1</f>
        <v>7.7119834251448971E-3</v>
      </c>
    </row>
    <row r="2089" spans="1:5" x14ac:dyDescent="0.4">
      <c r="A2089" s="27">
        <v>45099</v>
      </c>
      <c r="B2089" s="29">
        <f>Cours_Hist_figé!B2153/Cours_Hist_figé!B2089 - 1</f>
        <v>3.2521129862183473E-2</v>
      </c>
      <c r="C2089" s="29">
        <f>Cours_Hist_figé!C2153/Cours_Hist_figé!C2089 - 1</f>
        <v>-4.6455342142703859E-4</v>
      </c>
      <c r="D2089" s="29">
        <f>Cours_Hist_figé!D2153/Cours_Hist_figé!D2089 - 1</f>
        <v>7.9591024053076165E-3</v>
      </c>
      <c r="E2089" s="29">
        <f>Cours_Hist_figé!E2153/Cours_Hist_figé!E2089 - 1</f>
        <v>7.7398547411902108E-3</v>
      </c>
    </row>
    <row r="2090" spans="1:5" x14ac:dyDescent="0.4">
      <c r="A2090" s="27">
        <v>45100</v>
      </c>
      <c r="B2090" s="29">
        <f>Cours_Hist_figé!B2154/Cours_Hist_figé!B2090 - 1</f>
        <v>3.1516210234161512E-2</v>
      </c>
      <c r="C2090" s="29">
        <f>Cours_Hist_figé!C2154/Cours_Hist_figé!C2090 - 1</f>
        <v>-8.5539136243839575E-4</v>
      </c>
      <c r="D2090" s="29">
        <f>Cours_Hist_figé!D2154/Cours_Hist_figé!D2090 - 1</f>
        <v>7.9730141090097462E-3</v>
      </c>
      <c r="E2090" s="29">
        <f>Cours_Hist_figé!E2154/Cours_Hist_figé!E2090 - 1</f>
        <v>7.753826383782858E-3</v>
      </c>
    </row>
    <row r="2091" spans="1:5" x14ac:dyDescent="0.4">
      <c r="A2091" s="27">
        <v>45103</v>
      </c>
      <c r="B2091" s="29">
        <f>Cours_Hist_figé!B2155/Cours_Hist_figé!B2091 - 1</f>
        <v>4.3632176569021075E-2</v>
      </c>
      <c r="C2091" s="29">
        <f>Cours_Hist_figé!C2155/Cours_Hist_figé!C2091 - 1</f>
        <v>-2.6072032751238705E-3</v>
      </c>
      <c r="D2091" s="29">
        <f>Cours_Hist_figé!D2155/Cours_Hist_figé!D2091 - 1</f>
        <v>8.1821556831098707E-3</v>
      </c>
      <c r="E2091" s="29">
        <f>Cours_Hist_figé!E2155/Cours_Hist_figé!E2091 - 1</f>
        <v>7.9581959283261394E-3</v>
      </c>
    </row>
    <row r="2092" spans="1:5" x14ac:dyDescent="0.4">
      <c r="A2092" s="27">
        <v>45104</v>
      </c>
      <c r="B2092" s="29">
        <f>Cours_Hist_figé!B2156/Cours_Hist_figé!B2092 - 1</f>
        <v>3.3235544848430498E-2</v>
      </c>
      <c r="C2092" s="29">
        <f>Cours_Hist_figé!C2156/Cours_Hist_figé!C2092 - 1</f>
        <v>-1.2666849109185252E-3</v>
      </c>
      <c r="D2092" s="29">
        <f>Cours_Hist_figé!D2156/Cours_Hist_figé!D2092 - 1</f>
        <v>8.0290475578606024E-3</v>
      </c>
      <c r="E2092" s="29">
        <f>Cours_Hist_figé!E2156/Cours_Hist_figé!E2092 - 1</f>
        <v>7.8099108805482764E-3</v>
      </c>
    </row>
    <row r="2093" spans="1:5" x14ac:dyDescent="0.4">
      <c r="A2093" s="27">
        <v>45105</v>
      </c>
      <c r="B2093" s="29">
        <f>Cours_Hist_figé!B2157/Cours_Hist_figé!B2093 - 1</f>
        <v>4.0520086958096391E-2</v>
      </c>
      <c r="C2093" s="29">
        <f>Cours_Hist_figé!C2157/Cours_Hist_figé!C2093 - 1</f>
        <v>5.8186863892086826E-3</v>
      </c>
      <c r="D2093" s="29">
        <f>Cours_Hist_figé!D2157/Cours_Hist_figé!D2093 - 1</f>
        <v>8.0429551259426635E-3</v>
      </c>
      <c r="E2093" s="29">
        <f>Cours_Hist_figé!E2157/Cours_Hist_figé!E2093 - 1</f>
        <v>7.8238811020339138E-3</v>
      </c>
    </row>
    <row r="2094" spans="1:5" x14ac:dyDescent="0.4">
      <c r="A2094" s="27">
        <v>45106</v>
      </c>
      <c r="B2094" s="29">
        <f>Cours_Hist_figé!B2158/Cours_Hist_figé!B2094 - 1</f>
        <v>2.8630512079943493E-2</v>
      </c>
      <c r="C2094" s="29">
        <f>Cours_Hist_figé!C2158/Cours_Hist_figé!C2094 - 1</f>
        <v>1.2953637123911399E-3</v>
      </c>
      <c r="D2094" s="29">
        <f>Cours_Hist_figé!D2158/Cours_Hist_figé!D2094 - 1</f>
        <v>8.057070032274849E-3</v>
      </c>
      <c r="E2094" s="29">
        <f>Cours_Hist_figé!E2158/Cours_Hist_figé!E2094 - 1</f>
        <v>7.8380513504874294E-3</v>
      </c>
    </row>
    <row r="2095" spans="1:5" x14ac:dyDescent="0.4">
      <c r="A2095" s="27">
        <v>45107</v>
      </c>
      <c r="B2095" s="29">
        <f>Cours_Hist_figé!B2159/Cours_Hist_figé!B2095 - 1</f>
        <v>3.0131651594710096E-2</v>
      </c>
      <c r="C2095" s="29">
        <f>Cours_Hist_figé!C2159/Cours_Hist_figé!C2095 - 1</f>
        <v>5.1163490244463539E-3</v>
      </c>
      <c r="D2095" s="29">
        <f>Cours_Hist_figé!D2159/Cours_Hist_figé!D2095 - 1</f>
        <v>8.07118253920458E-3</v>
      </c>
      <c r="E2095" s="29">
        <f>Cours_Hist_figé!E2159/Cours_Hist_figé!E2095 - 1</f>
        <v>7.8522091684380957E-3</v>
      </c>
    </row>
    <row r="2096" spans="1:5" x14ac:dyDescent="0.4">
      <c r="A2096" s="27">
        <v>45110</v>
      </c>
      <c r="B2096" s="29">
        <f>Cours_Hist_figé!B2160/Cours_Hist_figé!B2096 - 1</f>
        <v>2.1028258833836633E-2</v>
      </c>
      <c r="C2096" s="29">
        <f>Cours_Hist_figé!C2160/Cours_Hist_figé!C2096 - 1</f>
        <v>-1.4766510085661988E-4</v>
      </c>
      <c r="D2096" s="29">
        <f>Cours_Hist_figé!D2160/Cours_Hist_figé!D2096 - 1</f>
        <v>8.2804425633544732E-3</v>
      </c>
      <c r="E2096" s="29">
        <f>Cours_Hist_figé!E2160/Cours_Hist_figé!E2096 - 1</f>
        <v>8.0566776303145904E-3</v>
      </c>
    </row>
    <row r="2097" spans="1:5" x14ac:dyDescent="0.4">
      <c r="A2097" s="27">
        <v>45111</v>
      </c>
      <c r="B2097" s="29">
        <f>Cours_Hist_figé!B2161/Cours_Hist_figé!B2097 - 1</f>
        <v>2.1629437870332113E-2</v>
      </c>
      <c r="C2097" s="29">
        <f>Cours_Hist_figé!C2161/Cours_Hist_figé!C2097 - 1</f>
        <v>-6.1486421363527999E-3</v>
      </c>
      <c r="D2097" s="29">
        <f>Cours_Hist_figé!D2161/Cours_Hist_figé!D2097 - 1</f>
        <v>8.1286296850431317E-3</v>
      </c>
      <c r="E2097" s="29">
        <f>Cours_Hist_figé!E2161/Cours_Hist_figé!E2097 - 1</f>
        <v>7.9096192098442319E-3</v>
      </c>
    </row>
    <row r="2098" spans="1:5" x14ac:dyDescent="0.4">
      <c r="A2098" s="27">
        <v>45112</v>
      </c>
      <c r="B2098" s="29">
        <f>Cours_Hist_figé!B2162/Cours_Hist_figé!B2098 - 1</f>
        <v>1.5470377073625308E-2</v>
      </c>
      <c r="C2098" s="29">
        <f>Cours_Hist_figé!C2162/Cours_Hist_figé!C2098 - 1</f>
        <v>-4.957776068199804E-3</v>
      </c>
      <c r="D2098" s="29">
        <f>Cours_Hist_figé!D2162/Cours_Hist_figé!D2098 - 1</f>
        <v>8.1426443351892974E-3</v>
      </c>
      <c r="E2098" s="29">
        <f>Cours_Hist_figé!E2162/Cours_Hist_figé!E2098 - 1</f>
        <v>7.9237040657416102E-3</v>
      </c>
    </row>
    <row r="2099" spans="1:5" x14ac:dyDescent="0.4">
      <c r="A2099" s="27">
        <v>45113</v>
      </c>
      <c r="B2099" s="29">
        <f>Cours_Hist_figé!B2163/Cours_Hist_figé!B2099 - 1</f>
        <v>-7.6275647121154533E-3</v>
      </c>
      <c r="C2099" s="29">
        <f>Cours_Hist_figé!C2163/Cours_Hist_figé!C2099 - 1</f>
        <v>-1.8735544677219829E-2</v>
      </c>
      <c r="D2099" s="29">
        <f>Cours_Hist_figé!D2163/Cours_Hist_figé!D2099 - 1</f>
        <v>8.1567492974103928E-3</v>
      </c>
      <c r="E2099" s="29">
        <f>Cours_Hist_figé!E2163/Cours_Hist_figé!E2099 - 1</f>
        <v>7.9378671235226239E-3</v>
      </c>
    </row>
    <row r="2100" spans="1:5" x14ac:dyDescent="0.4">
      <c r="A2100" s="27">
        <v>45114</v>
      </c>
      <c r="B2100" s="29">
        <f>Cours_Hist_figé!B2164/Cours_Hist_figé!B2100 - 1</f>
        <v>-1.2627904342483287E-2</v>
      </c>
      <c r="C2100" s="29">
        <f>Cours_Hist_figé!C2164/Cours_Hist_figé!C2100 - 1</f>
        <v>-1.8320565171986547E-2</v>
      </c>
      <c r="D2100" s="29">
        <f>Cours_Hist_figé!D2164/Cours_Hist_figé!D2100 - 1</f>
        <v>8.170866559190193E-3</v>
      </c>
      <c r="E2100" s="29">
        <f>Cours_Hist_figé!E2164/Cours_Hist_figé!E2100 - 1</f>
        <v>7.9519766814506454E-3</v>
      </c>
    </row>
    <row r="2101" spans="1:5" x14ac:dyDescent="0.4">
      <c r="A2101" s="27">
        <v>45117</v>
      </c>
      <c r="B2101" s="29">
        <f>Cours_Hist_figé!B2165/Cours_Hist_figé!B2101 - 1</f>
        <v>-1.6752659991946528E-2</v>
      </c>
      <c r="C2101" s="29">
        <f>Cours_Hist_figé!C2165/Cours_Hist_figé!C2101 - 1</f>
        <v>-1.1529347852491156E-2</v>
      </c>
      <c r="D2101" s="29">
        <f>Cours_Hist_figé!D2165/Cours_Hist_figé!D2101 - 1</f>
        <v>8.0458039343620502E-3</v>
      </c>
      <c r="E2101" s="29">
        <f>Cours_Hist_figé!E2165/Cours_Hist_figé!E2101 - 1</f>
        <v>7.8317099374591859E-3</v>
      </c>
    </row>
    <row r="2102" spans="1:5" x14ac:dyDescent="0.4">
      <c r="A2102" s="27">
        <v>45118</v>
      </c>
      <c r="B2102" s="29">
        <f>Cours_Hist_figé!B2166/Cours_Hist_figé!B2102 - 1</f>
        <v>-1.1492259859426257E-2</v>
      </c>
      <c r="C2102" s="29">
        <f>Cours_Hist_figé!C2166/Cours_Hist_figé!C2102 - 1</f>
        <v>-9.0945230327957871E-3</v>
      </c>
      <c r="D2102" s="29">
        <f>Cours_Hist_figé!D2166/Cours_Hist_figé!D2102 - 1</f>
        <v>8.0600173251696994E-3</v>
      </c>
      <c r="E2102" s="29">
        <f>Cours_Hist_figé!E2166/Cours_Hist_figé!E2102 - 1</f>
        <v>7.8458522033630906E-3</v>
      </c>
    </row>
    <row r="2103" spans="1:5" x14ac:dyDescent="0.4">
      <c r="A2103" s="27">
        <v>45119</v>
      </c>
      <c r="B2103" s="29">
        <f>Cours_Hist_figé!B2167/Cours_Hist_figé!B2103 - 1</f>
        <v>-1.1378111891551246E-3</v>
      </c>
      <c r="C2103" s="29">
        <f>Cours_Hist_figé!C2167/Cours_Hist_figé!C2103 - 1</f>
        <v>-3.4918336291938079E-3</v>
      </c>
      <c r="D2103" s="29">
        <f>Cours_Hist_figé!D2167/Cours_Hist_figé!D2103 - 1</f>
        <v>8.0741270645832142E-3</v>
      </c>
      <c r="E2103" s="29">
        <f>Cours_Hist_figé!E2167/Cours_Hist_figé!E2103 - 1</f>
        <v>7.8600221427782557E-3</v>
      </c>
    </row>
    <row r="2104" spans="1:5" x14ac:dyDescent="0.4">
      <c r="A2104" s="27">
        <v>45120</v>
      </c>
      <c r="B2104" s="29">
        <f>Cours_Hist_figé!B2168/Cours_Hist_figé!B2104 - 1</f>
        <v>-4.6071074919795674E-4</v>
      </c>
      <c r="C2104" s="29">
        <f>Cours_Hist_figé!C2168/Cours_Hist_figé!C2104 - 1</f>
        <v>4.978494681011858E-3</v>
      </c>
      <c r="D2104" s="29">
        <f>Cours_Hist_figé!D2168/Cours_Hist_figé!D2104 - 1</f>
        <v>8.0882421892276568E-3</v>
      </c>
      <c r="E2104" s="29">
        <f>Cours_Hist_figé!E2168/Cours_Hist_figé!E2104 - 1</f>
        <v>7.8741593004461041E-3</v>
      </c>
    </row>
    <row r="2105" spans="1:5" x14ac:dyDescent="0.4">
      <c r="A2105" s="27">
        <v>45121</v>
      </c>
      <c r="B2105" s="29">
        <f>Cours_Hist_figé!B2169/Cours_Hist_figé!B2105 - 1</f>
        <v>-1.2467397889447396E-3</v>
      </c>
      <c r="C2105" s="29">
        <f>Cours_Hist_figé!C2169/Cours_Hist_figé!C2105 - 1</f>
        <v>7.4860555833164977E-3</v>
      </c>
      <c r="D2105" s="29">
        <f>Cours_Hist_figé!D2169/Cours_Hist_figé!D2105 - 1</f>
        <v>7.9354532742315076E-3</v>
      </c>
      <c r="E2105" s="29">
        <f>Cours_Hist_figé!E2169/Cours_Hist_figé!E2105 - 1</f>
        <v>7.7261636859413674E-3</v>
      </c>
    </row>
    <row r="2106" spans="1:5" x14ac:dyDescent="0.4">
      <c r="A2106" s="27">
        <v>45124</v>
      </c>
      <c r="B2106" s="29">
        <f>Cours_Hist_figé!B2170/Cours_Hist_figé!B2106 - 1</f>
        <v>-1.134179484835951E-2</v>
      </c>
      <c r="C2106" s="29">
        <f>Cours_Hist_figé!C2170/Cours_Hist_figé!C2106 - 1</f>
        <v>6.3269852907157365E-3</v>
      </c>
      <c r="D2106" s="29">
        <f>Cours_Hist_figé!D2170/Cours_Hist_figé!D2106 - 1</f>
        <v>8.1448828291217357E-3</v>
      </c>
      <c r="E2106" s="29">
        <f>Cours_Hist_figé!E2170/Cours_Hist_figé!E2106 - 1</f>
        <v>7.9307475145409256E-3</v>
      </c>
    </row>
    <row r="2107" spans="1:5" x14ac:dyDescent="0.4">
      <c r="A2107" s="27">
        <v>45125</v>
      </c>
      <c r="B2107" s="29">
        <f>Cours_Hist_figé!B2171/Cours_Hist_figé!B2107 - 1</f>
        <v>-4.4859096427886103E-3</v>
      </c>
      <c r="C2107" s="29">
        <f>Cours_Hist_figé!C2171/Cours_Hist_figé!C2107 - 1</f>
        <v>1.6914447467183402E-2</v>
      </c>
      <c r="D2107" s="29">
        <f>Cours_Hist_figé!D2171/Cours_Hist_figé!D2107 - 1</f>
        <v>8.158893279765822E-3</v>
      </c>
      <c r="E2107" s="29">
        <f>Cours_Hist_figé!E2171/Cours_Hist_figé!E2107 - 1</f>
        <v>7.9447217151891181E-3</v>
      </c>
    </row>
    <row r="2108" spans="1:5" x14ac:dyDescent="0.4">
      <c r="A2108" s="27">
        <v>45126</v>
      </c>
      <c r="B2108" s="29">
        <f>Cours_Hist_figé!B2172/Cours_Hist_figé!B2108 - 1</f>
        <v>-1.4824396721461186E-3</v>
      </c>
      <c r="C2108" s="29">
        <f>Cours_Hist_figé!C2172/Cours_Hist_figé!C2108 - 1</f>
        <v>1.1983388305046194E-2</v>
      </c>
      <c r="D2108" s="29">
        <f>Cours_Hist_figé!D2172/Cours_Hist_figé!D2108 - 1</f>
        <v>8.1728078784204516E-3</v>
      </c>
      <c r="E2108" s="29">
        <f>Cours_Hist_figé!E2172/Cours_Hist_figé!E2108 - 1</f>
        <v>7.9586330849337195E-3</v>
      </c>
    </row>
    <row r="2109" spans="1:5" x14ac:dyDescent="0.4">
      <c r="A2109" s="27">
        <v>45127</v>
      </c>
      <c r="B2109" s="29">
        <f>Cours_Hist_figé!B2173/Cours_Hist_figé!B2109 - 1</f>
        <v>-4.1668064548583406E-4</v>
      </c>
      <c r="C2109" s="29">
        <f>Cours_Hist_figé!C2173/Cours_Hist_figé!C2109 - 1</f>
        <v>1.0400524576123615E-2</v>
      </c>
      <c r="D2109" s="29">
        <f>Cours_Hist_figé!D2173/Cours_Hist_figé!D2109 - 1</f>
        <v>8.1867201675716039E-3</v>
      </c>
      <c r="E2109" s="29">
        <f>Cours_Hist_figé!E2173/Cours_Hist_figé!E2109 - 1</f>
        <v>7.9725216199033611E-3</v>
      </c>
    </row>
    <row r="2110" spans="1:5" x14ac:dyDescent="0.4">
      <c r="A2110" s="27">
        <v>45128</v>
      </c>
      <c r="B2110" s="29">
        <f>Cours_Hist_figé!B2174/Cours_Hist_figé!B2110 - 1</f>
        <v>1.8736576337221589E-3</v>
      </c>
      <c r="C2110" s="29">
        <f>Cours_Hist_figé!C2174/Cours_Hist_figé!C2110 - 1</f>
        <v>1.2072381667603826E-2</v>
      </c>
      <c r="D2110" s="29">
        <f>Cours_Hist_figé!D2174/Cours_Hist_figé!D2110 - 1</f>
        <v>8.0335116681831131E-3</v>
      </c>
      <c r="E2110" s="29">
        <f>Cours_Hist_figé!E2174/Cours_Hist_figé!E2110 - 1</f>
        <v>7.8240780385896436E-3</v>
      </c>
    </row>
    <row r="2111" spans="1:5" x14ac:dyDescent="0.4">
      <c r="A2111" s="27">
        <v>45131</v>
      </c>
      <c r="B2111" s="29">
        <f>Cours_Hist_figé!B2175/Cours_Hist_figé!B2111 - 1</f>
        <v>5.808529643235083E-3</v>
      </c>
      <c r="C2111" s="29">
        <f>Cours_Hist_figé!C2175/Cours_Hist_figé!C2111 - 1</f>
        <v>7.8604647865356814E-3</v>
      </c>
      <c r="D2111" s="29">
        <f>Cours_Hist_figé!D2175/Cours_Hist_figé!D2111 - 1</f>
        <v>8.2427624023151402E-3</v>
      </c>
      <c r="E2111" s="29">
        <f>Cours_Hist_figé!E2175/Cours_Hist_figé!E2111 - 1</f>
        <v>8.028626997272692E-3</v>
      </c>
    </row>
    <row r="2112" spans="1:5" x14ac:dyDescent="0.4">
      <c r="A2112" s="27">
        <v>45132</v>
      </c>
      <c r="B2112" s="29">
        <f>Cours_Hist_figé!B2176/Cours_Hist_figé!B2112 - 1</f>
        <v>1.9016674000939648E-2</v>
      </c>
      <c r="C2112" s="29">
        <f>Cours_Hist_figé!C2176/Cours_Hist_figé!C2112 - 1</f>
        <v>7.0925192339317267E-3</v>
      </c>
      <c r="D2112" s="29">
        <f>Cours_Hist_figé!D2176/Cours_Hist_figé!D2112 - 1</f>
        <v>8.2568796932578348E-3</v>
      </c>
      <c r="E2112" s="29">
        <f>Cours_Hist_figé!E2176/Cours_Hist_figé!E2112 - 1</f>
        <v>8.0427257504820382E-3</v>
      </c>
    </row>
    <row r="2113" spans="1:5" x14ac:dyDescent="0.4">
      <c r="A2113" s="27">
        <v>45133</v>
      </c>
      <c r="B2113" s="29">
        <f>Cours_Hist_figé!B2177/Cours_Hist_figé!B2113 - 1</f>
        <v>1.1322953367297162E-2</v>
      </c>
      <c r="C2113" s="29">
        <f>Cours_Hist_figé!C2177/Cours_Hist_figé!C2113 - 1</f>
        <v>8.3370453618036855E-3</v>
      </c>
      <c r="D2113" s="29">
        <f>Cours_Hist_figé!D2177/Cours_Hist_figé!D2113 - 1</f>
        <v>8.270994580144464E-3</v>
      </c>
      <c r="E2113" s="29">
        <f>Cours_Hist_figé!E2177/Cours_Hist_figé!E2113 - 1</f>
        <v>8.0568727286103314E-3</v>
      </c>
    </row>
    <row r="2114" spans="1:5" x14ac:dyDescent="0.4">
      <c r="A2114" s="27">
        <v>45134</v>
      </c>
      <c r="B2114" s="29">
        <f>Cours_Hist_figé!B2178/Cours_Hist_figé!B2114 - 1</f>
        <v>1.8821431946029143E-2</v>
      </c>
      <c r="C2114" s="29">
        <f>Cours_Hist_figé!C2178/Cours_Hist_figé!C2114 - 1</f>
        <v>1.2804809663129468E-3</v>
      </c>
      <c r="D2114" s="29">
        <f>Cours_Hist_figé!D2178/Cours_Hist_figé!D2114 - 1</f>
        <v>8.2851070632452561E-3</v>
      </c>
      <c r="E2114" s="29">
        <f>Cours_Hist_figé!E2178/Cours_Hist_figé!E2114 - 1</f>
        <v>8.0709268967749104E-3</v>
      </c>
    </row>
    <row r="2115" spans="1:5" x14ac:dyDescent="0.4">
      <c r="A2115" s="27">
        <v>45135</v>
      </c>
      <c r="B2115" s="29">
        <f>Cours_Hist_figé!B2179/Cours_Hist_figé!B2115 - 1</f>
        <v>1.6254121752502515E-2</v>
      </c>
      <c r="C2115" s="29">
        <f>Cours_Hist_figé!C2179/Cours_Hist_figé!C2115 - 1</f>
        <v>1.263198236026053E-3</v>
      </c>
      <c r="D2115" s="29">
        <f>Cours_Hist_figé!D2179/Cours_Hist_figé!D2115 - 1</f>
        <v>8.0491451483990506E-3</v>
      </c>
      <c r="E2115" s="29">
        <f>Cours_Hist_figé!E2179/Cours_Hist_figé!E2115 - 1</f>
        <v>7.8421394724208504E-3</v>
      </c>
    </row>
    <row r="2116" spans="1:5" x14ac:dyDescent="0.4">
      <c r="A2116" s="27">
        <v>45138</v>
      </c>
      <c r="B2116" s="29">
        <f>Cours_Hist_figé!B2180/Cours_Hist_figé!B2116 - 1</f>
        <v>2.9706273898110425E-2</v>
      </c>
      <c r="C2116" s="29">
        <f>Cours_Hist_figé!C2180/Cours_Hist_figé!C2116 - 1</f>
        <v>-9.5269835078404252E-4</v>
      </c>
      <c r="D2116" s="29">
        <f>Cours_Hist_figé!D2180/Cours_Hist_figé!D2116 - 1</f>
        <v>8.3421863093442461E-3</v>
      </c>
      <c r="E2116" s="29">
        <f>Cours_Hist_figé!E2180/Cours_Hist_figé!E2116 - 1</f>
        <v>8.1280304521715863E-3</v>
      </c>
    </row>
    <row r="2117" spans="1:5" x14ac:dyDescent="0.4">
      <c r="A2117" s="27">
        <v>45139</v>
      </c>
      <c r="B2117" s="29">
        <f>Cours_Hist_figé!B2181/Cours_Hist_figé!B2117 - 1</f>
        <v>1.7074320662351372E-2</v>
      </c>
      <c r="C2117" s="29">
        <f>Cours_Hist_figé!C2181/Cours_Hist_figé!C2117 - 1</f>
        <v>-4.9398302092934498E-3</v>
      </c>
      <c r="D2117" s="29">
        <f>Cours_Hist_figé!D2181/Cours_Hist_figé!D2117 - 1</f>
        <v>8.356094765739952E-3</v>
      </c>
      <c r="E2117" s="29">
        <f>Cours_Hist_figé!E2181/Cours_Hist_figé!E2117 - 1</f>
        <v>8.1419232067942993E-3</v>
      </c>
    </row>
    <row r="2118" spans="1:5" x14ac:dyDescent="0.4">
      <c r="A2118" s="27">
        <v>45140</v>
      </c>
      <c r="B2118" s="29">
        <f>Cours_Hist_figé!B2182/Cours_Hist_figé!B2118 - 1</f>
        <v>7.4509902667887484E-3</v>
      </c>
      <c r="C2118" s="29">
        <f>Cours_Hist_figé!C2182/Cours_Hist_figé!C2118 - 1</f>
        <v>-6.8654184007960195E-3</v>
      </c>
      <c r="D2118" s="29">
        <f>Cours_Hist_figé!D2182/Cours_Hist_figé!D2118 - 1</f>
        <v>8.3703170926980874E-3</v>
      </c>
      <c r="E2118" s="29">
        <f>Cours_Hist_figé!E2182/Cours_Hist_figé!E2118 - 1</f>
        <v>8.1561451348390879E-3</v>
      </c>
    </row>
    <row r="2119" spans="1:5" x14ac:dyDescent="0.4">
      <c r="A2119" s="27">
        <v>45141</v>
      </c>
      <c r="B2119" s="29">
        <f>Cours_Hist_figé!B2183/Cours_Hist_figé!B2119 - 1</f>
        <v>-9.7635478060457137E-3</v>
      </c>
      <c r="C2119" s="29">
        <f>Cours_Hist_figé!C2183/Cours_Hist_figé!C2119 - 1</f>
        <v>-4.3572244995873088E-3</v>
      </c>
      <c r="D2119" s="29">
        <f>Cours_Hist_figé!D2183/Cours_Hist_figé!D2119 - 1</f>
        <v>8.391592484482624E-3</v>
      </c>
      <c r="E2119" s="29">
        <f>Cours_Hist_figé!E2183/Cours_Hist_figé!E2119 - 1</f>
        <v>8.1773654398529239E-3</v>
      </c>
    </row>
    <row r="2120" spans="1:5" x14ac:dyDescent="0.4">
      <c r="A2120" s="27">
        <v>45142</v>
      </c>
      <c r="B2120" s="29">
        <f>Cours_Hist_figé!B2184/Cours_Hist_figé!B2120 - 1</f>
        <v>-1.1026485692388843E-2</v>
      </c>
      <c r="C2120" s="29">
        <f>Cours_Hist_figé!C2184/Cours_Hist_figé!C2120 - 1</f>
        <v>-1.73175931726266E-3</v>
      </c>
      <c r="D2120" s="29">
        <f>Cours_Hist_figé!D2184/Cours_Hist_figé!D2120 - 1</f>
        <v>8.2456107486212904E-3</v>
      </c>
      <c r="E2120" s="29">
        <f>Cours_Hist_figé!E2184/Cours_Hist_figé!E2120 - 1</f>
        <v>8.0362301357446153E-3</v>
      </c>
    </row>
    <row r="2121" spans="1:5" x14ac:dyDescent="0.4">
      <c r="A2121" s="27">
        <v>45145</v>
      </c>
      <c r="B2121" s="29">
        <f>Cours_Hist_figé!B2185/Cours_Hist_figé!B2121 - 1</f>
        <v>-7.4743921657857149E-3</v>
      </c>
      <c r="C2121" s="29">
        <f>Cours_Hist_figé!C2185/Cours_Hist_figé!C2121 - 1</f>
        <v>-1.5780558246093479E-3</v>
      </c>
      <c r="D2121" s="29">
        <f>Cours_Hist_figé!D2185/Cours_Hist_figé!D2121 - 1</f>
        <v>8.4762798182596022E-3</v>
      </c>
      <c r="E2121" s="29">
        <f>Cours_Hist_figé!E2185/Cours_Hist_figé!E2121 - 1</f>
        <v>8.2621021516167126E-3</v>
      </c>
    </row>
    <row r="2122" spans="1:5" x14ac:dyDescent="0.4">
      <c r="A2122" s="27">
        <v>45146</v>
      </c>
      <c r="B2122" s="29">
        <f>Cours_Hist_figé!B2186/Cours_Hist_figé!B2122 - 1</f>
        <v>-5.3242213942048533E-3</v>
      </c>
      <c r="C2122" s="29">
        <f>Cours_Hist_figé!C2186/Cours_Hist_figé!C2122 - 1</f>
        <v>2.2384285764043277E-3</v>
      </c>
      <c r="D2122" s="29">
        <f>Cours_Hist_figé!D2186/Cours_Hist_figé!D2122 - 1</f>
        <v>8.4974602948193478E-3</v>
      </c>
      <c r="E2122" s="29">
        <f>Cours_Hist_figé!E2186/Cours_Hist_figé!E2122 - 1</f>
        <v>8.2833560177399956E-3</v>
      </c>
    </row>
    <row r="2123" spans="1:5" x14ac:dyDescent="0.4">
      <c r="A2123" s="27">
        <v>45147</v>
      </c>
      <c r="B2123" s="29">
        <f>Cours_Hist_figé!B2187/Cours_Hist_figé!B2123 - 1</f>
        <v>-1.748972095347523E-3</v>
      </c>
      <c r="C2123" s="29">
        <f>Cours_Hist_figé!C2187/Cours_Hist_figé!C2123 - 1</f>
        <v>-3.0303442926173929E-3</v>
      </c>
      <c r="D2123" s="29">
        <f>Cours_Hist_figé!D2187/Cours_Hist_figé!D2123 - 1</f>
        <v>8.5116728762322236E-3</v>
      </c>
      <c r="E2123" s="29">
        <f>Cours_Hist_figé!E2187/Cours_Hist_figé!E2123 - 1</f>
        <v>8.2975510379916795E-3</v>
      </c>
    </row>
    <row r="2124" spans="1:5" x14ac:dyDescent="0.4">
      <c r="A2124" s="27">
        <v>45148</v>
      </c>
      <c r="B2124" s="29">
        <f>Cours_Hist_figé!B2188/Cours_Hist_figé!B2124 - 1</f>
        <v>2.5908405278749491E-3</v>
      </c>
      <c r="C2124" s="29">
        <f>Cours_Hist_figé!C2188/Cours_Hist_figé!C2124 - 1</f>
        <v>-2.3893905072588373E-3</v>
      </c>
      <c r="D2124" s="29">
        <f>Cours_Hist_figé!D2188/Cours_Hist_figé!D2124 - 1</f>
        <v>8.5257903665485468E-3</v>
      </c>
      <c r="E2124" s="29">
        <f>Cours_Hist_figé!E2188/Cours_Hist_figé!E2124 - 1</f>
        <v>8.3116631866173574E-3</v>
      </c>
    </row>
    <row r="2125" spans="1:5" x14ac:dyDescent="0.4">
      <c r="A2125" s="27">
        <v>45149</v>
      </c>
      <c r="B2125" s="29">
        <f>Cours_Hist_figé!B2189/Cours_Hist_figé!B2125 - 1</f>
        <v>-1.0867836753796656E-2</v>
      </c>
      <c r="C2125" s="29">
        <f>Cours_Hist_figé!C2189/Cours_Hist_figé!C2125 - 1</f>
        <v>-5.2870393858845954E-3</v>
      </c>
      <c r="D2125" s="29">
        <f>Cours_Hist_figé!D2189/Cours_Hist_figé!D2125 - 1</f>
        <v>8.3588232677387353E-3</v>
      </c>
      <c r="E2125" s="29">
        <f>Cours_Hist_figé!E2189/Cours_Hist_figé!E2125 - 1</f>
        <v>8.1494906944663548E-3</v>
      </c>
    </row>
    <row r="2126" spans="1:5" x14ac:dyDescent="0.4">
      <c r="A2126" s="27">
        <v>45152</v>
      </c>
      <c r="B2126" s="29">
        <f>Cours_Hist_figé!B2190/Cours_Hist_figé!B2126 - 1</f>
        <v>-5.1322655262379113E-3</v>
      </c>
      <c r="C2126" s="29">
        <f>Cours_Hist_figé!C2190/Cours_Hist_figé!C2126 - 1</f>
        <v>-3.6303903399587112E-3</v>
      </c>
      <c r="D2126" s="29">
        <f>Cours_Hist_figé!D2190/Cours_Hist_figé!D2126 - 1</f>
        <v>8.5824554402180731E-3</v>
      </c>
      <c r="E2126" s="29">
        <f>Cours_Hist_figé!E2190/Cours_Hist_figé!E2126 - 1</f>
        <v>8.3682954349770799E-3</v>
      </c>
    </row>
    <row r="2127" spans="1:5" x14ac:dyDescent="0.4">
      <c r="A2127" s="27">
        <v>45153</v>
      </c>
      <c r="B2127" s="29">
        <f>Cours_Hist_figé!B2191/Cours_Hist_figé!B2127 - 1</f>
        <v>-1.3308716987433411E-2</v>
      </c>
      <c r="C2127" s="29">
        <f>Cours_Hist_figé!C2191/Cours_Hist_figé!C2127 - 1</f>
        <v>-6.5706428137354278E-3</v>
      </c>
      <c r="D2127" s="29">
        <f>Cours_Hist_figé!D2191/Cours_Hist_figé!D2127 - 1</f>
        <v>8.596674602531662E-3</v>
      </c>
      <c r="E2127" s="29">
        <f>Cours_Hist_figé!E2191/Cours_Hist_figé!E2127 - 1</f>
        <v>8.3825449966516974E-3</v>
      </c>
    </row>
    <row r="2128" spans="1:5" x14ac:dyDescent="0.4">
      <c r="A2128" s="27">
        <v>45154</v>
      </c>
      <c r="B2128" s="29">
        <f>Cours_Hist_figé!B2192/Cours_Hist_figé!B2128 - 1</f>
        <v>-1.83237037995162E-2</v>
      </c>
      <c r="C2128" s="29">
        <f>Cours_Hist_figé!C2192/Cours_Hist_figé!C2128 - 1</f>
        <v>1.7613168504360122E-3</v>
      </c>
      <c r="D2128" s="29">
        <f>Cours_Hist_figé!D2192/Cours_Hist_figé!D2128 - 1</f>
        <v>8.6107978567742105E-3</v>
      </c>
      <c r="E2128" s="29">
        <f>Cours_Hist_figé!E2192/Cours_Hist_figé!E2128 - 1</f>
        <v>8.3967208234956292E-3</v>
      </c>
    </row>
    <row r="2129" spans="1:5" x14ac:dyDescent="0.4">
      <c r="A2129" s="27">
        <v>45155</v>
      </c>
      <c r="B2129" s="29">
        <f>Cours_Hist_figé!B2193/Cours_Hist_figé!B2129 - 1</f>
        <v>-3.2812766286055228E-2</v>
      </c>
      <c r="C2129" s="29">
        <f>Cours_Hist_figé!C2193/Cours_Hist_figé!C2129 - 1</f>
        <v>-2.9457450472772928E-3</v>
      </c>
      <c r="D2129" s="29">
        <f>Cours_Hist_figé!D2193/Cours_Hist_figé!D2129 - 1</f>
        <v>8.6249185056790356E-3</v>
      </c>
      <c r="E2129" s="29">
        <f>Cours_Hist_figé!E2193/Cours_Hist_figé!E2129 - 1</f>
        <v>8.4107430923530124E-3</v>
      </c>
    </row>
    <row r="2130" spans="1:5" x14ac:dyDescent="0.4">
      <c r="A2130" s="27">
        <v>45156</v>
      </c>
      <c r="B2130" s="29">
        <f>Cours_Hist_figé!B2194/Cours_Hist_figé!B2130 - 1</f>
        <v>-3.9067309844674658E-2</v>
      </c>
      <c r="C2130" s="29">
        <f>Cours_Hist_figé!C2194/Cours_Hist_figé!C2130 - 1</f>
        <v>2.0443862835168858E-3</v>
      </c>
      <c r="D2130" s="29">
        <f>Cours_Hist_figé!D2194/Cours_Hist_figé!D2130 - 1</f>
        <v>8.4577330777659832E-3</v>
      </c>
      <c r="E2130" s="29">
        <f>Cours_Hist_figé!E2194/Cours_Hist_figé!E2130 - 1</f>
        <v>8.2483596271840653E-3</v>
      </c>
    </row>
    <row r="2131" spans="1:5" x14ac:dyDescent="0.4">
      <c r="A2131" s="27">
        <v>45159</v>
      </c>
      <c r="B2131" s="29">
        <f>Cours_Hist_figé!B2195/Cours_Hist_figé!B2131 - 1</f>
        <v>-3.2341935650123443E-2</v>
      </c>
      <c r="C2131" s="29">
        <f>Cours_Hist_figé!C2195/Cours_Hist_figé!C2131 - 1</f>
        <v>-1.785878113150785E-3</v>
      </c>
      <c r="D2131" s="29">
        <f>Cours_Hist_figé!D2195/Cours_Hist_figé!D2131 - 1</f>
        <v>8.6813906534026763E-3</v>
      </c>
      <c r="E2131" s="29">
        <f>Cours_Hist_figé!E2195/Cours_Hist_figé!E2131 - 1</f>
        <v>8.4672107231900107E-3</v>
      </c>
    </row>
    <row r="2132" spans="1:5" x14ac:dyDescent="0.4">
      <c r="A2132" s="27">
        <v>45160</v>
      </c>
      <c r="B2132" s="29">
        <f>Cours_Hist_figé!B2196/Cours_Hist_figé!B2132 - 1</f>
        <v>-8.1636171355212728E-3</v>
      </c>
      <c r="C2132" s="29">
        <f>Cours_Hist_figé!C2196/Cours_Hist_figé!C2132 - 1</f>
        <v>1.032912573140532E-3</v>
      </c>
      <c r="D2132" s="29">
        <f>Cours_Hist_figé!D2196/Cours_Hist_figé!D2132 - 1</f>
        <v>8.6953117870298691E-3</v>
      </c>
      <c r="E2132" s="29">
        <f>Cours_Hist_figé!E2196/Cours_Hist_figé!E2132 - 1</f>
        <v>8.4811292435016394E-3</v>
      </c>
    </row>
    <row r="2133" spans="1:5" x14ac:dyDescent="0.4">
      <c r="A2133" s="27">
        <v>45161</v>
      </c>
      <c r="B2133" s="29">
        <f>Cours_Hist_figé!B2197/Cours_Hist_figé!B2133 - 1</f>
        <v>-1.0482248361955993E-3</v>
      </c>
      <c r="C2133" s="29">
        <f>Cours_Hist_figé!C2197/Cours_Hist_figé!C2133 - 1</f>
        <v>1.1008248940622689E-2</v>
      </c>
      <c r="D2133" s="29">
        <f>Cours_Hist_figé!D2197/Cours_Hist_figé!D2133 - 1</f>
        <v>8.7095253919138305E-3</v>
      </c>
      <c r="E2133" s="29">
        <f>Cours_Hist_figé!E2197/Cours_Hist_figé!E2133 - 1</f>
        <v>8.4953381546855056E-3</v>
      </c>
    </row>
    <row r="2134" spans="1:5" x14ac:dyDescent="0.4">
      <c r="A2134" s="27">
        <v>45162</v>
      </c>
      <c r="B2134" s="29">
        <f>Cours_Hist_figé!B2198/Cours_Hist_figé!B2134 - 1</f>
        <v>-1.6423549981016361E-2</v>
      </c>
      <c r="C2134" s="29">
        <f>Cours_Hist_figé!C2198/Cours_Hist_figé!C2134 - 1</f>
        <v>1.4052615899638576E-2</v>
      </c>
      <c r="D2134" s="29">
        <f>Cours_Hist_figé!D2198/Cours_Hist_figé!D2134 - 1</f>
        <v>8.7236517812003811E-3</v>
      </c>
      <c r="E2134" s="29">
        <f>Cours_Hist_figé!E2198/Cours_Hist_figé!E2134 - 1</f>
        <v>8.5094542595929301E-3</v>
      </c>
    </row>
    <row r="2135" spans="1:5" x14ac:dyDescent="0.4">
      <c r="A2135" s="27">
        <v>45163</v>
      </c>
      <c r="B2135" s="29">
        <f>Cours_Hist_figé!B2199/Cours_Hist_figé!B2135 - 1</f>
        <v>-1.5651901017949998E-2</v>
      </c>
      <c r="C2135" s="29">
        <f>Cours_Hist_figé!C2199/Cours_Hist_figé!C2135 - 1</f>
        <v>4.617834536408072E-3</v>
      </c>
      <c r="D2135" s="29">
        <f>Cours_Hist_figé!D2199/Cours_Hist_figé!D2135 - 1</f>
        <v>8.556150160553555E-3</v>
      </c>
      <c r="E2135" s="29">
        <f>Cours_Hist_figé!E2199/Cours_Hist_figé!E2135 - 1</f>
        <v>8.3468114475206967E-3</v>
      </c>
    </row>
    <row r="2136" spans="1:5" x14ac:dyDescent="0.4">
      <c r="A2136" s="27">
        <v>45166</v>
      </c>
      <c r="B2136" s="29">
        <f>Cours_Hist_figé!B2200/Cours_Hist_figé!B2136 - 1</f>
        <v>1.7432290785213134E-3</v>
      </c>
      <c r="C2136" s="29">
        <f>Cours_Hist_figé!C2200/Cours_Hist_figé!C2136 - 1</f>
        <v>-1.8658521660100957E-3</v>
      </c>
      <c r="D2136" s="29">
        <f>Cours_Hist_figé!D2200/Cours_Hist_figé!D2136 - 1</f>
        <v>8.7796200625434029E-3</v>
      </c>
      <c r="E2136" s="29">
        <f>Cours_Hist_figé!E2200/Cours_Hist_figé!E2136 - 1</f>
        <v>8.5655201548917592E-3</v>
      </c>
    </row>
    <row r="2137" spans="1:5" x14ac:dyDescent="0.4">
      <c r="A2137" s="27">
        <v>45167</v>
      </c>
      <c r="B2137" s="29">
        <f>Cours_Hist_figé!B2201/Cours_Hist_figé!B2137 - 1</f>
        <v>2.2644797553867946E-2</v>
      </c>
      <c r="C2137" s="29">
        <f>Cours_Hist_figé!C2201/Cours_Hist_figé!C2137 - 1</f>
        <v>-2.5952862492064632E-3</v>
      </c>
      <c r="D2137" s="29">
        <f>Cours_Hist_figé!D2201/Cours_Hist_figé!D2137 - 1</f>
        <v>8.7937411024392453E-3</v>
      </c>
      <c r="E2137" s="29">
        <f>Cours_Hist_figé!E2201/Cours_Hist_figé!E2137 - 1</f>
        <v>8.5796135862656886E-3</v>
      </c>
    </row>
    <row r="2138" spans="1:5" x14ac:dyDescent="0.4">
      <c r="A2138" s="27">
        <v>45168</v>
      </c>
      <c r="B2138" s="29">
        <f>Cours_Hist_figé!B2202/Cours_Hist_figé!B2138 - 1</f>
        <v>1.3073739106501225E-2</v>
      </c>
      <c r="C2138" s="29">
        <f>Cours_Hist_figé!C2202/Cours_Hist_figé!C2138 - 1</f>
        <v>-4.5241770598386521E-3</v>
      </c>
      <c r="D2138" s="29">
        <f>Cours_Hist_figé!D2202/Cours_Hist_figé!D2138 - 1</f>
        <v>8.8079681823978184E-3</v>
      </c>
      <c r="E2138" s="29">
        <f>Cours_Hist_figé!E2202/Cours_Hist_figé!E2138 - 1</f>
        <v>8.5938457945700097E-3</v>
      </c>
    </row>
    <row r="2139" spans="1:5" x14ac:dyDescent="0.4">
      <c r="A2139" s="27">
        <v>45169</v>
      </c>
      <c r="B2139" s="29">
        <f>Cours_Hist_figé!B2203/Cours_Hist_figé!B2139 - 1</f>
        <v>-3.716749797093466E-3</v>
      </c>
      <c r="C2139" s="29">
        <f>Cours_Hist_figé!C2203/Cours_Hist_figé!C2139 - 1</f>
        <v>1.9347460134107042E-3</v>
      </c>
      <c r="D2139" s="29">
        <f>Cours_Hist_figé!D2203/Cours_Hist_figé!D2139 - 1</f>
        <v>8.8220840073891527E-3</v>
      </c>
      <c r="E2139" s="29">
        <f>Cours_Hist_figé!E2203/Cours_Hist_figé!E2139 - 1</f>
        <v>8.607994580150935E-3</v>
      </c>
    </row>
    <row r="2140" spans="1:5" x14ac:dyDescent="0.4">
      <c r="A2140" s="27">
        <v>45170</v>
      </c>
      <c r="B2140" s="29">
        <f>Cours_Hist_figé!B2204/Cours_Hist_figé!B2140 - 1</f>
        <v>1.1051031017126345E-3</v>
      </c>
      <c r="C2140" s="29">
        <f>Cours_Hist_figé!C2204/Cours_Hist_figé!C2140 - 1</f>
        <v>1.7480570760961545E-3</v>
      </c>
      <c r="D2140" s="29">
        <f>Cours_Hist_figé!D2204/Cours_Hist_figé!D2140 - 1</f>
        <v>8.6548707450566642E-3</v>
      </c>
      <c r="E2140" s="29">
        <f>Cours_Hist_figé!E2204/Cours_Hist_figé!E2140 - 1</f>
        <v>8.4455871433273266E-3</v>
      </c>
    </row>
    <row r="2141" spans="1:5" x14ac:dyDescent="0.4">
      <c r="A2141" s="27">
        <v>45173</v>
      </c>
      <c r="B2141" s="29">
        <f>Cours_Hist_figé!B2205/Cours_Hist_figé!B2141 - 1</f>
        <v>-2.9061845403544062E-3</v>
      </c>
      <c r="C2141" s="29">
        <f>Cours_Hist_figé!C2205/Cours_Hist_figé!C2141 - 1</f>
        <v>-6.8192625827112607E-4</v>
      </c>
      <c r="D2141" s="29">
        <f>Cours_Hist_figé!D2205/Cours_Hist_figé!D2141 - 1</f>
        <v>8.87836777549178E-3</v>
      </c>
      <c r="E2141" s="29">
        <f>Cours_Hist_figé!E2205/Cours_Hist_figé!E2141 - 1</f>
        <v>8.6642929862861262E-3</v>
      </c>
    </row>
    <row r="2142" spans="1:5" x14ac:dyDescent="0.4">
      <c r="A2142" s="27">
        <v>45174</v>
      </c>
      <c r="B2142" s="29">
        <f>Cours_Hist_figé!B2206/Cours_Hist_figé!B2142 - 1</f>
        <v>-3.1860140210332455E-3</v>
      </c>
      <c r="C2142" s="29">
        <f>Cours_Hist_figé!C2206/Cours_Hist_figé!C2142 - 1</f>
        <v>6.654123872211759E-4</v>
      </c>
      <c r="D2142" s="29">
        <f>Cours_Hist_figé!D2206/Cours_Hist_figé!D2142 - 1</f>
        <v>8.8925945071365309E-3</v>
      </c>
      <c r="E2142" s="29">
        <f>Cours_Hist_figé!E2206/Cours_Hist_figé!E2142 - 1</f>
        <v>8.6784896152518609E-3</v>
      </c>
    </row>
    <row r="2143" spans="1:5" x14ac:dyDescent="0.4">
      <c r="A2143" s="27">
        <v>45175</v>
      </c>
      <c r="B2143" s="29">
        <f>Cours_Hist_figé!B2207/Cours_Hist_figé!B2143 - 1</f>
        <v>-8.7151085226914171E-3</v>
      </c>
      <c r="C2143" s="29">
        <f>Cours_Hist_figé!C2207/Cours_Hist_figé!C2143 - 1</f>
        <v>-3.5876122899626273E-3</v>
      </c>
      <c r="D2143" s="29">
        <f>Cours_Hist_figé!D2207/Cours_Hist_figé!D2143 - 1</f>
        <v>8.9068109308083621E-3</v>
      </c>
      <c r="E2143" s="29">
        <f>Cours_Hist_figé!E2207/Cours_Hist_figé!E2143 - 1</f>
        <v>8.6927040549982237E-3</v>
      </c>
    </row>
    <row r="2144" spans="1:5" x14ac:dyDescent="0.4">
      <c r="A2144" s="27">
        <v>45176</v>
      </c>
      <c r="B2144" s="29">
        <f>Cours_Hist_figé!B2208/Cours_Hist_figé!B2144 - 1</f>
        <v>-7.6919530754251397E-3</v>
      </c>
      <c r="C2144" s="29">
        <f>Cours_Hist_figé!C2208/Cours_Hist_figé!C2144 - 1</f>
        <v>-4.9058278711380243E-3</v>
      </c>
      <c r="D2144" s="29">
        <f>Cours_Hist_figé!D2208/Cours_Hist_figé!D2144 - 1</f>
        <v>8.9210401098931413E-3</v>
      </c>
      <c r="E2144" s="29">
        <f>Cours_Hist_figé!E2208/Cours_Hist_figé!E2144 - 1</f>
        <v>8.7068753462091752E-3</v>
      </c>
    </row>
    <row r="2145" spans="1:5" x14ac:dyDescent="0.4">
      <c r="A2145" s="27">
        <v>45177</v>
      </c>
      <c r="B2145" s="29">
        <f>Cours_Hist_figé!B2209/Cours_Hist_figé!B2145 - 1</f>
        <v>-7.344234912644465E-3</v>
      </c>
      <c r="C2145" s="29">
        <f>Cours_Hist_figé!C2209/Cours_Hist_figé!C2145 - 1</f>
        <v>-4.200178376421837E-3</v>
      </c>
      <c r="D2145" s="29">
        <f>Cours_Hist_figé!D2209/Cours_Hist_figé!D2145 - 1</f>
        <v>8.7541120899372604E-3</v>
      </c>
      <c r="E2145" s="29">
        <f>Cours_Hist_figé!E2209/Cours_Hist_figé!E2145 - 1</f>
        <v>8.5447209044133832E-3</v>
      </c>
    </row>
    <row r="2146" spans="1:5" x14ac:dyDescent="0.4">
      <c r="A2146" s="27">
        <v>45180</v>
      </c>
      <c r="B2146" s="29">
        <f>Cours_Hist_figé!B2210/Cours_Hist_figé!B2146 - 1</f>
        <v>-9.795029380041731E-3</v>
      </c>
      <c r="C2146" s="29">
        <f>Cours_Hist_figé!C2210/Cours_Hist_figé!C2146 - 1</f>
        <v>-4.251441380047849E-3</v>
      </c>
      <c r="D2146" s="29">
        <f>Cours_Hist_figé!D2210/Cours_Hist_figé!D2146 - 1</f>
        <v>8.9777282784204715E-3</v>
      </c>
      <c r="E2146" s="29">
        <f>Cours_Hist_figé!E2210/Cours_Hist_figé!E2146 - 1</f>
        <v>8.7635543707036412E-3</v>
      </c>
    </row>
    <row r="2147" spans="1:5" x14ac:dyDescent="0.4">
      <c r="A2147" s="27">
        <v>45181</v>
      </c>
      <c r="B2147" s="29">
        <f>Cours_Hist_figé!B2211/Cours_Hist_figé!B2147 - 1</f>
        <v>-1.4868126098446233E-2</v>
      </c>
      <c r="C2147" s="29">
        <f>Cours_Hist_figé!C2211/Cours_Hist_figé!C2147 - 1</f>
        <v>-2.53795419284919E-3</v>
      </c>
      <c r="D2147" s="29">
        <f>Cours_Hist_figé!D2211/Cours_Hist_figé!D2147 - 1</f>
        <v>8.9918512702085174E-3</v>
      </c>
      <c r="E2147" s="29">
        <f>Cours_Hist_figé!E2211/Cours_Hist_figé!E2147 - 1</f>
        <v>8.7776926481197837E-3</v>
      </c>
    </row>
    <row r="2148" spans="1:5" x14ac:dyDescent="0.4">
      <c r="A2148" s="27">
        <v>45182</v>
      </c>
      <c r="B2148" s="29">
        <f>Cours_Hist_figé!B2212/Cours_Hist_figé!B2148 - 1</f>
        <v>-1.7213472633189508E-2</v>
      </c>
      <c r="C2148" s="29">
        <f>Cours_Hist_figé!C2212/Cours_Hist_figé!C2148 - 1</f>
        <v>-1.2183934789307127E-3</v>
      </c>
      <c r="D2148" s="29">
        <f>Cours_Hist_figé!D2212/Cours_Hist_figé!D2148 - 1</f>
        <v>9.005978440184581E-3</v>
      </c>
      <c r="E2148" s="29">
        <f>Cours_Hist_figé!E2212/Cours_Hist_figé!E2148 - 1</f>
        <v>8.7918277500211861E-3</v>
      </c>
    </row>
    <row r="2149" spans="1:5" x14ac:dyDescent="0.4">
      <c r="A2149" s="27">
        <v>45183</v>
      </c>
      <c r="B2149" s="29">
        <f>Cours_Hist_figé!B2213/Cours_Hist_figé!B2149 - 1</f>
        <v>-7.3981000349175874E-3</v>
      </c>
      <c r="C2149" s="29">
        <f>Cours_Hist_figé!C2213/Cours_Hist_figé!C2149 - 1</f>
        <v>-2.932673253313034E-4</v>
      </c>
      <c r="D2149" s="29">
        <f>Cours_Hist_figé!D2213/Cours_Hist_figé!D2149 - 1</f>
        <v>9.0200961507096444E-3</v>
      </c>
      <c r="E2149" s="29">
        <f>Cours_Hist_figé!E2213/Cours_Hist_figé!E2149 - 1</f>
        <v>8.8059710036576533E-3</v>
      </c>
    </row>
    <row r="2150" spans="1:5" x14ac:dyDescent="0.4">
      <c r="A2150" s="27">
        <v>45184</v>
      </c>
      <c r="B2150" s="29">
        <f>Cours_Hist_figé!B2214/Cours_Hist_figé!B2150 - 1</f>
        <v>4.9447333498764401E-3</v>
      </c>
      <c r="C2150" s="29">
        <f>Cours_Hist_figé!C2214/Cours_Hist_figé!C2150 - 1</f>
        <v>-1.2688608143626157E-3</v>
      </c>
      <c r="D2150" s="29">
        <f>Cours_Hist_figé!D2214/Cours_Hist_figé!D2150 - 1</f>
        <v>8.8533541338660093E-3</v>
      </c>
      <c r="E2150" s="29">
        <f>Cours_Hist_figé!E2214/Cours_Hist_figé!E2150 - 1</f>
        <v>8.6440705573822552E-3</v>
      </c>
    </row>
    <row r="2151" spans="1:5" x14ac:dyDescent="0.4">
      <c r="A2151" s="27">
        <v>45187</v>
      </c>
      <c r="B2151" s="29">
        <f>Cours_Hist_figé!B2215/Cours_Hist_figé!B2151 - 1</f>
        <v>7.4265987534127831E-5</v>
      </c>
      <c r="C2151" s="29">
        <f>Cours_Hist_figé!C2215/Cours_Hist_figé!C2151 - 1</f>
        <v>-1.0544812363589506E-2</v>
      </c>
      <c r="D2151" s="29">
        <f>Cours_Hist_figé!D2215/Cours_Hist_figé!D2151 - 1</f>
        <v>9.0767984131789881E-3</v>
      </c>
      <c r="E2151" s="29">
        <f>Cours_Hist_figé!E2215/Cours_Hist_figé!E2151 - 1</f>
        <v>8.8627618897076932E-3</v>
      </c>
    </row>
    <row r="2152" spans="1:5" x14ac:dyDescent="0.4">
      <c r="A2152" s="27">
        <v>45188</v>
      </c>
      <c r="B2152" s="29">
        <f>Cours_Hist_figé!B2216/Cours_Hist_figé!B2152 - 1</f>
        <v>4.3327420505632208E-3</v>
      </c>
      <c r="C2152" s="29">
        <f>Cours_Hist_figé!C2216/Cours_Hist_figé!C2152 - 1</f>
        <v>-9.7557203675351367E-3</v>
      </c>
      <c r="D2152" s="29">
        <f>Cours_Hist_figé!D2216/Cours_Hist_figé!D2152 - 1</f>
        <v>9.0909193524522092E-3</v>
      </c>
      <c r="E2152" s="29">
        <f>Cours_Hist_figé!E2216/Cours_Hist_figé!E2152 - 1</f>
        <v>8.8768831229111278E-3</v>
      </c>
    </row>
    <row r="2153" spans="1:5" x14ac:dyDescent="0.4">
      <c r="A2153" s="27">
        <v>45189</v>
      </c>
      <c r="B2153" s="29">
        <f>Cours_Hist_figé!B2217/Cours_Hist_figé!B2153 - 1</f>
        <v>1.8114675612286968E-2</v>
      </c>
      <c r="C2153" s="29">
        <f>Cours_Hist_figé!C2217/Cours_Hist_figé!C2153 - 1</f>
        <v>-4.0884622787356051E-3</v>
      </c>
      <c r="D2153" s="29">
        <f>Cours_Hist_figé!D2217/Cours_Hist_figé!D2153 - 1</f>
        <v>9.0980868696419748E-3</v>
      </c>
      <c r="E2153" s="29">
        <f>Cours_Hist_figé!E2217/Cours_Hist_figé!E2153 - 1</f>
        <v>8.8840581390285944E-3</v>
      </c>
    </row>
    <row r="2154" spans="1:5" x14ac:dyDescent="0.4">
      <c r="A2154" s="27">
        <v>45190</v>
      </c>
      <c r="B2154" s="29">
        <f>Cours_Hist_figé!B2218/Cours_Hist_figé!B2154 - 1</f>
        <v>7.9624652635779114E-3</v>
      </c>
      <c r="C2154" s="29">
        <f>Cours_Hist_figé!C2218/Cours_Hist_figé!C2154 - 1</f>
        <v>-1.3120920757720089E-2</v>
      </c>
      <c r="D2154" s="29">
        <f>Cours_Hist_figé!D2218/Cours_Hist_figé!D2154 - 1</f>
        <v>9.1122084230919054E-3</v>
      </c>
      <c r="E2154" s="29">
        <f>Cours_Hist_figé!E2218/Cours_Hist_figé!E2154 - 1</f>
        <v>8.8981823063700727E-3</v>
      </c>
    </row>
    <row r="2155" spans="1:5" x14ac:dyDescent="0.4">
      <c r="A2155" s="27">
        <v>45191</v>
      </c>
      <c r="B2155" s="29">
        <f>Cours_Hist_figé!B2219/Cours_Hist_figé!B2155 - 1</f>
        <v>5.8567911452467314E-3</v>
      </c>
      <c r="C2155" s="29">
        <f>Cours_Hist_figé!C2219/Cours_Hist_figé!C2155 - 1</f>
        <v>-1.6148327985545663E-2</v>
      </c>
      <c r="D2155" s="29">
        <f>Cours_Hist_figé!D2219/Cours_Hist_figé!D2155 - 1</f>
        <v>8.9310273574549903E-3</v>
      </c>
      <c r="E2155" s="29">
        <f>Cours_Hist_figé!E2219/Cours_Hist_figé!E2155 - 1</f>
        <v>8.721722927181208E-3</v>
      </c>
    </row>
    <row r="2156" spans="1:5" x14ac:dyDescent="0.4">
      <c r="A2156" s="27">
        <v>45194</v>
      </c>
      <c r="B2156" s="29">
        <f>Cours_Hist_figé!B2220/Cours_Hist_figé!B2156 - 1</f>
        <v>-9.5799390785955563E-4</v>
      </c>
      <c r="C2156" s="29">
        <f>Cours_Hist_figé!C2220/Cours_Hist_figé!C2156 - 1</f>
        <v>-1.5921264608589558E-2</v>
      </c>
      <c r="D2156" s="29">
        <f>Cours_Hist_figé!D2220/Cours_Hist_figé!D2156 - 1</f>
        <v>9.1688167418408906E-3</v>
      </c>
      <c r="E2156" s="29">
        <f>Cours_Hist_figé!E2220/Cours_Hist_figé!E2156 - 1</f>
        <v>8.9546989191779947E-3</v>
      </c>
    </row>
    <row r="2157" spans="1:5" x14ac:dyDescent="0.4">
      <c r="A2157" s="27">
        <v>45195</v>
      </c>
      <c r="B2157" s="29">
        <f>Cours_Hist_figé!B2221/Cours_Hist_figé!B2157 - 1</f>
        <v>-1.3546118529816686E-2</v>
      </c>
      <c r="C2157" s="29">
        <f>Cours_Hist_figé!C2221/Cours_Hist_figé!C2157 - 1</f>
        <v>-1.9062578857731105E-2</v>
      </c>
      <c r="D2157" s="29">
        <f>Cours_Hist_figé!D2221/Cours_Hist_figé!D2157 - 1</f>
        <v>9.1830393088441209E-3</v>
      </c>
      <c r="E2157" s="29">
        <f>Cours_Hist_figé!E2221/Cours_Hist_figé!E2157 - 1</f>
        <v>8.9689093690283883E-3</v>
      </c>
    </row>
    <row r="2158" spans="1:5" x14ac:dyDescent="0.4">
      <c r="A2158" s="27">
        <v>45196</v>
      </c>
      <c r="B2158" s="29">
        <f>Cours_Hist_figé!B2222/Cours_Hist_figé!B2158 - 1</f>
        <v>-1.6521185852946596E-2</v>
      </c>
      <c r="C2158" s="29">
        <f>Cours_Hist_figé!C2222/Cours_Hist_figé!C2158 - 1</f>
        <v>-1.6367868484631676E-2</v>
      </c>
      <c r="D2158" s="29">
        <f>Cours_Hist_figé!D2222/Cours_Hist_figé!D2158 - 1</f>
        <v>9.1971660645144837E-3</v>
      </c>
      <c r="E2158" s="29">
        <f>Cours_Hist_figé!E2222/Cours_Hist_figé!E2158 - 1</f>
        <v>8.9830262760410839E-3</v>
      </c>
    </row>
    <row r="2159" spans="1:5" x14ac:dyDescent="0.4">
      <c r="A2159" s="27">
        <v>45197</v>
      </c>
      <c r="B2159" s="29">
        <f>Cours_Hist_figé!B2223/Cours_Hist_figé!B2159 - 1</f>
        <v>-2.3985589781060801E-2</v>
      </c>
      <c r="C2159" s="29">
        <f>Cours_Hist_figé!C2223/Cours_Hist_figé!C2159 - 1</f>
        <v>-2.4652138197461704E-2</v>
      </c>
      <c r="D2159" s="29">
        <f>Cours_Hist_figé!D2223/Cours_Hist_figé!D2159 - 1</f>
        <v>9.2112900150687071E-3</v>
      </c>
      <c r="E2159" s="29">
        <f>Cours_Hist_figé!E2223/Cours_Hist_figé!E2159 - 1</f>
        <v>8.9971804969040114E-3</v>
      </c>
    </row>
    <row r="2160" spans="1:5" x14ac:dyDescent="0.4">
      <c r="A2160" s="27">
        <v>45198</v>
      </c>
      <c r="B2160" s="29">
        <f>Cours_Hist_figé!B2224/Cours_Hist_figé!B2160 - 1</f>
        <v>-1.8614716715033341E-2</v>
      </c>
      <c r="C2160" s="29">
        <f>Cours_Hist_figé!C2224/Cours_Hist_figé!C2160 - 1</f>
        <v>-1.4542738778558606E-2</v>
      </c>
      <c r="D2160" s="29">
        <f>Cours_Hist_figé!D2224/Cours_Hist_figé!D2160 - 1</f>
        <v>9.0301857256798179E-3</v>
      </c>
      <c r="E2160" s="29">
        <f>Cours_Hist_figé!E2224/Cours_Hist_figé!E2160 - 1</f>
        <v>8.8208280548802698E-3</v>
      </c>
    </row>
    <row r="2161" spans="1:5" x14ac:dyDescent="0.4">
      <c r="A2161" s="27">
        <v>45201</v>
      </c>
      <c r="B2161" s="29">
        <f>Cours_Hist_figé!B2225/Cours_Hist_figé!B2161 - 1</f>
        <v>-2.9129884805450978E-2</v>
      </c>
      <c r="C2161" s="29">
        <f>Cours_Hist_figé!C2225/Cours_Hist_figé!C2161 - 1</f>
        <v>-1.7158067484472461E-2</v>
      </c>
      <c r="D2161" s="29">
        <f>Cours_Hist_figé!D2225/Cours_Hist_figé!D2161 - 1</f>
        <v>9.2658789292596744E-3</v>
      </c>
      <c r="E2161" s="29">
        <f>Cours_Hist_figé!E2225/Cours_Hist_figé!E2161 - 1</f>
        <v>9.0517420747875388E-3</v>
      </c>
    </row>
    <row r="2162" spans="1:5" x14ac:dyDescent="0.4">
      <c r="A2162" s="27">
        <v>45202</v>
      </c>
      <c r="B2162" s="29">
        <f>Cours_Hist_figé!B2226/Cours_Hist_figé!B2162 - 1</f>
        <v>-3.2641641012262745E-2</v>
      </c>
      <c r="C2162" s="29">
        <f>Cours_Hist_figé!C2226/Cours_Hist_figé!C2162 - 1</f>
        <v>-2.0374491766866787E-2</v>
      </c>
      <c r="D2162" s="29">
        <f>Cours_Hist_figé!D2226/Cours_Hist_figé!D2162 - 1</f>
        <v>9.2799046209508518E-3</v>
      </c>
      <c r="E2162" s="29">
        <f>Cours_Hist_figé!E2226/Cours_Hist_figé!E2162 - 1</f>
        <v>9.0656925889929241E-3</v>
      </c>
    </row>
    <row r="2163" spans="1:5" x14ac:dyDescent="0.4">
      <c r="A2163" s="27">
        <v>45203</v>
      </c>
      <c r="B2163" s="29">
        <f>Cours_Hist_figé!B2227/Cours_Hist_figé!B2163 - 1</f>
        <v>-1.083071666372204E-2</v>
      </c>
      <c r="C2163" s="29">
        <f>Cours_Hist_figé!C2227/Cours_Hist_figé!C2163 - 1</f>
        <v>-1.1742625238291726E-2</v>
      </c>
      <c r="D2163" s="29">
        <f>Cours_Hist_figé!D2227/Cours_Hist_figé!D2163 - 1</f>
        <v>9.2938345893625041E-3</v>
      </c>
      <c r="E2163" s="29">
        <f>Cours_Hist_figé!E2227/Cours_Hist_figé!E2163 - 1</f>
        <v>9.0795897046405116E-3</v>
      </c>
    </row>
    <row r="2164" spans="1:5" x14ac:dyDescent="0.4">
      <c r="A2164" s="27">
        <v>45204</v>
      </c>
      <c r="B2164" s="29">
        <f>Cours_Hist_figé!B2228/Cours_Hist_figé!B2164 - 1</f>
        <v>-8.6472513150435137E-3</v>
      </c>
      <c r="C2164" s="29">
        <f>Cours_Hist_figé!C2228/Cours_Hist_figé!C2164 - 1</f>
        <v>-8.8372977912114514E-3</v>
      </c>
      <c r="D2164" s="29">
        <f>Cours_Hist_figé!D2228/Cours_Hist_figé!D2164 - 1</f>
        <v>9.3076611196460934E-3</v>
      </c>
      <c r="E2164" s="29">
        <f>Cours_Hist_figé!E2228/Cours_Hist_figé!E2164 - 1</f>
        <v>9.0934636708284167E-3</v>
      </c>
    </row>
    <row r="2165" spans="1:5" x14ac:dyDescent="0.4">
      <c r="A2165" s="27">
        <v>45205</v>
      </c>
      <c r="B2165" s="29">
        <f>Cours_Hist_figé!B2229/Cours_Hist_figé!B2165 - 1</f>
        <v>-2.3547850725021968E-3</v>
      </c>
      <c r="C2165" s="29">
        <f>Cours_Hist_figé!C2229/Cours_Hist_figé!C2165 - 1</f>
        <v>-9.360460154483996E-3</v>
      </c>
      <c r="D2165" s="29">
        <f>Cours_Hist_figé!D2229/Cours_Hist_figé!D2165 - 1</f>
        <v>9.1258404753611355E-3</v>
      </c>
      <c r="E2165" s="29">
        <f>Cours_Hist_figé!E2229/Cours_Hist_figé!E2165 - 1</f>
        <v>8.9164254976632495E-3</v>
      </c>
    </row>
    <row r="2166" spans="1:5" x14ac:dyDescent="0.4">
      <c r="A2166" s="27">
        <v>45208</v>
      </c>
      <c r="B2166" s="29">
        <f>Cours_Hist_figé!B2230/Cours_Hist_figé!B2166 - 1</f>
        <v>-1.1597609074352033E-2</v>
      </c>
      <c r="C2166" s="29">
        <f>Cours_Hist_figé!C2230/Cours_Hist_figé!C2166 - 1</f>
        <v>-2.4044095153075151E-3</v>
      </c>
      <c r="D2166" s="29">
        <f>Cours_Hist_figé!D2230/Cours_Hist_figé!D2166 - 1</f>
        <v>9.3630567507840823E-3</v>
      </c>
      <c r="E2166" s="29">
        <f>Cours_Hist_figé!E2230/Cours_Hist_figé!E2166 - 1</f>
        <v>9.1488737535478926E-3</v>
      </c>
    </row>
    <row r="2167" spans="1:5" x14ac:dyDescent="0.4">
      <c r="A2167" s="27">
        <v>45209</v>
      </c>
      <c r="B2167" s="29">
        <f>Cours_Hist_figé!B2231/Cours_Hist_figé!B2167 - 1</f>
        <v>-7.0472498574417619E-3</v>
      </c>
      <c r="C2167" s="29">
        <f>Cours_Hist_figé!C2231/Cours_Hist_figé!C2167 - 1</f>
        <v>-7.1322039083713262E-3</v>
      </c>
      <c r="D2167" s="29">
        <f>Cours_Hist_figé!D2231/Cours_Hist_figé!D2167 - 1</f>
        <v>9.3769853197531727E-3</v>
      </c>
      <c r="E2167" s="29">
        <f>Cours_Hist_figé!E2231/Cours_Hist_figé!E2167 - 1</f>
        <v>9.1627746360181117E-3</v>
      </c>
    </row>
    <row r="2168" spans="1:5" x14ac:dyDescent="0.4">
      <c r="A2168" s="27">
        <v>45210</v>
      </c>
      <c r="B2168" s="29">
        <f>Cours_Hist_figé!B2232/Cours_Hist_figé!B2168 - 1</f>
        <v>-1.1845318796147253E-2</v>
      </c>
      <c r="C2168" s="29">
        <f>Cours_Hist_figé!C2232/Cours_Hist_figé!C2168 - 1</f>
        <v>-8.7231674802157322E-3</v>
      </c>
      <c r="D2168" s="29">
        <f>Cours_Hist_figé!D2232/Cours_Hist_figé!D2168 - 1</f>
        <v>9.3909111178835936E-3</v>
      </c>
      <c r="E2168" s="29">
        <f>Cours_Hist_figé!E2232/Cours_Hist_figé!E2168 - 1</f>
        <v>9.1766528331194142E-3</v>
      </c>
    </row>
    <row r="2169" spans="1:5" x14ac:dyDescent="0.4">
      <c r="A2169" s="27">
        <v>45211</v>
      </c>
      <c r="B2169" s="29">
        <f>Cours_Hist_figé!B2233/Cours_Hist_figé!B2169 - 1</f>
        <v>-9.6040442631742939E-3</v>
      </c>
      <c r="C2169" s="29">
        <f>Cours_Hist_figé!C2233/Cours_Hist_figé!C2169 - 1</f>
        <v>-1.1767282477164298E-2</v>
      </c>
      <c r="D2169" s="29">
        <f>Cours_Hist_figé!D2233/Cours_Hist_figé!D2169 - 1</f>
        <v>9.4049423451294523E-3</v>
      </c>
      <c r="E2169" s="29">
        <f>Cours_Hist_figé!E2233/Cours_Hist_figé!E2169 - 1</f>
        <v>9.1906688852472218E-3</v>
      </c>
    </row>
    <row r="2170" spans="1:5" x14ac:dyDescent="0.4">
      <c r="A2170" s="27">
        <v>45212</v>
      </c>
      <c r="B2170" s="29">
        <f>Cours_Hist_figé!B2234/Cours_Hist_figé!B2170 - 1</f>
        <v>-1.2569033498729398E-2</v>
      </c>
      <c r="C2170" s="29">
        <f>Cours_Hist_figé!C2234/Cours_Hist_figé!C2170 - 1</f>
        <v>-1.1418825545278732E-2</v>
      </c>
      <c r="D2170" s="29">
        <f>Cours_Hist_figé!D2234/Cours_Hist_figé!D2170 - 1</f>
        <v>9.2234090910883193E-3</v>
      </c>
      <c r="E2170" s="29">
        <f>Cours_Hist_figé!E2234/Cours_Hist_figé!E2170 - 1</f>
        <v>9.0139709829399894E-3</v>
      </c>
    </row>
    <row r="2171" spans="1:5" x14ac:dyDescent="0.4">
      <c r="A2171" s="27">
        <v>45215</v>
      </c>
      <c r="B2171" s="29">
        <f>Cours_Hist_figé!B2235/Cours_Hist_figé!B2171 - 1</f>
        <v>-1.6729550144393368E-2</v>
      </c>
      <c r="C2171" s="29">
        <f>Cours_Hist_figé!C2235/Cours_Hist_figé!C2171 - 1</f>
        <v>-2.052022119558472E-2</v>
      </c>
      <c r="D2171" s="29">
        <f>Cours_Hist_figé!D2235/Cours_Hist_figé!D2171 - 1</f>
        <v>9.4610528844272235E-3</v>
      </c>
      <c r="E2171" s="29">
        <f>Cours_Hist_figé!E2235/Cours_Hist_figé!E2171 - 1</f>
        <v>9.246824977605872E-3</v>
      </c>
    </row>
    <row r="2172" spans="1:5" x14ac:dyDescent="0.4">
      <c r="A2172" s="27">
        <v>45216</v>
      </c>
      <c r="B2172" s="29">
        <f>Cours_Hist_figé!B2236/Cours_Hist_figé!B2172 - 1</f>
        <v>-1.9594018412510295E-2</v>
      </c>
      <c r="C2172" s="29">
        <f>Cours_Hist_figé!C2236/Cours_Hist_figé!C2172 - 1</f>
        <v>-2.3183311253151428E-2</v>
      </c>
      <c r="D2172" s="29">
        <f>Cours_Hist_figé!D2236/Cours_Hist_figé!D2172 - 1</f>
        <v>9.475177238053023E-3</v>
      </c>
      <c r="E2172" s="29">
        <f>Cours_Hist_figé!E2236/Cours_Hist_figé!E2172 - 1</f>
        <v>9.2609276491899539E-3</v>
      </c>
    </row>
    <row r="2173" spans="1:5" x14ac:dyDescent="0.4">
      <c r="A2173" s="27">
        <v>45217</v>
      </c>
      <c r="B2173" s="29">
        <f>Cours_Hist_figé!B2237/Cours_Hist_figé!B2173 - 1</f>
        <v>-3.4225688027822554E-2</v>
      </c>
      <c r="C2173" s="29">
        <f>Cours_Hist_figé!C2237/Cours_Hist_figé!C2173 - 1</f>
        <v>-2.2373148337001991E-2</v>
      </c>
      <c r="D2173" s="29">
        <f>Cours_Hist_figé!D2237/Cours_Hist_figé!D2173 - 1</f>
        <v>9.4893141719283314E-3</v>
      </c>
      <c r="E2173" s="29">
        <f>Cours_Hist_figé!E2237/Cours_Hist_figé!E2173 - 1</f>
        <v>9.2750572166573342E-3</v>
      </c>
    </row>
    <row r="2174" spans="1:5" x14ac:dyDescent="0.4">
      <c r="A2174" s="27">
        <v>45218</v>
      </c>
      <c r="B2174" s="29">
        <f>Cours_Hist_figé!B2238/Cours_Hist_figé!B2174 - 1</f>
        <v>-4.877317789639668E-2</v>
      </c>
      <c r="C2174" s="29">
        <f>Cours_Hist_figé!C2238/Cours_Hist_figé!C2174 - 1</f>
        <v>-2.4020670978408099E-2</v>
      </c>
      <c r="D2174" s="29">
        <f>Cours_Hist_figé!D2238/Cours_Hist_figé!D2174 - 1</f>
        <v>9.5033477444748105E-3</v>
      </c>
      <c r="E2174" s="29">
        <f>Cours_Hist_figé!E2238/Cours_Hist_figé!E2174 - 1</f>
        <v>9.2890734619626159E-3</v>
      </c>
    </row>
    <row r="2175" spans="1:5" x14ac:dyDescent="0.4">
      <c r="A2175" s="27">
        <v>45219</v>
      </c>
      <c r="B2175" s="29">
        <f>Cours_Hist_figé!B2239/Cours_Hist_figé!B2175 - 1</f>
        <v>-6.2366701215861964E-2</v>
      </c>
      <c r="C2175" s="29">
        <f>Cours_Hist_figé!C2239/Cours_Hist_figé!C2175 - 1</f>
        <v>-2.3612901410531184E-2</v>
      </c>
      <c r="D2175" s="29">
        <f>Cours_Hist_figé!D2239/Cours_Hist_figé!D2175 - 1</f>
        <v>9.321791298850135E-3</v>
      </c>
      <c r="E2175" s="29">
        <f>Cours_Hist_figé!E2239/Cours_Hist_figé!E2175 - 1</f>
        <v>9.1123017255019256E-3</v>
      </c>
    </row>
    <row r="2176" spans="1:5" x14ac:dyDescent="0.4">
      <c r="A2176" s="27">
        <v>45222</v>
      </c>
      <c r="B2176" s="29">
        <f>Cours_Hist_figé!B2240/Cours_Hist_figé!B2176 - 1</f>
        <v>-6.7856755499691612E-2</v>
      </c>
      <c r="C2176" s="29">
        <f>Cours_Hist_figé!C2240/Cours_Hist_figé!C2176 - 1</f>
        <v>-2.138826781218639E-2</v>
      </c>
      <c r="D2176" s="29">
        <f>Cours_Hist_figé!D2240/Cours_Hist_figé!D2176 - 1</f>
        <v>9.5595614135521867E-3</v>
      </c>
      <c r="E2176" s="29">
        <f>Cours_Hist_figé!E2240/Cours_Hist_figé!E2176 - 1</f>
        <v>9.3452200570478539E-3</v>
      </c>
    </row>
    <row r="2177" spans="1:5" x14ac:dyDescent="0.4">
      <c r="A2177" s="27">
        <v>45223</v>
      </c>
      <c r="B2177" s="29">
        <f>Cours_Hist_figé!B2241/Cours_Hist_figé!B2177 - 1</f>
        <v>-5.8371691079791455E-2</v>
      </c>
      <c r="C2177" s="29">
        <f>Cours_Hist_figé!C2241/Cours_Hist_figé!C2177 - 1</f>
        <v>-1.666950581967519E-2</v>
      </c>
      <c r="D2177" s="29">
        <f>Cours_Hist_figé!D2241/Cours_Hist_figé!D2177 - 1</f>
        <v>9.5735885998469161E-3</v>
      </c>
      <c r="E2177" s="29">
        <f>Cours_Hist_figé!E2241/Cours_Hist_figé!E2177 - 1</f>
        <v>9.3592320869988477E-3</v>
      </c>
    </row>
    <row r="2178" spans="1:5" x14ac:dyDescent="0.4">
      <c r="A2178" s="27">
        <v>45224</v>
      </c>
      <c r="B2178" s="29">
        <f>Cours_Hist_figé!B2242/Cours_Hist_figé!B2178 - 1</f>
        <v>-7.0141953285124625E-2</v>
      </c>
      <c r="C2178" s="29">
        <f>Cours_Hist_figé!C2242/Cours_Hist_figé!C2178 - 1</f>
        <v>-1.9880723596072514E-2</v>
      </c>
      <c r="D2178" s="29">
        <f>Cours_Hist_figé!D2242/Cours_Hist_figé!D2178 - 1</f>
        <v>9.5876206468032965E-3</v>
      </c>
      <c r="E2178" s="29">
        <f>Cours_Hist_figé!E2242/Cours_Hist_figé!E2178 - 1</f>
        <v>9.3733020315023285E-3</v>
      </c>
    </row>
    <row r="2179" spans="1:5" x14ac:dyDescent="0.4">
      <c r="A2179" s="27">
        <v>45225</v>
      </c>
      <c r="B2179" s="29">
        <f>Cours_Hist_figé!B2243/Cours_Hist_figé!B2179 - 1</f>
        <v>-7.3105111269912371E-2</v>
      </c>
      <c r="C2179" s="29">
        <f>Cours_Hist_figé!C2243/Cours_Hist_figé!C2179 - 1</f>
        <v>-1.7601169795396054E-2</v>
      </c>
      <c r="D2179" s="29">
        <f>Cours_Hist_figé!D2243/Cours_Hist_figé!D2179 - 1</f>
        <v>9.6015580865489447E-3</v>
      </c>
      <c r="E2179" s="29">
        <f>Cours_Hist_figé!E2243/Cours_Hist_figé!E2179 - 1</f>
        <v>9.3872494133679929E-3</v>
      </c>
    </row>
    <row r="2180" spans="1:5" x14ac:dyDescent="0.4">
      <c r="A2180" s="27">
        <v>45226</v>
      </c>
      <c r="B2180" s="29">
        <f>Cours_Hist_figé!B2244/Cours_Hist_figé!B2180 - 1</f>
        <v>-8.2329702635077773E-2</v>
      </c>
      <c r="C2180" s="29">
        <f>Cours_Hist_figé!C2244/Cours_Hist_figé!C2180 - 1</f>
        <v>-1.6927843601425852E-2</v>
      </c>
      <c r="D2180" s="29">
        <f>Cours_Hist_figé!D2244/Cours_Hist_figé!D2180 - 1</f>
        <v>9.4198801337721516E-3</v>
      </c>
      <c r="E2180" s="29">
        <f>Cours_Hist_figé!E2244/Cours_Hist_figé!E2180 - 1</f>
        <v>9.2103457779770803E-3</v>
      </c>
    </row>
    <row r="2181" spans="1:5" x14ac:dyDescent="0.4">
      <c r="A2181" s="27">
        <v>45229</v>
      </c>
      <c r="B2181" s="29">
        <f>Cours_Hist_figé!B2245/Cours_Hist_figé!B2181 - 1</f>
        <v>-7.0993817467321141E-2</v>
      </c>
      <c r="C2181" s="29">
        <f>Cours_Hist_figé!C2245/Cours_Hist_figé!C2181 - 1</f>
        <v>-1.1293881573941511E-2</v>
      </c>
      <c r="D2181" s="29">
        <f>Cours_Hist_figé!D2245/Cours_Hist_figé!D2181 - 1</f>
        <v>9.6577801287909271E-3</v>
      </c>
      <c r="E2181" s="29">
        <f>Cours_Hist_figé!E2245/Cours_Hist_figé!E2181 - 1</f>
        <v>9.4434721923735143E-3</v>
      </c>
    </row>
    <row r="2182" spans="1:5" x14ac:dyDescent="0.4">
      <c r="A2182" s="27">
        <v>45230</v>
      </c>
      <c r="B2182" s="29">
        <f>Cours_Hist_figé!B2246/Cours_Hist_figé!B2182 - 1</f>
        <v>-5.314146886159743E-2</v>
      </c>
      <c r="C2182" s="29">
        <f>Cours_Hist_figé!C2246/Cours_Hist_figé!C2182 - 1</f>
        <v>-1.1158356747469345E-2</v>
      </c>
      <c r="D2182" s="29">
        <f>Cours_Hist_figé!D2246/Cours_Hist_figé!D2182 - 1</f>
        <v>9.6717035110129856E-3</v>
      </c>
      <c r="E2182" s="29">
        <f>Cours_Hist_figé!E2246/Cours_Hist_figé!E2182 - 1</f>
        <v>9.4573557860428981E-3</v>
      </c>
    </row>
    <row r="2183" spans="1:5" x14ac:dyDescent="0.4">
      <c r="A2183" s="27">
        <v>45231</v>
      </c>
      <c r="B2183" s="29">
        <f>Cours_Hist_figé!B2247/Cours_Hist_figé!B2183 - 1</f>
        <v>-4.0578863901930662E-2</v>
      </c>
      <c r="C2183" s="29">
        <f>Cours_Hist_figé!C2247/Cours_Hist_figé!C2183 - 1</f>
        <v>-6.1474493178678147E-3</v>
      </c>
      <c r="D2183" s="29">
        <f>Cours_Hist_figé!D2247/Cours_Hist_figé!D2183 - 1</f>
        <v>9.6780701913692369E-3</v>
      </c>
      <c r="E2183" s="29">
        <f>Cours_Hist_figé!E2247/Cours_Hist_figé!E2183 - 1</f>
        <v>9.4637184688965981E-3</v>
      </c>
    </row>
    <row r="2184" spans="1:5" x14ac:dyDescent="0.4">
      <c r="A2184" s="27">
        <v>45232</v>
      </c>
      <c r="B2184" s="29">
        <f>Cours_Hist_figé!B2248/Cours_Hist_figé!B2184 - 1</f>
        <v>-2.8351200436078527E-2</v>
      </c>
      <c r="C2184" s="29">
        <f>Cours_Hist_figé!C2248/Cours_Hist_figé!C2184 - 1</f>
        <v>-3.3712827602565554E-3</v>
      </c>
      <c r="D2184" s="29">
        <f>Cours_Hist_figé!D2248/Cours_Hist_figé!D2184 - 1</f>
        <v>9.6850404676036561E-3</v>
      </c>
      <c r="E2184" s="29">
        <f>Cours_Hist_figé!E2248/Cours_Hist_figé!E2184 - 1</f>
        <v>9.4706480639279444E-3</v>
      </c>
    </row>
    <row r="2185" spans="1:5" x14ac:dyDescent="0.4">
      <c r="A2185" s="27">
        <v>45233</v>
      </c>
      <c r="B2185" s="29">
        <f>Cours_Hist_figé!B2249/Cours_Hist_figé!B2185 - 1</f>
        <v>-2.8390312618518765E-2</v>
      </c>
      <c r="C2185" s="29">
        <f>Cours_Hist_figé!C2249/Cours_Hist_figé!C2185 - 1</f>
        <v>1.8587409997687931E-3</v>
      </c>
      <c r="D2185" s="29">
        <f>Cours_Hist_figé!D2249/Cours_Hist_figé!D2185 - 1</f>
        <v>9.4824509011539604E-3</v>
      </c>
      <c r="E2185" s="29">
        <f>Cours_Hist_figé!E2249/Cours_Hist_figé!E2185 - 1</f>
        <v>9.2728415440335166E-3</v>
      </c>
    </row>
    <row r="2186" spans="1:5" x14ac:dyDescent="0.4">
      <c r="A2186" s="27">
        <v>45236</v>
      </c>
      <c r="B2186" s="29">
        <f>Cours_Hist_figé!B2250/Cours_Hist_figé!B2186 - 1</f>
        <v>-2.7828854074079201E-2</v>
      </c>
      <c r="C2186" s="29">
        <f>Cours_Hist_figé!C2250/Cours_Hist_figé!C2186 - 1</f>
        <v>-9.4717282263747649E-3</v>
      </c>
      <c r="D2186" s="29">
        <f>Cours_Hist_figé!D2250/Cours_Hist_figé!D2186 - 1</f>
        <v>9.7130963237332946E-3</v>
      </c>
      <c r="E2186" s="29">
        <f>Cours_Hist_figé!E2250/Cours_Hist_figé!E2186 - 1</f>
        <v>9.4985906191507041E-3</v>
      </c>
    </row>
    <row r="2187" spans="1:5" x14ac:dyDescent="0.4">
      <c r="A2187" s="27">
        <v>45237</v>
      </c>
      <c r="B2187" s="29">
        <f>Cours_Hist_figé!B2251/Cours_Hist_figé!B2187 - 1</f>
        <v>-3.3508919780243951E-2</v>
      </c>
      <c r="C2187" s="29">
        <f>Cours_Hist_figé!C2251/Cours_Hist_figé!C2187 - 1</f>
        <v>-4.1969564795967251E-3</v>
      </c>
      <c r="D2187" s="29">
        <f>Cours_Hist_figé!D2251/Cours_Hist_figé!D2187 - 1</f>
        <v>9.7200664721013297E-3</v>
      </c>
      <c r="E2187" s="29">
        <f>Cours_Hist_figé!E2251/Cours_Hist_figé!E2187 - 1</f>
        <v>9.5055528015557389E-3</v>
      </c>
    </row>
    <row r="2188" spans="1:5" x14ac:dyDescent="0.4">
      <c r="A2188" s="27">
        <v>45238</v>
      </c>
      <c r="B2188" s="29">
        <f>Cours_Hist_figé!B2252/Cours_Hist_figé!B2188 - 1</f>
        <v>-3.95589510893819E-2</v>
      </c>
      <c r="C2188" s="29">
        <f>Cours_Hist_figé!C2252/Cours_Hist_figé!C2188 - 1</f>
        <v>2.5690305573378147E-4</v>
      </c>
      <c r="D2188" s="29">
        <f>Cours_Hist_figé!D2252/Cours_Hist_figé!D2188 - 1</f>
        <v>9.7272346623382688E-3</v>
      </c>
      <c r="E2188" s="29">
        <f>Cours_Hist_figé!E2252/Cours_Hist_figé!E2188 - 1</f>
        <v>9.5126436601717934E-3</v>
      </c>
    </row>
    <row r="2189" spans="1:5" x14ac:dyDescent="0.4">
      <c r="A2189" s="27">
        <v>45239</v>
      </c>
      <c r="B2189" s="29">
        <f>Cours_Hist_figé!B2253/Cours_Hist_figé!B2189 - 1</f>
        <v>-2.1057615764933924E-2</v>
      </c>
      <c r="C2189" s="29">
        <f>Cours_Hist_figé!C2253/Cours_Hist_figé!C2189 - 1</f>
        <v>3.9109571999000892E-3</v>
      </c>
      <c r="D2189" s="29">
        <f>Cours_Hist_figé!D2253/Cours_Hist_figé!D2189 - 1</f>
        <v>9.7343009997725716E-3</v>
      </c>
      <c r="E2189" s="29">
        <f>Cours_Hist_figé!E2253/Cours_Hist_figé!E2189 - 1</f>
        <v>9.519652495572517E-3</v>
      </c>
    </row>
    <row r="2190" spans="1:5" x14ac:dyDescent="0.4">
      <c r="A2190" s="27">
        <v>45240</v>
      </c>
      <c r="B2190" s="29">
        <f>Cours_Hist_figé!B2254/Cours_Hist_figé!B2190 - 1</f>
        <v>-3.2201496761635195E-2</v>
      </c>
      <c r="C2190" s="29">
        <f>Cours_Hist_figé!C2254/Cours_Hist_figé!C2190 - 1</f>
        <v>2.1135293853846715E-3</v>
      </c>
      <c r="D2190" s="29">
        <f>Cours_Hist_figé!D2254/Cours_Hist_figé!D2190 - 1</f>
        <v>9.5317112348172195E-3</v>
      </c>
      <c r="E2190" s="29">
        <f>Cours_Hist_figé!E2254/Cours_Hist_figé!E2190 - 1</f>
        <v>9.3218102618581877E-3</v>
      </c>
    </row>
    <row r="2191" spans="1:5" x14ac:dyDescent="0.4">
      <c r="A2191" s="27">
        <v>45243</v>
      </c>
      <c r="B2191" s="29">
        <f>Cours_Hist_figé!B2255/Cours_Hist_figé!B2191 - 1</f>
        <v>-1.5557592126794417E-2</v>
      </c>
      <c r="C2191" s="29">
        <f>Cours_Hist_figé!C2255/Cours_Hist_figé!C2191 - 1</f>
        <v>4.4423469910199742E-3</v>
      </c>
      <c r="D2191" s="29">
        <f>Cours_Hist_figé!D2255/Cours_Hist_figé!D2191 - 1</f>
        <v>9.7623656356446986E-3</v>
      </c>
      <c r="E2191" s="29">
        <f>Cours_Hist_figé!E2255/Cours_Hist_figé!E2191 - 1</f>
        <v>9.5476613925897791E-3</v>
      </c>
    </row>
    <row r="2192" spans="1:5" x14ac:dyDescent="0.4">
      <c r="A2192" s="27">
        <v>45244</v>
      </c>
      <c r="B2192" s="29">
        <f>Cours_Hist_figé!B2256/Cours_Hist_figé!B2192 - 1</f>
        <v>-3.1837762925237545E-3</v>
      </c>
      <c r="C2192" s="29">
        <f>Cours_Hist_figé!C2256/Cours_Hist_figé!C2192 - 1</f>
        <v>1.0652457462632769E-2</v>
      </c>
      <c r="D2192" s="29">
        <f>Cours_Hist_figé!D2256/Cours_Hist_figé!D2192 - 1</f>
        <v>9.7693314579174739E-3</v>
      </c>
      <c r="E2192" s="29">
        <f>Cours_Hist_figé!E2256/Cours_Hist_figé!E2192 - 1</f>
        <v>9.5545518694177822E-3</v>
      </c>
    </row>
    <row r="2193" spans="1:5" x14ac:dyDescent="0.4">
      <c r="A2193" s="27">
        <v>45245</v>
      </c>
      <c r="B2193" s="29">
        <f>Cours_Hist_figé!B2257/Cours_Hist_figé!B2193 - 1</f>
        <v>9.2927406013472158E-3</v>
      </c>
      <c r="C2193" s="29">
        <f>Cours_Hist_figé!C2257/Cours_Hist_figé!C2193 - 1</f>
        <v>1.2407523055437908E-2</v>
      </c>
      <c r="D2193" s="29">
        <f>Cours_Hist_figé!D2257/Cours_Hist_figé!D2193 - 1</f>
        <v>9.7762957582836485E-3</v>
      </c>
      <c r="E2193" s="29">
        <f>Cours_Hist_figé!E2257/Cours_Hist_figé!E2193 - 1</f>
        <v>9.5615113487073078E-3</v>
      </c>
    </row>
    <row r="2194" spans="1:5" x14ac:dyDescent="0.4">
      <c r="A2194" s="27">
        <v>45246</v>
      </c>
      <c r="B2194" s="29">
        <f>Cours_Hist_figé!B2258/Cours_Hist_figé!B2194 - 1</f>
        <v>8.8100954216441263E-3</v>
      </c>
      <c r="C2194" s="29">
        <f>Cours_Hist_figé!C2258/Cours_Hist_figé!C2194 - 1</f>
        <v>1.2745904133423913E-2</v>
      </c>
      <c r="D2194" s="29">
        <f>Cours_Hist_figé!D2258/Cours_Hist_figé!D2194 - 1</f>
        <v>9.7831592840855741E-3</v>
      </c>
      <c r="E2194" s="29">
        <f>Cours_Hist_figé!E2258/Cours_Hist_figé!E2194 - 1</f>
        <v>9.5683796956400613E-3</v>
      </c>
    </row>
    <row r="2195" spans="1:5" x14ac:dyDescent="0.4">
      <c r="A2195" s="27">
        <v>45247</v>
      </c>
      <c r="B2195" s="29">
        <f>Cours_Hist_figé!B2259/Cours_Hist_figé!B2195 - 1</f>
        <v>1.7947860419287309E-2</v>
      </c>
      <c r="C2195" s="29">
        <f>Cours_Hist_figé!C2259/Cours_Hist_figé!C2195 - 1</f>
        <v>1.6220335292836952E-2</v>
      </c>
      <c r="D2195" s="29">
        <f>Cours_Hist_figé!D2259/Cours_Hist_figé!D2195 - 1</f>
        <v>9.5804608042699968E-3</v>
      </c>
      <c r="E2195" s="29">
        <f>Cours_Hist_figé!E2259/Cours_Hist_figé!E2195 - 1</f>
        <v>9.3704805701400051E-3</v>
      </c>
    </row>
    <row r="2196" spans="1:5" x14ac:dyDescent="0.4">
      <c r="A2196" s="27">
        <v>45250</v>
      </c>
      <c r="B2196" s="29">
        <f>Cours_Hist_figé!B2260/Cours_Hist_figé!B2196 - 1</f>
        <v>1.2124480657887737E-2</v>
      </c>
      <c r="C2196" s="29">
        <f>Cours_Hist_figé!C2260/Cours_Hist_figé!C2196 - 1</f>
        <v>1.168329728612294E-2</v>
      </c>
      <c r="D2196" s="29">
        <f>Cours_Hist_figé!D2260/Cours_Hist_figé!D2196 - 1</f>
        <v>9.8110256825987285E-3</v>
      </c>
      <c r="E2196" s="29">
        <f>Cours_Hist_figé!E2260/Cours_Hist_figé!E2196 - 1</f>
        <v>9.5962258055648508E-3</v>
      </c>
    </row>
    <row r="2197" spans="1:5" x14ac:dyDescent="0.4">
      <c r="A2197" s="27">
        <v>45251</v>
      </c>
      <c r="B2197" s="29">
        <f>Cours_Hist_figé!B2261/Cours_Hist_figé!B2197 - 1</f>
        <v>7.5553435845781003E-3</v>
      </c>
      <c r="C2197" s="29">
        <f>Cours_Hist_figé!C2261/Cours_Hist_figé!C2197 - 1</f>
        <v>6.6180680093044231E-3</v>
      </c>
      <c r="D2197" s="29">
        <f>Cours_Hist_figé!D2261/Cours_Hist_figé!D2197 - 1</f>
        <v>9.8179959771378389E-3</v>
      </c>
      <c r="E2197" s="29">
        <f>Cours_Hist_figé!E2261/Cours_Hist_figé!E2197 - 1</f>
        <v>9.6031758665260369E-3</v>
      </c>
    </row>
    <row r="2198" spans="1:5" x14ac:dyDescent="0.4">
      <c r="A2198" s="27">
        <v>45252</v>
      </c>
      <c r="B2198" s="29">
        <f>Cours_Hist_figé!B2262/Cours_Hist_figé!B2198 - 1</f>
        <v>1.4438721034897961E-2</v>
      </c>
      <c r="C2198" s="29">
        <f>Cours_Hist_figé!C2262/Cours_Hist_figé!C2198 - 1</f>
        <v>6.6329541855496554E-3</v>
      </c>
      <c r="D2198" s="29">
        <f>Cours_Hist_figé!D2262/Cours_Hist_figé!D2198 - 1</f>
        <v>9.8249580181160034E-3</v>
      </c>
      <c r="E2198" s="29">
        <f>Cours_Hist_figé!E2262/Cours_Hist_figé!E2198 - 1</f>
        <v>9.610155105760354E-3</v>
      </c>
    </row>
    <row r="2199" spans="1:5" x14ac:dyDescent="0.4">
      <c r="A2199" s="27">
        <v>45253</v>
      </c>
      <c r="B2199" s="29">
        <f>Cours_Hist_figé!B2263/Cours_Hist_figé!B2199 - 1</f>
        <v>1.7919854002661939E-2</v>
      </c>
      <c r="C2199" s="29">
        <f>Cours_Hist_figé!C2263/Cours_Hist_figé!C2199 - 1</f>
        <v>6.20252408763311E-3</v>
      </c>
      <c r="D2199" s="29">
        <f>Cours_Hist_figé!D2263/Cours_Hist_figé!D2199 - 1</f>
        <v>9.8321255051538881E-3</v>
      </c>
      <c r="E2199" s="29">
        <f>Cours_Hist_figé!E2263/Cours_Hist_figé!E2199 - 1</f>
        <v>9.6172529820173214E-3</v>
      </c>
    </row>
    <row r="2200" spans="1:5" x14ac:dyDescent="0.4">
      <c r="A2200" s="27">
        <v>45254</v>
      </c>
      <c r="B2200" s="29">
        <f>Cours_Hist_figé!B2264/Cours_Hist_figé!B2200 - 1</f>
        <v>1.2466121707414901E-2</v>
      </c>
      <c r="C2200" s="29">
        <f>Cours_Hist_figé!C2264/Cours_Hist_figé!C2200 - 1</f>
        <v>6.1122064410119581E-3</v>
      </c>
      <c r="D2200" s="29">
        <f>Cours_Hist_figé!D2264/Cours_Hist_figé!D2200 - 1</f>
        <v>9.6296207767516684E-3</v>
      </c>
      <c r="E2200" s="29">
        <f>Cours_Hist_figé!E2264/Cours_Hist_figé!E2200 - 1</f>
        <v>9.4194896879711276E-3</v>
      </c>
    </row>
    <row r="2201" spans="1:5" x14ac:dyDescent="0.4">
      <c r="A2201" s="27">
        <v>45257</v>
      </c>
      <c r="B2201" s="29">
        <f>Cours_Hist_figé!B2265/Cours_Hist_figé!B2201 - 1</f>
        <v>-9.0130507085295353E-4</v>
      </c>
      <c r="C2201" s="29">
        <f>Cours_Hist_figé!C2265/Cours_Hist_figé!C2201 - 1</f>
        <v>7.9913791734522732E-3</v>
      </c>
      <c r="D2201" s="29">
        <f>Cours_Hist_figé!D2265/Cours_Hist_figé!D2201 - 1</f>
        <v>9.8603946267239451E-3</v>
      </c>
      <c r="E2201" s="29">
        <f>Cours_Hist_figé!E2265/Cours_Hist_figé!E2201 - 1</f>
        <v>9.6454771270793049E-3</v>
      </c>
    </row>
    <row r="2202" spans="1:5" x14ac:dyDescent="0.4">
      <c r="A2202" s="27">
        <v>45258</v>
      </c>
      <c r="B2202" s="29">
        <f>Cours_Hist_figé!B2266/Cours_Hist_figé!B2202 - 1</f>
        <v>-2.3001960252261311E-3</v>
      </c>
      <c r="C2202" s="29">
        <f>Cours_Hist_figé!C2266/Cours_Hist_figé!C2202 - 1</f>
        <v>1.1612565477380876E-2</v>
      </c>
      <c r="D2202" s="29">
        <f>Cours_Hist_figé!D2266/Cours_Hist_figé!D2202 - 1</f>
        <v>9.8674617148943877E-3</v>
      </c>
      <c r="E2202" s="29">
        <f>Cours_Hist_figé!E2266/Cours_Hist_figé!E2202 - 1</f>
        <v>9.6525168069250267E-3</v>
      </c>
    </row>
    <row r="2203" spans="1:5" x14ac:dyDescent="0.4">
      <c r="A2203" s="27">
        <v>45259</v>
      </c>
      <c r="B2203" s="29">
        <f>Cours_Hist_figé!B2267/Cours_Hist_figé!B2203 - 1</f>
        <v>4.1260919618069103E-3</v>
      </c>
      <c r="C2203" s="29">
        <f>Cours_Hist_figé!C2267/Cours_Hist_figé!C2203 - 1</f>
        <v>1.1818044816127804E-2</v>
      </c>
      <c r="D2203" s="29">
        <f>Cours_Hist_figé!D2267/Cours_Hist_figé!D2203 - 1</f>
        <v>9.8745348855100445E-3</v>
      </c>
      <c r="E2203" s="29">
        <f>Cours_Hist_figé!E2267/Cours_Hist_figé!E2203 - 1</f>
        <v>9.6595648974577841E-3</v>
      </c>
    </row>
    <row r="2204" spans="1:5" x14ac:dyDescent="0.4">
      <c r="A2204" s="27">
        <v>45260</v>
      </c>
      <c r="B2204" s="29">
        <f>Cours_Hist_figé!B2268/Cours_Hist_figé!B2204 - 1</f>
        <v>1.0350767351198442E-2</v>
      </c>
      <c r="C2204" s="29">
        <f>Cours_Hist_figé!C2268/Cours_Hist_figé!C2204 - 1</f>
        <v>1.3836103465311611E-2</v>
      </c>
      <c r="D2204" s="29">
        <f>Cours_Hist_figé!D2268/Cours_Hist_figé!D2204 - 1</f>
        <v>9.8818066138071092E-3</v>
      </c>
      <c r="E2204" s="29">
        <f>Cours_Hist_figé!E2268/Cours_Hist_figé!E2204 - 1</f>
        <v>9.6667422316274454E-3</v>
      </c>
    </row>
    <row r="2205" spans="1:5" x14ac:dyDescent="0.4">
      <c r="A2205" s="27">
        <v>45261</v>
      </c>
      <c r="B2205" s="29">
        <f>Cours_Hist_figé!B2269/Cours_Hist_figé!B2205 - 1</f>
        <v>2.0213942319904143E-2</v>
      </c>
      <c r="C2205" s="29">
        <f>Cours_Hist_figé!C2269/Cours_Hist_figé!C2205 - 1</f>
        <v>2.3066870396454942E-2</v>
      </c>
      <c r="D2205" s="29">
        <f>Cours_Hist_figé!D2269/Cours_Hist_figé!D2205 - 1</f>
        <v>9.6788824637576987E-3</v>
      </c>
      <c r="E2205" s="29">
        <f>Cours_Hist_figé!E2269/Cours_Hist_figé!E2205 - 1</f>
        <v>9.468655236138046E-3</v>
      </c>
    </row>
    <row r="2206" spans="1:5" x14ac:dyDescent="0.4">
      <c r="A2206" s="27">
        <v>45264</v>
      </c>
      <c r="B2206" s="29">
        <f>Cours_Hist_figé!B2270/Cours_Hist_figé!B2206 - 1</f>
        <v>2.2117779321867204E-2</v>
      </c>
      <c r="C2206" s="29">
        <f>Cours_Hist_figé!C2270/Cours_Hist_figé!C2206 - 1</f>
        <v>2.6749865433304709E-2</v>
      </c>
      <c r="D2206" s="29">
        <f>Cours_Hist_figé!D2270/Cours_Hist_figé!D2206 - 1</f>
        <v>9.9096658038022589E-3</v>
      </c>
      <c r="E2206" s="29">
        <f>Cours_Hist_figé!E2270/Cours_Hist_figé!E2206 - 1</f>
        <v>9.6946452848007958E-3</v>
      </c>
    </row>
    <row r="2207" spans="1:5" x14ac:dyDescent="0.4">
      <c r="A2207" s="27">
        <v>45265</v>
      </c>
      <c r="B2207" s="29">
        <f>Cours_Hist_figé!B2271/Cours_Hist_figé!B2207 - 1</f>
        <v>3.1486119013625302E-2</v>
      </c>
      <c r="C2207" s="29">
        <f>Cours_Hist_figé!C2271/Cours_Hist_figé!C2207 - 1</f>
        <v>3.6686393161481812E-2</v>
      </c>
      <c r="D2207" s="29">
        <f>Cours_Hist_figé!D2271/Cours_Hist_figé!D2207 - 1</f>
        <v>9.9167448305894634E-3</v>
      </c>
      <c r="E2207" s="29">
        <f>Cours_Hist_figé!E2271/Cours_Hist_figé!E2207 - 1</f>
        <v>9.7017340757641346E-3</v>
      </c>
    </row>
    <row r="2208" spans="1:5" x14ac:dyDescent="0.4">
      <c r="A2208" s="27">
        <v>45266</v>
      </c>
      <c r="B2208" s="29">
        <f>Cours_Hist_figé!B2272/Cours_Hist_figé!B2208 - 1</f>
        <v>3.7457761210956786E-2</v>
      </c>
      <c r="C2208" s="29">
        <f>Cours_Hist_figé!C2272/Cours_Hist_figé!C2208 - 1</f>
        <v>3.7059567636160473E-2</v>
      </c>
      <c r="D2208" s="29">
        <f>Cours_Hist_figé!D2272/Cours_Hist_figé!D2208 - 1</f>
        <v>9.923806923332279E-3</v>
      </c>
      <c r="E2208" s="29">
        <f>Cours_Hist_figé!E2272/Cours_Hist_figé!E2208 - 1</f>
        <v>9.7088310675286227E-3</v>
      </c>
    </row>
    <row r="2209" spans="1:5" x14ac:dyDescent="0.4">
      <c r="A2209" s="27">
        <v>45267</v>
      </c>
      <c r="B2209" s="29">
        <f>Cours_Hist_figé!B2273/Cours_Hist_figé!B2209 - 1</f>
        <v>3.2627282160929694E-2</v>
      </c>
      <c r="C2209" s="29">
        <f>Cours_Hist_figé!C2273/Cours_Hist_figé!C2209 - 1</f>
        <v>3.6281328723032136E-2</v>
      </c>
      <c r="D2209" s="29">
        <f>Cours_Hist_figé!D2273/Cours_Hist_figé!D2209 - 1</f>
        <v>9.9308750927891154E-3</v>
      </c>
      <c r="E2209" s="29">
        <f>Cours_Hist_figé!E2273/Cours_Hist_figé!E2209 - 1</f>
        <v>9.7158966471790897E-3</v>
      </c>
    </row>
    <row r="2210" spans="1:5" x14ac:dyDescent="0.4">
      <c r="A2210" s="27">
        <v>45268</v>
      </c>
      <c r="B2210" s="29">
        <f>Cours_Hist_figé!B2274/Cours_Hist_figé!B2210 - 1</f>
        <v>3.6889068127696989E-2</v>
      </c>
      <c r="C2210" s="29">
        <f>Cours_Hist_figé!C2274/Cours_Hist_figé!C2210 - 1</f>
        <v>3.4023599045244435E-2</v>
      </c>
      <c r="D2210" s="29">
        <f>Cours_Hist_figé!D2274/Cours_Hist_figé!D2210 - 1</f>
        <v>9.7282397571116785E-3</v>
      </c>
      <c r="E2210" s="29">
        <f>Cours_Hist_figé!E2274/Cours_Hist_figé!E2210 - 1</f>
        <v>9.5180515095087959E-3</v>
      </c>
    </row>
    <row r="2211" spans="1:5" x14ac:dyDescent="0.4">
      <c r="A2211" s="27">
        <v>45271</v>
      </c>
      <c r="B2211" s="29">
        <f>Cours_Hist_figé!B2275/Cours_Hist_figé!B2211 - 1</f>
        <v>4.1732975391011617E-2</v>
      </c>
      <c r="C2211" s="29">
        <f>Cours_Hist_figé!C2275/Cours_Hist_figé!C2211 - 1</f>
        <v>3.3938067631992475E-2</v>
      </c>
      <c r="D2211" s="29">
        <f>Cours_Hist_figé!D2275/Cours_Hist_figé!D2211 - 1</f>
        <v>9.9589410596188088E-3</v>
      </c>
      <c r="E2211" s="29">
        <f>Cours_Hist_figé!E2275/Cours_Hist_figé!E2211 - 1</f>
        <v>9.7439746970706675E-3</v>
      </c>
    </row>
    <row r="2212" spans="1:5" x14ac:dyDescent="0.4">
      <c r="A2212" s="27">
        <v>45272</v>
      </c>
      <c r="B2212" s="29">
        <f>Cours_Hist_figé!B2276/Cours_Hist_figé!B2212 - 1</f>
        <v>4.3318569067023693E-2</v>
      </c>
      <c r="C2212" s="29">
        <f>Cours_Hist_figé!C2276/Cours_Hist_figé!C2212 - 1</f>
        <v>3.793008097263173E-2</v>
      </c>
      <c r="D2212" s="29">
        <f>Cours_Hist_figé!D2276/Cours_Hist_figé!D2212 - 1</f>
        <v>9.965909028177844E-3</v>
      </c>
      <c r="E2212" s="29">
        <f>Cours_Hist_figé!E2276/Cours_Hist_figé!E2212 - 1</f>
        <v>9.7509229298831102E-3</v>
      </c>
    </row>
    <row r="2213" spans="1:5" x14ac:dyDescent="0.4">
      <c r="A2213" s="27">
        <v>45273</v>
      </c>
      <c r="B2213" s="29">
        <f>Cours_Hist_figé!B2277/Cours_Hist_figé!B2213 - 1</f>
        <v>2.7177656288675411E-2</v>
      </c>
      <c r="C2213" s="29">
        <f>Cours_Hist_figé!C2277/Cours_Hist_figé!C2213 - 1</f>
        <v>3.7010308959047E-2</v>
      </c>
      <c r="D2213" s="29">
        <f>Cours_Hist_figé!D2277/Cours_Hist_figé!D2213 - 1</f>
        <v>9.9729830488934912E-3</v>
      </c>
      <c r="E2213" s="29">
        <f>Cours_Hist_figé!E2277/Cours_Hist_figé!E2213 - 1</f>
        <v>9.7580191409634143E-3</v>
      </c>
    </row>
    <row r="2214" spans="1:5" x14ac:dyDescent="0.4">
      <c r="A2214" s="27">
        <v>45274</v>
      </c>
      <c r="B2214" s="29">
        <f>Cours_Hist_figé!B2278/Cours_Hist_figé!B2214 - 1</f>
        <v>3.2379179038129147E-2</v>
      </c>
      <c r="C2214" s="29">
        <f>Cours_Hist_figé!C2278/Cours_Hist_figé!C2214 - 1</f>
        <v>4.7797706211709423E-2</v>
      </c>
      <c r="D2214" s="29">
        <f>Cours_Hist_figé!D2278/Cours_Hist_figé!D2214 - 1</f>
        <v>9.9800478367446654E-3</v>
      </c>
      <c r="E2214" s="29">
        <f>Cours_Hist_figé!E2278/Cours_Hist_figé!E2214 - 1</f>
        <v>9.7650836698319754E-3</v>
      </c>
    </row>
    <row r="2215" spans="1:5" x14ac:dyDescent="0.4">
      <c r="A2215" s="27">
        <v>45275</v>
      </c>
      <c r="B2215" s="29">
        <f>Cours_Hist_figé!B2279/Cours_Hist_figé!B2215 - 1</f>
        <v>4.368346863546213E-2</v>
      </c>
      <c r="C2215" s="29">
        <f>Cours_Hist_figé!C2279/Cours_Hist_figé!C2215 - 1</f>
        <v>5.6930964632720293E-2</v>
      </c>
      <c r="D2215" s="29">
        <f>Cours_Hist_figé!D2279/Cours_Hist_figé!D2215 - 1</f>
        <v>9.7778190764319373E-3</v>
      </c>
      <c r="E2215" s="29">
        <f>Cours_Hist_figé!E2279/Cours_Hist_figé!E2215 - 1</f>
        <v>9.5676023685664635E-3</v>
      </c>
    </row>
    <row r="2216" spans="1:5" x14ac:dyDescent="0.4">
      <c r="A2216" s="27">
        <v>45278</v>
      </c>
      <c r="B2216" s="29">
        <f>Cours_Hist_figé!B2280/Cours_Hist_figé!B2216 - 1</f>
        <v>4.1415358643605238E-2</v>
      </c>
      <c r="C2216" s="29">
        <f>Cours_Hist_figé!C2280/Cours_Hist_figé!C2216 - 1</f>
        <v>5.4528879936959651E-2</v>
      </c>
      <c r="D2216" s="29">
        <f>Cours_Hist_figé!D2280/Cours_Hist_figé!D2216 - 1</f>
        <v>1.0008728432961744E-2</v>
      </c>
      <c r="E2216" s="29">
        <f>Cours_Hist_figé!E2280/Cours_Hist_figé!E2216 - 1</f>
        <v>9.7937174605238209E-3</v>
      </c>
    </row>
    <row r="2217" spans="1:5" x14ac:dyDescent="0.4">
      <c r="A2217" s="27">
        <v>45279</v>
      </c>
      <c r="B2217" s="29">
        <f>Cours_Hist_figé!B2281/Cours_Hist_figé!B2217 - 1</f>
        <v>3.5759595503789265E-2</v>
      </c>
      <c r="C2217" s="29">
        <f>Cours_Hist_figé!C2281/Cours_Hist_figé!C2217 - 1</f>
        <v>5.6875408286995777E-2</v>
      </c>
      <c r="D2217" s="29">
        <f>Cours_Hist_figé!D2281/Cours_Hist_figé!D2217 - 1</f>
        <v>1.0015694011611842E-2</v>
      </c>
      <c r="E2217" s="29">
        <f>Cours_Hist_figé!E2281/Cours_Hist_figé!E2217 - 1</f>
        <v>9.8007253139136274E-3</v>
      </c>
    </row>
    <row r="2218" spans="1:5" x14ac:dyDescent="0.4">
      <c r="A2218" s="27">
        <v>45280</v>
      </c>
      <c r="B2218" s="29">
        <f>Cours_Hist_figé!B2282/Cours_Hist_figé!B2218 - 1</f>
        <v>5.112489345857818E-2</v>
      </c>
      <c r="C2218" s="29">
        <f>Cours_Hist_figé!C2282/Cours_Hist_figé!C2218 - 1</f>
        <v>6.1617468585795532E-2</v>
      </c>
      <c r="D2218" s="29">
        <f>Cours_Hist_figé!D2282/Cours_Hist_figé!D2218 - 1</f>
        <v>1.0015696154511256E-2</v>
      </c>
      <c r="E2218" s="29">
        <f>Cours_Hist_figé!E2282/Cours_Hist_figé!E2218 - 1</f>
        <v>9.8007241051947247E-3</v>
      </c>
    </row>
    <row r="2219" spans="1:5" x14ac:dyDescent="0.4">
      <c r="A2219" s="27">
        <v>45281</v>
      </c>
      <c r="B2219" s="29">
        <f>Cours_Hist_figé!B2283/Cours_Hist_figé!B2219 - 1</f>
        <v>5.2335175020664648E-2</v>
      </c>
      <c r="C2219" s="29">
        <f>Cours_Hist_figé!C2283/Cours_Hist_figé!C2219 - 1</f>
        <v>6.3708131248088939E-2</v>
      </c>
      <c r="D2219" s="29">
        <f>Cours_Hist_figé!D2283/Cours_Hist_figé!D2219 - 1</f>
        <v>1.0015598262396841E-2</v>
      </c>
      <c r="E2219" s="29">
        <f>Cours_Hist_figé!E2283/Cours_Hist_figé!E2219 - 1</f>
        <v>9.8007027806221725E-3</v>
      </c>
    </row>
    <row r="2220" spans="1:5" x14ac:dyDescent="0.4">
      <c r="A2220" s="27">
        <v>45282</v>
      </c>
      <c r="B2220" s="29">
        <f>Cours_Hist_figé!B2284/Cours_Hist_figé!B2220 - 1</f>
        <v>6.0388797948635498E-2</v>
      </c>
      <c r="C2220" s="29">
        <f>Cours_Hist_figé!C2284/Cours_Hist_figé!C2220 - 1</f>
        <v>6.7046371229478208E-2</v>
      </c>
      <c r="D2220" s="29">
        <f>Cours_Hist_figé!D2284/Cours_Hist_figé!D2220 - 1</f>
        <v>9.7916466731040597E-3</v>
      </c>
      <c r="E2220" s="29">
        <f>Cours_Hist_figé!E2284/Cours_Hist_figé!E2220 - 1</f>
        <v>9.5815255646936048E-3</v>
      </c>
    </row>
    <row r="2221" spans="1:5" x14ac:dyDescent="0.4">
      <c r="A2221" s="27">
        <v>45287</v>
      </c>
      <c r="B2221" s="29">
        <f>Cours_Hist_figé!B2285/Cours_Hist_figé!B2221 - 1</f>
        <v>6.8850926821439007E-2</v>
      </c>
      <c r="C2221" s="29">
        <f>Cours_Hist_figé!C2285/Cours_Hist_figé!C2221 - 1</f>
        <v>7.2183318730518531E-2</v>
      </c>
      <c r="D2221" s="29">
        <f>Cours_Hist_figé!D2285/Cours_Hist_figé!D2221 - 1</f>
        <v>1.0238426378450516E-2</v>
      </c>
      <c r="E2221" s="29">
        <f>Cours_Hist_figé!E2285/Cours_Hist_figé!E2221 - 1</f>
        <v>1.001871905497298E-2</v>
      </c>
    </row>
    <row r="2222" spans="1:5" x14ac:dyDescent="0.4">
      <c r="A2222" s="27">
        <v>45288</v>
      </c>
      <c r="B2222" s="29">
        <f>Cours_Hist_figé!B2286/Cours_Hist_figé!B2222 - 1</f>
        <v>6.9783059551634441E-2</v>
      </c>
      <c r="C2222" s="29">
        <f>Cours_Hist_figé!C2286/Cours_Hist_figé!C2222 - 1</f>
        <v>7.2016226225992463E-2</v>
      </c>
      <c r="D2222" s="29">
        <f>Cours_Hist_figé!D2286/Cours_Hist_figé!D2222 - 1</f>
        <v>1.0238326063928938E-2</v>
      </c>
      <c r="E2222" s="29">
        <f>Cours_Hist_figé!E2286/Cours_Hist_figé!E2222 - 1</f>
        <v>1.001860359051876E-2</v>
      </c>
    </row>
    <row r="2223" spans="1:5" x14ac:dyDescent="0.4">
      <c r="A2223" s="27">
        <v>45289</v>
      </c>
      <c r="B2223" s="29">
        <f>Cours_Hist_figé!B2287/Cours_Hist_figé!B2223 - 1</f>
        <v>6.8049725791604398E-2</v>
      </c>
      <c r="C2223" s="29">
        <f>Cours_Hist_figé!C2287/Cours_Hist_figé!C2223 - 1</f>
        <v>7.4862171744279893E-2</v>
      </c>
      <c r="D2223" s="29">
        <f>Cours_Hist_figé!D2287/Cours_Hist_figé!D2223 - 1</f>
        <v>1.0238233295798427E-2</v>
      </c>
      <c r="E2223" s="29">
        <f>Cours_Hist_figé!E2287/Cours_Hist_figé!E2223 - 1</f>
        <v>1.0018467942358722E-2</v>
      </c>
    </row>
    <row r="2224" spans="1:5" x14ac:dyDescent="0.4">
      <c r="A2224" s="27">
        <v>45293</v>
      </c>
      <c r="B2224" s="29">
        <f>Cours_Hist_figé!B2288/Cours_Hist_figé!B2224 - 1</f>
        <v>6.3514688562843258E-2</v>
      </c>
      <c r="C2224" s="29">
        <f>Cours_Hist_figé!C2288/Cours_Hist_figé!C2224 - 1</f>
        <v>6.3859229704772202E-2</v>
      </c>
      <c r="D2224" s="29">
        <f>Cours_Hist_figé!D2288/Cours_Hist_figé!D2224 - 1</f>
        <v>1.0571472807975768E-2</v>
      </c>
      <c r="E2224" s="29">
        <f>Cours_Hist_figé!E2288/Cours_Hist_figé!E2224 - 1</f>
        <v>1.0344497414393139E-2</v>
      </c>
    </row>
    <row r="2225" spans="1:5" x14ac:dyDescent="0.4">
      <c r="A2225" s="27">
        <v>45294</v>
      </c>
      <c r="B2225" s="29">
        <f>Cours_Hist_figé!B2289/Cours_Hist_figé!B2225 - 1</f>
        <v>6.5422645388964584E-2</v>
      </c>
      <c r="C2225" s="29">
        <f>Cours_Hist_figé!C2289/Cours_Hist_figé!C2225 - 1</f>
        <v>6.8615732165618226E-2</v>
      </c>
      <c r="D2225" s="29">
        <f>Cours_Hist_figé!D2289/Cours_Hist_figé!D2225 - 1</f>
        <v>1.0349717627936572E-2</v>
      </c>
      <c r="E2225" s="29">
        <f>Cours_Hist_figé!E2289/Cours_Hist_figé!E2225 - 1</f>
        <v>1.0127516614582222E-2</v>
      </c>
    </row>
    <row r="2226" spans="1:5" x14ac:dyDescent="0.4">
      <c r="A2226" s="27">
        <v>45295</v>
      </c>
      <c r="B2226" s="29">
        <f>Cours_Hist_figé!B2290/Cours_Hist_figé!B2226 - 1</f>
        <v>8.4361011347531711E-2</v>
      </c>
      <c r="C2226" s="29">
        <f>Cours_Hist_figé!C2290/Cours_Hist_figé!C2226 - 1</f>
        <v>6.6765748980021744E-2</v>
      </c>
      <c r="D2226" s="29">
        <f>Cours_Hist_figé!D2290/Cours_Hist_figé!D2226 - 1</f>
        <v>1.0349825709063509E-2</v>
      </c>
      <c r="E2226" s="29">
        <f>Cours_Hist_figé!E2290/Cours_Hist_figé!E2226 - 1</f>
        <v>1.0127657451961092E-2</v>
      </c>
    </row>
    <row r="2227" spans="1:5" x14ac:dyDescent="0.4">
      <c r="A2227" s="27">
        <v>45296</v>
      </c>
      <c r="B2227" s="29">
        <f>Cours_Hist_figé!B2291/Cours_Hist_figé!B2227 - 1</f>
        <v>8.2984765205259103E-2</v>
      </c>
      <c r="C2227" s="29">
        <f>Cours_Hist_figé!C2291/Cours_Hist_figé!C2227 - 1</f>
        <v>6.5211279955092794E-2</v>
      </c>
      <c r="D2227" s="29">
        <f>Cours_Hist_figé!D2291/Cours_Hist_figé!D2227 - 1</f>
        <v>1.0349926012049426E-2</v>
      </c>
      <c r="E2227" s="29">
        <f>Cours_Hist_figé!E2291/Cours_Hist_figé!E2227 - 1</f>
        <v>1.0127708762601051E-2</v>
      </c>
    </row>
    <row r="2228" spans="1:5" x14ac:dyDescent="0.4">
      <c r="A2228" s="27">
        <v>45299</v>
      </c>
      <c r="B2228" s="29">
        <f>Cours_Hist_figé!B2292/Cours_Hist_figé!B2228 - 1</f>
        <v>8.380595494463372E-2</v>
      </c>
      <c r="C2228" s="29">
        <f>Cours_Hist_figé!C2292/Cours_Hist_figé!C2228 - 1</f>
        <v>6.2094533644414307E-2</v>
      </c>
      <c r="D2228" s="29">
        <f>Cours_Hist_figé!D2292/Cours_Hist_figé!D2228 - 1</f>
        <v>1.0573990163524671E-2</v>
      </c>
      <c r="E2228" s="29">
        <f>Cours_Hist_figé!E2292/Cours_Hist_figé!E2228 - 1</f>
        <v>1.0346939801105126E-2</v>
      </c>
    </row>
    <row r="2229" spans="1:5" x14ac:dyDescent="0.4">
      <c r="A2229" s="27">
        <v>45300</v>
      </c>
      <c r="B2229" s="29">
        <f>Cours_Hist_figé!B2293/Cours_Hist_figé!B2229 - 1</f>
        <v>7.3275349250778055E-2</v>
      </c>
      <c r="C2229" s="29">
        <f>Cours_Hist_figé!C2293/Cours_Hist_figé!C2229 - 1</f>
        <v>6.0067241536397864E-2</v>
      </c>
      <c r="D2229" s="29">
        <f>Cours_Hist_figé!D2293/Cours_Hist_figé!D2229 - 1</f>
        <v>1.057409577772761E-2</v>
      </c>
      <c r="E2229" s="29">
        <f>Cours_Hist_figé!E2293/Cours_Hist_figé!E2229 - 1</f>
        <v>1.0347056121793319E-2</v>
      </c>
    </row>
    <row r="2230" spans="1:5" x14ac:dyDescent="0.4">
      <c r="A2230" s="27">
        <v>45301</v>
      </c>
      <c r="B2230" s="29">
        <f>Cours_Hist_figé!B2294/Cours_Hist_figé!B2230 - 1</f>
        <v>7.3809921444163873E-2</v>
      </c>
      <c r="C2230" s="29">
        <f>Cours_Hist_figé!C2294/Cours_Hist_figé!C2230 - 1</f>
        <v>5.2636699310832036E-2</v>
      </c>
      <c r="D2230" s="29">
        <f>Cours_Hist_figé!D2294/Cours_Hist_figé!D2230 - 1</f>
        <v>1.0350631727066073E-2</v>
      </c>
      <c r="E2230" s="29">
        <f>Cours_Hist_figé!E2294/Cours_Hist_figé!E2230 - 1</f>
        <v>1.0128409381896963E-2</v>
      </c>
    </row>
    <row r="2231" spans="1:5" x14ac:dyDescent="0.4">
      <c r="A2231" s="27">
        <v>45302</v>
      </c>
      <c r="B2231" s="29">
        <f>Cours_Hist_figé!B2295/Cours_Hist_figé!B2231 - 1</f>
        <v>4.5534348886550058E-2</v>
      </c>
      <c r="C2231" s="29">
        <f>Cours_Hist_figé!C2295/Cours_Hist_figé!C2231 - 1</f>
        <v>5.217498404451848E-2</v>
      </c>
      <c r="D2231" s="29">
        <f>Cours_Hist_figé!D2295/Cours_Hist_figé!D2231 - 1</f>
        <v>1.0350829783446924E-2</v>
      </c>
      <c r="E2231" s="29">
        <f>Cours_Hist_figé!E2295/Cours_Hist_figé!E2231 - 1</f>
        <v>1.0128578592824899E-2</v>
      </c>
    </row>
    <row r="2232" spans="1:5" x14ac:dyDescent="0.4">
      <c r="A2232" s="27">
        <v>45303</v>
      </c>
      <c r="B2232" s="29">
        <f>Cours_Hist_figé!B2296/Cours_Hist_figé!B2232 - 1</f>
        <v>5.2444021931949969E-2</v>
      </c>
      <c r="C2232" s="29">
        <f>Cours_Hist_figé!C2296/Cours_Hist_figé!C2232 - 1</f>
        <v>5.230742733431093E-2</v>
      </c>
      <c r="D2232" s="29">
        <f>Cours_Hist_figé!D2296/Cours_Hist_figé!D2232 - 1</f>
        <v>1.0350936624468732E-2</v>
      </c>
      <c r="E2232" s="29">
        <f>Cours_Hist_figé!E2296/Cours_Hist_figé!E2232 - 1</f>
        <v>1.0128747867292454E-2</v>
      </c>
    </row>
    <row r="2233" spans="1:5" x14ac:dyDescent="0.4">
      <c r="A2233" s="27">
        <v>45306</v>
      </c>
      <c r="B2233" s="29">
        <f>Cours_Hist_figé!B2297/Cours_Hist_figé!B2233 - 1</f>
        <v>4.5500954849270192E-2</v>
      </c>
      <c r="C2233" s="29">
        <f>Cours_Hist_figé!C2297/Cours_Hist_figé!C2233 - 1</f>
        <v>5.3697020329347422E-2</v>
      </c>
      <c r="D2233" s="29">
        <f>Cours_Hist_figé!D2297/Cours_Hist_figé!D2233 - 1</f>
        <v>1.0574902183270618E-2</v>
      </c>
      <c r="E2233" s="29">
        <f>Cours_Hist_figé!E2297/Cours_Hist_figé!E2233 - 1</f>
        <v>1.0347890966048601E-2</v>
      </c>
    </row>
    <row r="2234" spans="1:5" x14ac:dyDescent="0.4">
      <c r="A2234" s="27">
        <v>45307</v>
      </c>
      <c r="B2234" s="29">
        <f>Cours_Hist_figé!B2298/Cours_Hist_figé!B2234 - 1</f>
        <v>5.3230875139833156E-2</v>
      </c>
      <c r="C2234" s="29">
        <f>Cours_Hist_figé!C2298/Cours_Hist_figé!C2234 - 1</f>
        <v>5.0995785753126688E-2</v>
      </c>
      <c r="D2234" s="29">
        <f>Cours_Hist_figé!D2298/Cours_Hist_figé!D2234 - 1</f>
        <v>1.0574999062329837E-2</v>
      </c>
      <c r="E2234" s="29">
        <f>Cours_Hist_figé!E2298/Cours_Hist_figé!E2234 - 1</f>
        <v>1.0347916961507053E-2</v>
      </c>
    </row>
    <row r="2235" spans="1:5" x14ac:dyDescent="0.4">
      <c r="A2235" s="27">
        <v>45308</v>
      </c>
      <c r="B2235" s="29">
        <f>Cours_Hist_figé!B2299/Cours_Hist_figé!B2235 - 1</f>
        <v>3.9717872097573936E-2</v>
      </c>
      <c r="C2235" s="29">
        <f>Cours_Hist_figé!C2299/Cours_Hist_figé!C2235 - 1</f>
        <v>4.8463424751668871E-2</v>
      </c>
      <c r="D2235" s="29">
        <f>Cours_Hist_figé!D2299/Cours_Hist_figé!D2235 - 1</f>
        <v>1.0351239177528448E-2</v>
      </c>
      <c r="E2235" s="29">
        <f>Cours_Hist_figé!E2299/Cours_Hist_figé!E2235 - 1</f>
        <v>1.0128975012070773E-2</v>
      </c>
    </row>
    <row r="2236" spans="1:5" x14ac:dyDescent="0.4">
      <c r="A2236" s="27">
        <v>45309</v>
      </c>
      <c r="B2236" s="29">
        <f>Cours_Hist_figé!B2300/Cours_Hist_figé!B2236 - 1</f>
        <v>4.6768269677543994E-2</v>
      </c>
      <c r="C2236" s="29">
        <f>Cours_Hist_figé!C2300/Cours_Hist_figé!C2236 - 1</f>
        <v>5.3173506770459955E-2</v>
      </c>
      <c r="D2236" s="29">
        <f>Cours_Hist_figé!D2300/Cours_Hist_figé!D2236 - 1</f>
        <v>1.0351237891718323E-2</v>
      </c>
      <c r="E2236" s="29">
        <f>Cours_Hist_figé!E2300/Cours_Hist_figé!E2236 - 1</f>
        <v>1.0129033890772021E-2</v>
      </c>
    </row>
    <row r="2237" spans="1:5" x14ac:dyDescent="0.4">
      <c r="A2237" s="27">
        <v>45310</v>
      </c>
      <c r="B2237" s="29">
        <f>Cours_Hist_figé!B2301/Cours_Hist_figé!B2237 - 1</f>
        <v>5.5133929502301227E-2</v>
      </c>
      <c r="C2237" s="29">
        <f>Cours_Hist_figé!C2301/Cours_Hist_figé!C2237 - 1</f>
        <v>5.7058011748300386E-2</v>
      </c>
      <c r="D2237" s="29">
        <f>Cours_Hist_figé!D2301/Cours_Hist_figé!D2237 - 1</f>
        <v>1.035134264190618E-2</v>
      </c>
      <c r="E2237" s="29">
        <f>Cours_Hist_figé!E2301/Cours_Hist_figé!E2237 - 1</f>
        <v>1.0129111824791037E-2</v>
      </c>
    </row>
    <row r="2238" spans="1:5" x14ac:dyDescent="0.4">
      <c r="A2238" s="27">
        <v>45313</v>
      </c>
      <c r="B2238" s="29">
        <f>Cours_Hist_figé!B2302/Cours_Hist_figé!B2238 - 1</f>
        <v>7.5864816642063237E-2</v>
      </c>
      <c r="C2238" s="29">
        <f>Cours_Hist_figé!C2302/Cours_Hist_figé!C2238 - 1</f>
        <v>5.9560766212118699E-2</v>
      </c>
      <c r="D2238" s="29">
        <f>Cours_Hist_figé!D2302/Cours_Hist_figé!D2238 - 1</f>
        <v>1.0575200873936152E-2</v>
      </c>
      <c r="E2238" s="29">
        <f>Cours_Hist_figé!E2302/Cours_Hist_figé!E2238 - 1</f>
        <v>1.0348195879577249E-2</v>
      </c>
    </row>
    <row r="2239" spans="1:5" x14ac:dyDescent="0.4">
      <c r="A2239" s="27">
        <v>45314</v>
      </c>
      <c r="B2239" s="29">
        <f>Cours_Hist_figé!B2303/Cours_Hist_figé!B2239 - 1</f>
        <v>8.7642713230356106E-2</v>
      </c>
      <c r="C2239" s="29">
        <f>Cours_Hist_figé!C2303/Cours_Hist_figé!C2239 - 1</f>
        <v>5.3352838991865381E-2</v>
      </c>
      <c r="D2239" s="29">
        <f>Cours_Hist_figé!D2303/Cours_Hist_figé!D2239 - 1</f>
        <v>1.0575204717947706E-2</v>
      </c>
      <c r="E2239" s="29">
        <f>Cours_Hist_figé!E2303/Cours_Hist_figé!E2239 - 1</f>
        <v>1.0348121056102944E-2</v>
      </c>
    </row>
    <row r="2240" spans="1:5" x14ac:dyDescent="0.4">
      <c r="A2240" s="27">
        <v>45315</v>
      </c>
      <c r="B2240" s="29">
        <f>Cours_Hist_figé!B2304/Cours_Hist_figé!B2240 - 1</f>
        <v>0.1016951511837576</v>
      </c>
      <c r="C2240" s="29">
        <f>Cours_Hist_figé!C2304/Cours_Hist_figé!C2240 - 1</f>
        <v>5.2514453921729487E-2</v>
      </c>
      <c r="D2240" s="29">
        <f>Cours_Hist_figé!D2304/Cours_Hist_figé!D2240 - 1</f>
        <v>1.0351234311036572E-2</v>
      </c>
      <c r="E2240" s="29">
        <f>Cours_Hist_figé!E2304/Cours_Hist_figé!E2240 - 1</f>
        <v>1.0128916072799976E-2</v>
      </c>
    </row>
    <row r="2241" spans="1:5" x14ac:dyDescent="0.4">
      <c r="A2241" s="27">
        <v>45316</v>
      </c>
      <c r="B2241" s="29">
        <f>Cours_Hist_figé!B2305/Cours_Hist_figé!B2241 - 1</f>
        <v>0.10006839592893213</v>
      </c>
      <c r="C2241" s="29">
        <f>Cours_Hist_figé!C2305/Cours_Hist_figé!C2241 - 1</f>
        <v>5.4693509717875122E-2</v>
      </c>
      <c r="D2241" s="29">
        <f>Cours_Hist_figé!D2305/Cours_Hist_figé!D2241 - 1</f>
        <v>1.0351239743813467E-2</v>
      </c>
      <c r="E2241" s="29">
        <f>Cours_Hist_figé!E2305/Cours_Hist_figé!E2241 - 1</f>
        <v>1.0128913944099205E-2</v>
      </c>
    </row>
    <row r="2242" spans="1:5" x14ac:dyDescent="0.4">
      <c r="A2242" s="27">
        <v>45317</v>
      </c>
      <c r="B2242" s="29">
        <f>Cours_Hist_figé!B2306/Cours_Hist_figé!B2242 - 1</f>
        <v>0.11140898766890439</v>
      </c>
      <c r="C2242" s="29">
        <f>Cours_Hist_figé!C2306/Cours_Hist_figé!C2242 - 1</f>
        <v>5.6514221464947889E-2</v>
      </c>
      <c r="D2242" s="29">
        <f>Cours_Hist_figé!D2306/Cours_Hist_figé!D2242 - 1</f>
        <v>1.0351237439160998E-2</v>
      </c>
      <c r="E2242" s="29">
        <f>Cours_Hist_figé!E2306/Cours_Hist_figé!E2242 - 1</f>
        <v>1.0128951523788343E-2</v>
      </c>
    </row>
    <row r="2243" spans="1:5" x14ac:dyDescent="0.4">
      <c r="A2243" s="27">
        <v>45320</v>
      </c>
      <c r="B2243" s="29">
        <f>Cours_Hist_figé!B2307/Cours_Hist_figé!B2243 - 1</f>
        <v>0.11970731045997618</v>
      </c>
      <c r="C2243" s="29">
        <f>Cours_Hist_figé!C2307/Cours_Hist_figé!C2243 - 1</f>
        <v>5.8479723785276549E-2</v>
      </c>
      <c r="D2243" s="29">
        <f>Cours_Hist_figé!D2307/Cours_Hist_figé!D2243 - 1</f>
        <v>1.0575202704533826E-2</v>
      </c>
      <c r="E2243" s="29">
        <f>Cours_Hist_figé!E2307/Cours_Hist_figé!E2243 - 1</f>
        <v>1.0348116257799855E-2</v>
      </c>
    </row>
    <row r="2244" spans="1:5" x14ac:dyDescent="0.4">
      <c r="A2244" s="27">
        <v>45321</v>
      </c>
      <c r="B2244" s="29">
        <f>Cours_Hist_figé!B2308/Cours_Hist_figé!B2244 - 1</f>
        <v>0.13154700670727371</v>
      </c>
      <c r="C2244" s="29">
        <f>Cours_Hist_figé!C2308/Cours_Hist_figé!C2244 - 1</f>
        <v>5.410771158272687E-2</v>
      </c>
      <c r="D2244" s="29">
        <f>Cours_Hist_figé!D2308/Cours_Hist_figé!D2244 - 1</f>
        <v>1.0575411301841475E-2</v>
      </c>
      <c r="E2244" s="29">
        <f>Cours_Hist_figé!E2308/Cours_Hist_figé!E2244 - 1</f>
        <v>1.0348288676793826E-2</v>
      </c>
    </row>
    <row r="2245" spans="1:5" x14ac:dyDescent="0.4">
      <c r="A2245" s="27">
        <v>45322</v>
      </c>
      <c r="B2245" s="29">
        <f>Cours_Hist_figé!B2309/Cours_Hist_figé!B2245 - 1</f>
        <v>0.12751140733513178</v>
      </c>
      <c r="C2245" s="29">
        <f>Cours_Hist_figé!C2309/Cours_Hist_figé!C2245 - 1</f>
        <v>5.9179341615562597E-2</v>
      </c>
      <c r="D2245" s="29">
        <f>Cours_Hist_figé!D2309/Cours_Hist_figé!D2245 - 1</f>
        <v>1.0351742521546026E-2</v>
      </c>
      <c r="E2245" s="29">
        <f>Cours_Hist_figé!E2309/Cours_Hist_figé!E2245 - 1</f>
        <v>1.0129397161807496E-2</v>
      </c>
    </row>
    <row r="2246" spans="1:5" x14ac:dyDescent="0.4">
      <c r="A2246" s="27">
        <v>45323</v>
      </c>
      <c r="B2246" s="29">
        <f>Cours_Hist_figé!B2310/Cours_Hist_figé!B2246 - 1</f>
        <v>0.1171741817422991</v>
      </c>
      <c r="C2246" s="29">
        <f>Cours_Hist_figé!C2310/Cours_Hist_figé!C2246 - 1</f>
        <v>5.9425427282819188E-2</v>
      </c>
      <c r="D2246" s="29">
        <f>Cours_Hist_figé!D2310/Cours_Hist_figé!D2246 - 1</f>
        <v>1.035154354506429E-2</v>
      </c>
      <c r="E2246" s="29">
        <f>Cours_Hist_figé!E2310/Cours_Hist_figé!E2246 - 1</f>
        <v>1.0129247724329549E-2</v>
      </c>
    </row>
    <row r="2247" spans="1:5" x14ac:dyDescent="0.4">
      <c r="A2247" s="27">
        <v>45324</v>
      </c>
      <c r="B2247" s="29">
        <f>Cours_Hist_figé!B2311/Cours_Hist_figé!B2247 - 1</f>
        <v>0.1097775902606335</v>
      </c>
      <c r="C2247" s="29">
        <f>Cours_Hist_figé!C2311/Cours_Hist_figé!C2247 - 1</f>
        <v>4.9282810308707736E-2</v>
      </c>
      <c r="D2247" s="29">
        <f>Cours_Hist_figé!D2311/Cours_Hist_figé!D2247 - 1</f>
        <v>1.0352144763471571E-2</v>
      </c>
      <c r="E2247" s="29">
        <f>Cours_Hist_figé!E2311/Cours_Hist_figé!E2247 - 1</f>
        <v>1.0129902545333191E-2</v>
      </c>
    </row>
    <row r="2248" spans="1:5" x14ac:dyDescent="0.4">
      <c r="A2248" s="27">
        <v>45327</v>
      </c>
      <c r="B2248" s="29">
        <f>Cours_Hist_figé!B2312/Cours_Hist_figé!B2248 - 1</f>
        <v>9.2899751386285034E-2</v>
      </c>
      <c r="C2248" s="29">
        <f>Cours_Hist_figé!C2312/Cours_Hist_figé!C2248 - 1</f>
        <v>4.0272089148760015E-2</v>
      </c>
      <c r="D2248" s="29">
        <f>Cours_Hist_figé!D2312/Cours_Hist_figé!D2248 - 1</f>
        <v>1.0576314297430445E-2</v>
      </c>
      <c r="E2248" s="29">
        <f>Cours_Hist_figé!E2312/Cours_Hist_figé!E2248 - 1</f>
        <v>1.0349245706295473E-2</v>
      </c>
    </row>
    <row r="2249" spans="1:5" x14ac:dyDescent="0.4">
      <c r="A2249" s="27">
        <v>45328</v>
      </c>
      <c r="B2249" s="29">
        <f>Cours_Hist_figé!B2313/Cours_Hist_figé!B2249 - 1</f>
        <v>9.850938214464966E-2</v>
      </c>
      <c r="C2249" s="29">
        <f>Cours_Hist_figé!C2313/Cours_Hist_figé!C2249 - 1</f>
        <v>3.7625826944895691E-2</v>
      </c>
      <c r="D2249" s="29">
        <f>Cours_Hist_figé!D2313/Cours_Hist_figé!D2249 - 1</f>
        <v>1.057642225531219E-2</v>
      </c>
      <c r="E2249" s="29">
        <f>Cours_Hist_figé!E2313/Cours_Hist_figé!E2249 - 1</f>
        <v>1.0349357238656376E-2</v>
      </c>
    </row>
    <row r="2250" spans="1:5" x14ac:dyDescent="0.4">
      <c r="A2250" s="27">
        <v>45329</v>
      </c>
      <c r="B2250" s="29">
        <f>Cours_Hist_figé!B2314/Cours_Hist_figé!B2250 - 1</f>
        <v>9.7195381120381841E-2</v>
      </c>
      <c r="C2250" s="29">
        <f>Cours_Hist_figé!C2314/Cours_Hist_figé!C2250 - 1</f>
        <v>4.2025532330663307E-2</v>
      </c>
      <c r="D2250" s="29">
        <f>Cours_Hist_figé!D2314/Cours_Hist_figé!D2250 - 1</f>
        <v>1.0352749515821325E-2</v>
      </c>
      <c r="E2250" s="29">
        <f>Cours_Hist_figé!E2314/Cours_Hist_figé!E2250 - 1</f>
        <v>1.0130570308896747E-2</v>
      </c>
    </row>
    <row r="2251" spans="1:5" x14ac:dyDescent="0.4">
      <c r="A2251" s="27">
        <v>45330</v>
      </c>
      <c r="B2251" s="29">
        <f>Cours_Hist_figé!B2315/Cours_Hist_figé!B2251 - 1</f>
        <v>9.7577017841228963E-2</v>
      </c>
      <c r="C2251" s="29">
        <f>Cours_Hist_figé!C2315/Cours_Hist_figé!C2251 - 1</f>
        <v>3.4651143652769223E-2</v>
      </c>
      <c r="D2251" s="29">
        <f>Cours_Hist_figé!D2315/Cours_Hist_figé!D2251 - 1</f>
        <v>1.0352950767880564E-2</v>
      </c>
      <c r="E2251" s="29">
        <f>Cours_Hist_figé!E2315/Cours_Hist_figé!E2251 - 1</f>
        <v>1.0130794554938927E-2</v>
      </c>
    </row>
    <row r="2252" spans="1:5" x14ac:dyDescent="0.4">
      <c r="A2252" s="27">
        <v>45331</v>
      </c>
      <c r="B2252" s="29">
        <f>Cours_Hist_figé!B2316/Cours_Hist_figé!B2252 - 1</f>
        <v>9.3876529508215123E-2</v>
      </c>
      <c r="C2252" s="29">
        <f>Cours_Hist_figé!C2316/Cours_Hist_figé!C2252 - 1</f>
        <v>3.0354876462250324E-2</v>
      </c>
      <c r="D2252" s="29">
        <f>Cours_Hist_figé!D2316/Cours_Hist_figé!D2252 - 1</f>
        <v>1.0353052421651077E-2</v>
      </c>
      <c r="E2252" s="29">
        <f>Cours_Hist_figé!E2316/Cours_Hist_figé!E2252 - 1</f>
        <v>1.0130968842966492E-2</v>
      </c>
    </row>
    <row r="2253" spans="1:5" x14ac:dyDescent="0.4">
      <c r="A2253" s="27">
        <v>45334</v>
      </c>
      <c r="B2253" s="29">
        <f>Cours_Hist_figé!B2317/Cours_Hist_figé!B2253 - 1</f>
        <v>9.0486728799806126E-2</v>
      </c>
      <c r="C2253" s="29">
        <f>Cours_Hist_figé!C2317/Cours_Hist_figé!C2253 - 1</f>
        <v>3.3280185764668957E-2</v>
      </c>
      <c r="D2253" s="29">
        <f>Cours_Hist_figé!D2317/Cours_Hist_figé!D2253 - 1</f>
        <v>1.057743214389828E-2</v>
      </c>
      <c r="E2253" s="29">
        <f>Cours_Hist_figé!E2317/Cours_Hist_figé!E2253 - 1</f>
        <v>1.0350587895962216E-2</v>
      </c>
    </row>
    <row r="2254" spans="1:5" x14ac:dyDescent="0.4">
      <c r="A2254" s="27">
        <v>45335</v>
      </c>
      <c r="B2254" s="29">
        <f>Cours_Hist_figé!B2318/Cours_Hist_figé!B2254 - 1</f>
        <v>9.1321611484725285E-2</v>
      </c>
      <c r="C2254" s="29">
        <f>Cours_Hist_figé!C2318/Cours_Hist_figé!C2254 - 1</f>
        <v>3.4910012198056117E-2</v>
      </c>
      <c r="D2254" s="29">
        <f>Cours_Hist_figé!D2318/Cours_Hist_figé!D2254 - 1</f>
        <v>1.0577531368133331E-2</v>
      </c>
      <c r="E2254" s="29">
        <f>Cours_Hist_figé!E2318/Cours_Hist_figé!E2254 - 1</f>
        <v>1.0350787426783414E-2</v>
      </c>
    </row>
    <row r="2255" spans="1:5" x14ac:dyDescent="0.4">
      <c r="A2255" s="27">
        <v>45336</v>
      </c>
      <c r="B2255" s="29">
        <f>Cours_Hist_figé!B2319/Cours_Hist_figé!B2255 - 1</f>
        <v>8.8444522234603085E-2</v>
      </c>
      <c r="C2255" s="29">
        <f>Cours_Hist_figé!C2319/Cours_Hist_figé!C2255 - 1</f>
        <v>3.8506476697717451E-2</v>
      </c>
      <c r="D2255" s="29">
        <f>Cours_Hist_figé!D2319/Cours_Hist_figé!D2255 - 1</f>
        <v>1.0353763154744566E-2</v>
      </c>
      <c r="E2255" s="29">
        <f>Cours_Hist_figé!E2319/Cours_Hist_figé!E2255 - 1</f>
        <v>1.0131865991134026E-2</v>
      </c>
    </row>
    <row r="2256" spans="1:5" x14ac:dyDescent="0.4">
      <c r="A2256" s="27">
        <v>45337</v>
      </c>
      <c r="B2256" s="29">
        <f>Cours_Hist_figé!B2320/Cours_Hist_figé!B2256 - 1</f>
        <v>8.3080583505381389E-2</v>
      </c>
      <c r="C2256" s="29">
        <f>Cours_Hist_figé!C2320/Cours_Hist_figé!C2256 - 1</f>
        <v>3.1595903221436128E-2</v>
      </c>
      <c r="D2256" s="29">
        <f>Cours_Hist_figé!D2320/Cours_Hist_figé!D2256 - 1</f>
        <v>1.0353962181157028E-2</v>
      </c>
      <c r="E2256" s="29">
        <f>Cours_Hist_figé!E2320/Cours_Hist_figé!E2256 - 1</f>
        <v>1.0132088329139144E-2</v>
      </c>
    </row>
    <row r="2257" spans="1:5" x14ac:dyDescent="0.4">
      <c r="A2257" s="27">
        <v>45338</v>
      </c>
      <c r="B2257" s="29">
        <f>Cours_Hist_figé!B2321/Cours_Hist_figé!B2257 - 1</f>
        <v>8.5219784697503353E-2</v>
      </c>
      <c r="C2257" s="29">
        <f>Cours_Hist_figé!C2321/Cours_Hist_figé!C2257 - 1</f>
        <v>2.9948063429891647E-2</v>
      </c>
      <c r="D2257" s="29">
        <f>Cours_Hist_figé!D2321/Cours_Hist_figé!D2257 - 1</f>
        <v>1.035416108517806E-2</v>
      </c>
      <c r="E2257" s="29">
        <f>Cours_Hist_figé!E2321/Cours_Hist_figé!E2257 - 1</f>
        <v>1.0132340282331231E-2</v>
      </c>
    </row>
    <row r="2258" spans="1:5" x14ac:dyDescent="0.4">
      <c r="A2258" s="27">
        <v>45341</v>
      </c>
      <c r="B2258" s="29">
        <f>Cours_Hist_figé!B2322/Cours_Hist_figé!B2258 - 1</f>
        <v>9.3986841766668716E-2</v>
      </c>
      <c r="C2258" s="29">
        <f>Cours_Hist_figé!C2322/Cours_Hist_figé!C2258 - 1</f>
        <v>2.5576257485437015E-2</v>
      </c>
      <c r="D2258" s="29">
        <f>Cours_Hist_figé!D2322/Cours_Hist_figé!D2258 - 1</f>
        <v>1.0578540820584292E-2</v>
      </c>
      <c r="E2258" s="29">
        <f>Cours_Hist_figé!E2322/Cours_Hist_figé!E2258 - 1</f>
        <v>1.0351960121138148E-2</v>
      </c>
    </row>
    <row r="2259" spans="1:5" x14ac:dyDescent="0.4">
      <c r="A2259" s="27">
        <v>45342</v>
      </c>
      <c r="B2259" s="29">
        <f>Cours_Hist_figé!B2323/Cours_Hist_figé!B2259 - 1</f>
        <v>8.2367022884994645E-2</v>
      </c>
      <c r="C2259" s="29">
        <f>Cours_Hist_figé!C2323/Cours_Hist_figé!C2259 - 1</f>
        <v>2.9087604379780085E-2</v>
      </c>
      <c r="D2259" s="29">
        <f>Cours_Hist_figé!D2323/Cours_Hist_figé!D2259 - 1</f>
        <v>1.0578637845812366E-2</v>
      </c>
      <c r="E2259" s="29">
        <f>Cours_Hist_figé!E2323/Cours_Hist_figé!E2259 - 1</f>
        <v>1.0352078493168992E-2</v>
      </c>
    </row>
    <row r="2260" spans="1:5" x14ac:dyDescent="0.4">
      <c r="A2260" s="27">
        <v>45343</v>
      </c>
      <c r="B2260" s="29">
        <f>Cours_Hist_figé!B2324/Cours_Hist_figé!B2260 - 1</f>
        <v>7.9302722514119628E-2</v>
      </c>
      <c r="C2260" s="29">
        <f>Cours_Hist_figé!C2324/Cours_Hist_figé!C2260 - 1</f>
        <v>2.6419322873295181E-2</v>
      </c>
      <c r="D2260" s="29">
        <f>Cours_Hist_figé!D2324/Cours_Hist_figé!D2260 - 1</f>
        <v>1.0355071263983495E-2</v>
      </c>
      <c r="E2260" s="29">
        <f>Cours_Hist_figé!E2324/Cours_Hist_figé!E2260 - 1</f>
        <v>1.0133371101629596E-2</v>
      </c>
    </row>
    <row r="2261" spans="1:5" x14ac:dyDescent="0.4">
      <c r="A2261" s="27">
        <v>45344</v>
      </c>
      <c r="B2261" s="29">
        <f>Cours_Hist_figé!B2325/Cours_Hist_figé!B2261 - 1</f>
        <v>8.8955029262304697E-2</v>
      </c>
      <c r="C2261" s="29">
        <f>Cours_Hist_figé!C2325/Cours_Hist_figé!C2261 - 1</f>
        <v>2.4245021322947258E-2</v>
      </c>
      <c r="D2261" s="29">
        <f>Cours_Hist_figé!D2325/Cours_Hist_figé!D2261 - 1</f>
        <v>1.0355276687249226E-2</v>
      </c>
      <c r="E2261" s="29">
        <f>Cours_Hist_figé!E2325/Cours_Hist_figé!E2261 - 1</f>
        <v>1.0133572513614686E-2</v>
      </c>
    </row>
    <row r="2262" spans="1:5" x14ac:dyDescent="0.4">
      <c r="A2262" s="27">
        <v>45345</v>
      </c>
      <c r="B2262" s="29">
        <f>Cours_Hist_figé!B2326/Cours_Hist_figé!B2262 - 1</f>
        <v>9.0440798600884609E-2</v>
      </c>
      <c r="C2262" s="29">
        <f>Cours_Hist_figé!C2326/Cours_Hist_figé!C2262 - 1</f>
        <v>2.8174216965352716E-2</v>
      </c>
      <c r="D2262" s="29">
        <f>Cours_Hist_figé!D2326/Cours_Hist_figé!D2262 - 1</f>
        <v>1.0355475448085238E-2</v>
      </c>
      <c r="E2262" s="29">
        <f>Cours_Hist_figé!E2326/Cours_Hist_figé!E2262 - 1</f>
        <v>1.0133794074950409E-2</v>
      </c>
    </row>
    <row r="2263" spans="1:5" x14ac:dyDescent="0.4">
      <c r="A2263" s="27">
        <v>45348</v>
      </c>
      <c r="B2263" s="29">
        <f>Cours_Hist_figé!B2327/Cours_Hist_figé!B2263 - 1</f>
        <v>8.3110184690799116E-2</v>
      </c>
      <c r="C2263" s="29">
        <f>Cours_Hist_figé!C2327/Cours_Hist_figé!C2263 - 1</f>
        <v>2.7817105552915944E-2</v>
      </c>
      <c r="D2263" s="29">
        <f>Cours_Hist_figé!D2327/Cours_Hist_figé!D2263 - 1</f>
        <v>1.0579648940553632E-2</v>
      </c>
      <c r="E2263" s="29">
        <f>Cours_Hist_figé!E2327/Cours_Hist_figé!E2263 - 1</f>
        <v>1.0353166818332316E-2</v>
      </c>
    </row>
    <row r="2264" spans="1:5" x14ac:dyDescent="0.4">
      <c r="A2264" s="27">
        <v>45349</v>
      </c>
      <c r="B2264" s="29">
        <f>Cours_Hist_figé!B2328/Cours_Hist_figé!B2264 - 1</f>
        <v>8.155726068099467E-2</v>
      </c>
      <c r="C2264" s="29">
        <f>Cours_Hist_figé!C2328/Cours_Hist_figé!C2264 - 1</f>
        <v>2.7506342134741013E-2</v>
      </c>
      <c r="D2264" s="29">
        <f>Cours_Hist_figé!D2328/Cours_Hist_figé!D2264 - 1</f>
        <v>1.0579647723338637E-2</v>
      </c>
      <c r="E2264" s="29">
        <f>Cours_Hist_figé!E2328/Cours_Hist_figé!E2264 - 1</f>
        <v>1.0353216259308295E-2</v>
      </c>
    </row>
    <row r="2265" spans="1:5" x14ac:dyDescent="0.4">
      <c r="A2265" s="27">
        <v>45350</v>
      </c>
      <c r="B2265" s="29">
        <f>Cours_Hist_figé!B2329/Cours_Hist_figé!B2265 - 1</f>
        <v>8.1695036797102549E-2</v>
      </c>
      <c r="C2265" s="29">
        <f>Cours_Hist_figé!C2329/Cours_Hist_figé!C2265 - 1</f>
        <v>2.184024488170544E-2</v>
      </c>
      <c r="D2265" s="29">
        <f>Cours_Hist_figé!D2329/Cours_Hist_figé!D2265 - 1</f>
        <v>1.0355782138455893E-2</v>
      </c>
      <c r="E2265" s="29">
        <f>Cours_Hist_figé!E2329/Cours_Hist_figé!E2265 - 1</f>
        <v>1.0134197812726953E-2</v>
      </c>
    </row>
    <row r="2266" spans="1:5" x14ac:dyDescent="0.4">
      <c r="A2266" s="27">
        <v>45351</v>
      </c>
      <c r="B2266" s="29">
        <f>Cours_Hist_figé!B2330/Cours_Hist_figé!B2266 - 1</f>
        <v>8.5235728564141633E-2</v>
      </c>
      <c r="C2266" s="29">
        <f>Cours_Hist_figé!C2330/Cours_Hist_figé!C2266 - 1</f>
        <v>2.1781711635253664E-2</v>
      </c>
      <c r="D2266" s="29">
        <f>Cours_Hist_figé!D2330/Cours_Hist_figé!D2266 - 1</f>
        <v>1.0355888302862271E-2</v>
      </c>
      <c r="E2266" s="29">
        <f>Cours_Hist_figé!E2330/Cours_Hist_figé!E2266 - 1</f>
        <v>1.0134280096941728E-2</v>
      </c>
    </row>
    <row r="2267" spans="1:5" x14ac:dyDescent="0.4">
      <c r="A2267" s="27">
        <v>45352</v>
      </c>
      <c r="B2267" s="29">
        <f>Cours_Hist_figé!B2331/Cours_Hist_figé!B2267 - 1</f>
        <v>8.6750139770015E-2</v>
      </c>
      <c r="C2267" s="29">
        <f>Cours_Hist_figé!C2331/Cours_Hist_figé!C2267 - 1</f>
        <v>1.7186957886742293E-2</v>
      </c>
      <c r="D2267" s="29">
        <f>Cours_Hist_figé!D2331/Cours_Hist_figé!D2267 - 1</f>
        <v>1.0355375187881766E-2</v>
      </c>
      <c r="E2267" s="29">
        <f>Cours_Hist_figé!E2331/Cours_Hist_figé!E2267 - 1</f>
        <v>1.013382098760518E-2</v>
      </c>
    </row>
    <row r="2268" spans="1:5" x14ac:dyDescent="0.4">
      <c r="A2268" s="27">
        <v>45355</v>
      </c>
      <c r="B2268" s="29">
        <f>Cours_Hist_figé!B2332/Cours_Hist_figé!B2268 - 1</f>
        <v>8.0034747881796875E-2</v>
      </c>
      <c r="C2268" s="29">
        <f>Cours_Hist_figé!C2332/Cours_Hist_figé!C2268 - 1</f>
        <v>1.9816768744613134E-2</v>
      </c>
      <c r="D2268" s="29">
        <f>Cours_Hist_figé!D2332/Cours_Hist_figé!D2268 - 1</f>
        <v>1.0579245633242973E-2</v>
      </c>
      <c r="E2268" s="29">
        <f>Cours_Hist_figé!E2332/Cours_Hist_figé!E2268 - 1</f>
        <v>1.0352947811093527E-2</v>
      </c>
    </row>
    <row r="2269" spans="1:5" x14ac:dyDescent="0.4">
      <c r="A2269" s="27">
        <v>45356</v>
      </c>
      <c r="B2269" s="29">
        <f>Cours_Hist_figé!B2333/Cours_Hist_figé!B2269 - 1</f>
        <v>6.7478878616362703E-2</v>
      </c>
      <c r="C2269" s="29">
        <f>Cours_Hist_figé!C2333/Cours_Hist_figé!C2269 - 1</f>
        <v>1.8747922361036506E-2</v>
      </c>
      <c r="D2269" s="29">
        <f>Cours_Hist_figé!D2333/Cours_Hist_figé!D2269 - 1</f>
        <v>1.0579647876724385E-2</v>
      </c>
      <c r="E2269" s="29">
        <f>Cours_Hist_figé!E2333/Cours_Hist_figé!E2269 - 1</f>
        <v>1.0353284866500889E-2</v>
      </c>
    </row>
    <row r="2270" spans="1:5" x14ac:dyDescent="0.4">
      <c r="A2270" s="27">
        <v>45357</v>
      </c>
      <c r="B2270" s="29">
        <f>Cours_Hist_figé!B2334/Cours_Hist_figé!B2270 - 1</f>
        <v>7.1673707142762444E-2</v>
      </c>
      <c r="C2270" s="29">
        <f>Cours_Hist_figé!C2334/Cours_Hist_figé!C2270 - 1</f>
        <v>1.676974628348149E-2</v>
      </c>
      <c r="D2270" s="29">
        <f>Cours_Hist_figé!D2334/Cours_Hist_figé!D2270 - 1</f>
        <v>1.0355983216173925E-2</v>
      </c>
      <c r="E2270" s="29">
        <f>Cours_Hist_figé!E2334/Cours_Hist_figé!E2270 - 1</f>
        <v>1.0134410158974205E-2</v>
      </c>
    </row>
    <row r="2271" spans="1:5" x14ac:dyDescent="0.4">
      <c r="A2271" s="27">
        <v>45358</v>
      </c>
      <c r="B2271" s="29">
        <f>Cours_Hist_figé!B2335/Cours_Hist_figé!B2271 - 1</f>
        <v>8.0260168025182876E-2</v>
      </c>
      <c r="C2271" s="29">
        <f>Cours_Hist_figé!C2335/Cours_Hist_figé!C2271 - 1</f>
        <v>1.2321753288079496E-2</v>
      </c>
      <c r="D2271" s="29">
        <f>Cours_Hist_figé!D2335/Cours_Hist_figé!D2271 - 1</f>
        <v>1.0355982708717182E-2</v>
      </c>
      <c r="E2271" s="29">
        <f>Cours_Hist_figé!E2335/Cours_Hist_figé!E2271 - 1</f>
        <v>1.0134442095736551E-2</v>
      </c>
    </row>
    <row r="2272" spans="1:5" x14ac:dyDescent="0.4">
      <c r="A2272" s="27">
        <v>45359</v>
      </c>
      <c r="B2272" s="29">
        <f>Cours_Hist_figé!B2336/Cours_Hist_figé!B2272 - 1</f>
        <v>7.4969263017038212E-2</v>
      </c>
      <c r="C2272" s="29">
        <f>Cours_Hist_figé!C2336/Cours_Hist_figé!C2272 - 1</f>
        <v>1.2629160410303486E-2</v>
      </c>
      <c r="D2272" s="29">
        <f>Cours_Hist_figé!D2336/Cours_Hist_figé!D2272 - 1</f>
        <v>1.0356087741260511E-2</v>
      </c>
      <c r="E2272" s="29">
        <f>Cours_Hist_figé!E2336/Cours_Hist_figé!E2272 - 1</f>
        <v>1.0134532619641812E-2</v>
      </c>
    </row>
    <row r="2273" spans="1:5" x14ac:dyDescent="0.4">
      <c r="A2273" s="27">
        <v>45362</v>
      </c>
      <c r="B2273" s="29">
        <f>Cours_Hist_figé!B2337/Cours_Hist_figé!B2273 - 1</f>
        <v>7.4006483085972796E-2</v>
      </c>
      <c r="C2273" s="29">
        <f>Cours_Hist_figé!C2337/Cours_Hist_figé!C2273 - 1</f>
        <v>9.983513190088722E-3</v>
      </c>
      <c r="D2273" s="29">
        <f>Cours_Hist_figé!D2337/Cours_Hist_figé!D2273 - 1</f>
        <v>1.0580259017888949E-2</v>
      </c>
      <c r="E2273" s="29">
        <f>Cours_Hist_figé!E2337/Cours_Hist_figé!E2273 - 1</f>
        <v>1.0353845599829103E-2</v>
      </c>
    </row>
    <row r="2274" spans="1:5" x14ac:dyDescent="0.4">
      <c r="A2274" s="27">
        <v>45363</v>
      </c>
      <c r="B2274" s="29">
        <f>Cours_Hist_figé!B2338/Cours_Hist_figé!B2274 - 1</f>
        <v>7.6743994780933855E-2</v>
      </c>
      <c r="C2274" s="29">
        <f>Cours_Hist_figé!C2338/Cours_Hist_figé!C2274 - 1</f>
        <v>1.4234686037697619E-2</v>
      </c>
      <c r="D2274" s="29">
        <f>Cours_Hist_figé!D2338/Cours_Hist_figé!D2274 - 1</f>
        <v>1.0580263521918321E-2</v>
      </c>
      <c r="E2274" s="29">
        <f>Cours_Hist_figé!E2338/Cours_Hist_figé!E2274 - 1</f>
        <v>1.0353873298641458E-2</v>
      </c>
    </row>
    <row r="2275" spans="1:5" x14ac:dyDescent="0.4">
      <c r="A2275" s="27">
        <v>45364</v>
      </c>
      <c r="B2275" s="29">
        <f>Cours_Hist_figé!B2339/Cours_Hist_figé!B2275 - 1</f>
        <v>7.5309574082646824E-2</v>
      </c>
      <c r="C2275" s="29">
        <f>Cours_Hist_figé!C2339/Cours_Hist_figé!C2275 - 1</f>
        <v>1.3351593978280452E-2</v>
      </c>
      <c r="D2275" s="29">
        <f>Cours_Hist_figé!D2339/Cours_Hist_figé!D2275 - 1</f>
        <v>1.035649136899619E-2</v>
      </c>
      <c r="E2275" s="29">
        <f>Cours_Hist_figé!E2339/Cours_Hist_figé!E2275 - 1</f>
        <v>1.0134917053683745E-2</v>
      </c>
    </row>
    <row r="2276" spans="1:5" x14ac:dyDescent="0.4">
      <c r="A2276" s="27">
        <v>45365</v>
      </c>
      <c r="B2276" s="29">
        <f>Cours_Hist_figé!B2340/Cours_Hist_figé!B2276 - 1</f>
        <v>7.6075074198350245E-2</v>
      </c>
      <c r="C2276" s="29">
        <f>Cours_Hist_figé!C2340/Cours_Hist_figé!C2276 - 1</f>
        <v>7.2154200799925405E-3</v>
      </c>
      <c r="D2276" s="29">
        <f>Cours_Hist_figé!D2340/Cours_Hist_figé!D2276 - 1</f>
        <v>1.0356595494651177E-2</v>
      </c>
      <c r="E2276" s="29">
        <f>Cours_Hist_figé!E2340/Cours_Hist_figé!E2276 - 1</f>
        <v>1.0135056695400158E-2</v>
      </c>
    </row>
    <row r="2277" spans="1:5" x14ac:dyDescent="0.4">
      <c r="A2277" s="27">
        <v>45366</v>
      </c>
      <c r="B2277" s="29">
        <f>Cours_Hist_figé!B2341/Cours_Hist_figé!B2277 - 1</f>
        <v>7.2858319658551718E-2</v>
      </c>
      <c r="C2277" s="29">
        <f>Cours_Hist_figé!C2341/Cours_Hist_figé!C2277 - 1</f>
        <v>2.2122959279673449E-3</v>
      </c>
      <c r="D2277" s="29">
        <f>Cours_Hist_figé!D2341/Cours_Hist_figé!D2277 - 1</f>
        <v>1.0356691902797088E-2</v>
      </c>
      <c r="E2277" s="29">
        <f>Cours_Hist_figé!E2341/Cours_Hist_figé!E2277 - 1</f>
        <v>1.0135146287438168E-2</v>
      </c>
    </row>
    <row r="2278" spans="1:5" x14ac:dyDescent="0.4">
      <c r="A2278" s="27">
        <v>45369</v>
      </c>
      <c r="B2278" s="29">
        <f>Cours_Hist_figé!B2342/Cours_Hist_figé!B2278 - 1</f>
        <v>6.3032775990596646E-2</v>
      </c>
      <c r="C2278" s="29">
        <f>Cours_Hist_figé!C2342/Cours_Hist_figé!C2278 - 1</f>
        <v>-3.1028050868857626E-3</v>
      </c>
      <c r="D2278" s="29">
        <f>Cours_Hist_figé!D2342/Cours_Hist_figé!D2278 - 1</f>
        <v>1.0580967381433215E-2</v>
      </c>
      <c r="E2278" s="29">
        <f>Cours_Hist_figé!E2342/Cours_Hist_figé!E2278 - 1</f>
        <v>1.0354596258274062E-2</v>
      </c>
    </row>
    <row r="2279" spans="1:5" x14ac:dyDescent="0.4">
      <c r="A2279" s="27">
        <v>45370</v>
      </c>
      <c r="B2279" s="29">
        <f>Cours_Hist_figé!B2343/Cours_Hist_figé!B2279 - 1</f>
        <v>6.5204741536857069E-2</v>
      </c>
      <c r="C2279" s="29">
        <f>Cours_Hist_figé!C2343/Cours_Hist_figé!C2279 - 1</f>
        <v>-8.0265159426894384E-3</v>
      </c>
      <c r="D2279" s="29">
        <f>Cours_Hist_figé!D2343/Cours_Hist_figé!D2279 - 1</f>
        <v>1.0580962193566634E-2</v>
      </c>
      <c r="E2279" s="29">
        <f>Cours_Hist_figé!E2343/Cours_Hist_figé!E2279 - 1</f>
        <v>1.0354651288142058E-2</v>
      </c>
    </row>
    <row r="2280" spans="1:5" x14ac:dyDescent="0.4">
      <c r="A2280" s="27">
        <v>45371</v>
      </c>
      <c r="B2280" s="29">
        <f>Cours_Hist_figé!B2344/Cours_Hist_figé!B2280 - 1</f>
        <v>6.8258529547150726E-2</v>
      </c>
      <c r="C2280" s="29">
        <f>Cours_Hist_figé!C2344/Cours_Hist_figé!C2280 - 1</f>
        <v>-5.4906019563231157E-3</v>
      </c>
      <c r="D2280" s="29">
        <f>Cours_Hist_figé!D2344/Cours_Hist_figé!D2280 - 1</f>
        <v>1.0357201340756905E-2</v>
      </c>
      <c r="E2280" s="29">
        <f>Cours_Hist_figé!E2344/Cours_Hist_figé!E2280 - 1</f>
        <v>1.0135700475960352E-2</v>
      </c>
    </row>
    <row r="2281" spans="1:5" x14ac:dyDescent="0.4">
      <c r="A2281" s="27">
        <v>45372</v>
      </c>
      <c r="B2281" s="29">
        <f>Cours_Hist_figé!B2345/Cours_Hist_figé!B2281 - 1</f>
        <v>7.4118622129720979E-2</v>
      </c>
      <c r="C2281" s="29">
        <f>Cours_Hist_figé!C2345/Cours_Hist_figé!C2281 - 1</f>
        <v>-7.6304486501563851E-3</v>
      </c>
      <c r="D2281" s="29">
        <f>Cours_Hist_figé!D2345/Cours_Hist_figé!D2281 - 1</f>
        <v>1.0357403395876208E-2</v>
      </c>
      <c r="E2281" s="29">
        <f>Cours_Hist_figé!E2345/Cours_Hist_figé!E2281 - 1</f>
        <v>1.0135908157107965E-2</v>
      </c>
    </row>
    <row r="2282" spans="1:5" x14ac:dyDescent="0.4">
      <c r="A2282" s="27">
        <v>45373</v>
      </c>
      <c r="B2282" s="29">
        <f>Cours_Hist_figé!B2346/Cours_Hist_figé!B2282 - 1</f>
        <v>7.2814476751986712E-2</v>
      </c>
      <c r="C2282" s="29">
        <f>Cours_Hist_figé!C2346/Cours_Hist_figé!C2282 - 1</f>
        <v>-6.7931009419761601E-3</v>
      </c>
      <c r="D2282" s="29">
        <f>Cours_Hist_figé!D2346/Cours_Hist_figé!D2282 - 1</f>
        <v>1.0357605250234547E-2</v>
      </c>
      <c r="E2282" s="29">
        <f>Cours_Hist_figé!E2346/Cours_Hist_figé!E2282 - 1</f>
        <v>1.0136066508270813E-2</v>
      </c>
    </row>
    <row r="2283" spans="1:5" x14ac:dyDescent="0.4">
      <c r="A2283" s="27">
        <v>45376</v>
      </c>
      <c r="B2283" s="29">
        <f>Cours_Hist_figé!B2347/Cours_Hist_figé!B2283 - 1</f>
        <v>7.5658169247649454E-2</v>
      </c>
      <c r="C2283" s="29">
        <f>Cours_Hist_figé!C2347/Cours_Hist_figé!C2283 - 1</f>
        <v>-1.0767958242530185E-2</v>
      </c>
      <c r="D2283" s="29">
        <f>Cours_Hist_figé!D2347/Cours_Hist_figé!D2283 - 1</f>
        <v>1.0581970493073189E-2</v>
      </c>
      <c r="E2283" s="29">
        <f>Cours_Hist_figé!E2347/Cours_Hist_figé!E2283 - 1</f>
        <v>1.0355634875125475E-2</v>
      </c>
    </row>
    <row r="2284" spans="1:5" x14ac:dyDescent="0.4">
      <c r="A2284" s="27">
        <v>45377</v>
      </c>
      <c r="B2284" s="29">
        <f>Cours_Hist_figé!B2348/Cours_Hist_figé!B2284 - 1</f>
        <v>7.6321014842367862E-2</v>
      </c>
      <c r="C2284" s="29">
        <f>Cours_Hist_figé!C2348/Cours_Hist_figé!C2284 - 1</f>
        <v>-9.8216447049080946E-3</v>
      </c>
      <c r="D2284" s="29">
        <f>Cours_Hist_figé!D2348/Cours_Hist_figé!D2284 - 1</f>
        <v>1.0582177335124232E-2</v>
      </c>
      <c r="E2284" s="29">
        <f>Cours_Hist_figé!E2348/Cours_Hist_figé!E2284 - 1</f>
        <v>1.0355926836876916E-2</v>
      </c>
    </row>
    <row r="2285" spans="1:5" x14ac:dyDescent="0.4">
      <c r="A2285" s="27">
        <v>45378</v>
      </c>
      <c r="B2285" s="29">
        <f>Cours_Hist_figé!B2349/Cours_Hist_figé!B2285 - 1</f>
        <v>7.5690590391394919E-2</v>
      </c>
      <c r="C2285" s="29">
        <f>Cours_Hist_figé!C2349/Cours_Hist_figé!C2285 - 1</f>
        <v>-1.0235047450893875E-2</v>
      </c>
      <c r="D2285" s="29">
        <f>Cours_Hist_figé!D2349/Cours_Hist_figé!D2285 - 1</f>
        <v>1.0135348296171243E-2</v>
      </c>
      <c r="E2285" s="29">
        <f>Cours_Hist_figé!E2349/Cours_Hist_figé!E2285 - 1</f>
        <v>9.9186434819382718E-3</v>
      </c>
    </row>
    <row r="2286" spans="1:5" x14ac:dyDescent="0.4">
      <c r="A2286" s="27">
        <v>45379</v>
      </c>
      <c r="B2286" s="29">
        <f>Cours_Hist_figé!B2350/Cours_Hist_figé!B2286 - 1</f>
        <v>7.8828490319370559E-2</v>
      </c>
      <c r="C2286" s="29">
        <f>Cours_Hist_figé!C2350/Cours_Hist_figé!C2286 - 1</f>
        <v>-8.4745159259492775E-3</v>
      </c>
      <c r="D2286" s="29">
        <f>Cours_Hist_figé!D2350/Cours_Hist_figé!D2286 - 1</f>
        <v>1.0135543434571126E-2</v>
      </c>
      <c r="E2286" s="29">
        <f>Cours_Hist_figé!E2350/Cours_Hist_figé!E2286 - 1</f>
        <v>9.9188148243010144E-3</v>
      </c>
    </row>
    <row r="2287" spans="1:5" x14ac:dyDescent="0.4">
      <c r="A2287" s="27">
        <v>45380</v>
      </c>
      <c r="B2287" s="29">
        <f>Cours_Hist_figé!B2351/Cours_Hist_figé!B2287 - 1</f>
        <v>7.6314808076251017E-2</v>
      </c>
      <c r="C2287" s="29">
        <f>Cours_Hist_figé!C2351/Cours_Hist_figé!C2287 - 1</f>
        <v>-3.3224535715428161E-3</v>
      </c>
      <c r="D2287" s="29">
        <f>Cours_Hist_figé!D2351/Cours_Hist_figé!D2287 - 1</f>
        <v>1.0582577740669397E-2</v>
      </c>
      <c r="E2287" s="29">
        <f>Cours_Hist_figé!E2351/Cours_Hist_figé!E2287 - 1</f>
        <v>1.035624931548873E-2</v>
      </c>
    </row>
    <row r="2288" spans="1:5" x14ac:dyDescent="0.4">
      <c r="A2288" s="27">
        <v>45383</v>
      </c>
      <c r="B2288" s="29">
        <f>Cours_Hist_figé!B2352/Cours_Hist_figé!B2288 - 1</f>
        <v>7.6835280754681712E-2</v>
      </c>
      <c r="C2288" s="29">
        <f>Cours_Hist_figé!C2352/Cours_Hist_figé!C2288 - 1</f>
        <v>-1.5516842881315718E-3</v>
      </c>
      <c r="D2288" s="29">
        <f>Cours_Hist_figé!D2352/Cours_Hist_figé!D2288 - 1</f>
        <v>1.0137312421119038E-2</v>
      </c>
      <c r="E2288" s="29">
        <f>Cours_Hist_figé!E2352/Cours_Hist_figé!E2288 - 1</f>
        <v>9.9206404836762463E-3</v>
      </c>
    </row>
    <row r="2289" spans="1:5" x14ac:dyDescent="0.4">
      <c r="A2289" s="27">
        <v>45384</v>
      </c>
      <c r="B2289" s="29">
        <f>Cours_Hist_figé!B2353/Cours_Hist_figé!B2289 - 1</f>
        <v>7.7543329641818648E-2</v>
      </c>
      <c r="C2289" s="29">
        <f>Cours_Hist_figé!C2353/Cours_Hist_figé!C2289 - 1</f>
        <v>-8.0926459123790151E-3</v>
      </c>
      <c r="D2289" s="29">
        <f>Cours_Hist_figé!D2353/Cours_Hist_figé!D2289 - 1</f>
        <v>1.0025301569451361E-2</v>
      </c>
      <c r="E2289" s="29">
        <f>Cours_Hist_figé!E2353/Cours_Hist_figé!E2289 - 1</f>
        <v>9.8110718936992303E-3</v>
      </c>
    </row>
    <row r="2290" spans="1:5" x14ac:dyDescent="0.4">
      <c r="A2290" s="27">
        <v>45385</v>
      </c>
      <c r="B2290" s="29">
        <f>Cours_Hist_figé!B2354/Cours_Hist_figé!B2290 - 1</f>
        <v>7.2973238159108611E-2</v>
      </c>
      <c r="C2290" s="29">
        <f>Cours_Hist_figé!C2354/Cours_Hist_figé!C2290 - 1</f>
        <v>-3.2084637001230654E-3</v>
      </c>
      <c r="D2290" s="29">
        <f>Cours_Hist_figé!D2354/Cours_Hist_figé!D2290 - 1</f>
        <v>1.0025401564268677E-2</v>
      </c>
      <c r="E2290" s="29">
        <f>Cours_Hist_figé!E2354/Cours_Hist_figé!E2290 - 1</f>
        <v>9.8111352110310523E-3</v>
      </c>
    </row>
    <row r="2291" spans="1:5" x14ac:dyDescent="0.4">
      <c r="A2291" s="27">
        <v>45386</v>
      </c>
      <c r="B2291" s="29">
        <f>Cours_Hist_figé!B2355/Cours_Hist_figé!B2291 - 1</f>
        <v>7.7478891411955741E-2</v>
      </c>
      <c r="C2291" s="29">
        <f>Cours_Hist_figé!C2355/Cours_Hist_figé!C2291 - 1</f>
        <v>2.1643331808698374E-3</v>
      </c>
      <c r="D2291" s="29">
        <f>Cours_Hist_figé!D2355/Cours_Hist_figé!D2291 - 1</f>
        <v>1.0025599210358171E-2</v>
      </c>
      <c r="E2291" s="29">
        <f>Cours_Hist_figé!E2355/Cours_Hist_figé!E2291 - 1</f>
        <v>9.8113949996510019E-3</v>
      </c>
    </row>
    <row r="2292" spans="1:5" x14ac:dyDescent="0.4">
      <c r="A2292" s="27">
        <v>45387</v>
      </c>
      <c r="B2292" s="29">
        <f>Cours_Hist_figé!B2356/Cours_Hist_figé!B2292 - 1</f>
        <v>6.4874757007628236E-2</v>
      </c>
      <c r="C2292" s="29">
        <f>Cours_Hist_figé!C2356/Cours_Hist_figé!C2292 - 1</f>
        <v>-1.0911398763262525E-3</v>
      </c>
      <c r="D2292" s="29">
        <f>Cours_Hist_figé!D2356/Cours_Hist_figé!D2292 - 1</f>
        <v>9.8019616415938593E-3</v>
      </c>
      <c r="E2292" s="29">
        <f>Cours_Hist_figé!E2356/Cours_Hist_figé!E2292 - 1</f>
        <v>9.5925903298428317E-3</v>
      </c>
    </row>
    <row r="2293" spans="1:5" x14ac:dyDescent="0.4">
      <c r="A2293" s="27">
        <v>45390</v>
      </c>
      <c r="B2293" s="29">
        <f>Cours_Hist_figé!B2357/Cours_Hist_figé!B2293 - 1</f>
        <v>7.1556693886785316E-2</v>
      </c>
      <c r="C2293" s="29">
        <f>Cours_Hist_figé!C2357/Cours_Hist_figé!C2293 - 1</f>
        <v>7.1056089209009521E-4</v>
      </c>
      <c r="D2293" s="29">
        <f>Cours_Hist_figé!D2357/Cours_Hist_figé!D2293 - 1</f>
        <v>1.0026004166898916E-2</v>
      </c>
      <c r="E2293" s="29">
        <f>Cours_Hist_figé!E2357/Cours_Hist_figé!E2293 - 1</f>
        <v>9.8117731285660703E-3</v>
      </c>
    </row>
    <row r="2294" spans="1:5" x14ac:dyDescent="0.4">
      <c r="A2294" s="27">
        <v>45391</v>
      </c>
      <c r="B2294" s="29">
        <f>Cours_Hist_figé!B2358/Cours_Hist_figé!B2294 - 1</f>
        <v>6.7109458937759658E-2</v>
      </c>
      <c r="C2294" s="29">
        <f>Cours_Hist_figé!C2358/Cours_Hist_figé!C2294 - 1</f>
        <v>6.0530094044821681E-3</v>
      </c>
      <c r="D2294" s="29">
        <f>Cours_Hist_figé!D2358/Cours_Hist_figé!D2294 - 1</f>
        <v>1.0026110854337134E-2</v>
      </c>
      <c r="E2294" s="29">
        <f>Cours_Hist_figé!E2358/Cours_Hist_figé!E2294 - 1</f>
        <v>9.8118944253933194E-3</v>
      </c>
    </row>
    <row r="2295" spans="1:5" x14ac:dyDescent="0.4">
      <c r="A2295" s="27">
        <v>45392</v>
      </c>
      <c r="B2295" s="29">
        <f>Cours_Hist_figé!B2359/Cours_Hist_figé!B2295 - 1</f>
        <v>7.6895093804346226E-2</v>
      </c>
      <c r="C2295" s="29">
        <f>Cours_Hist_figé!C2359/Cours_Hist_figé!C2295 - 1</f>
        <v>2.2845394526809226E-3</v>
      </c>
      <c r="D2295" s="29">
        <f>Cours_Hist_figé!D2359/Cours_Hist_figé!D2295 - 1</f>
        <v>1.0026111190084785E-2</v>
      </c>
      <c r="E2295" s="29">
        <f>Cours_Hist_figé!E2359/Cours_Hist_figé!E2295 - 1</f>
        <v>9.8119758478869556E-3</v>
      </c>
    </row>
    <row r="2296" spans="1:5" x14ac:dyDescent="0.4">
      <c r="A2296" s="27">
        <v>45393</v>
      </c>
      <c r="B2296" s="29">
        <f>Cours_Hist_figé!B2360/Cours_Hist_figé!B2296 - 1</f>
        <v>6.4620634788792986E-2</v>
      </c>
      <c r="C2296" s="29">
        <f>Cours_Hist_figé!C2360/Cours_Hist_figé!C2296 - 1</f>
        <v>-5.1395384040674452E-3</v>
      </c>
      <c r="D2296" s="29">
        <f>Cours_Hist_figé!D2360/Cours_Hist_figé!D2296 - 1</f>
        <v>1.0026210027394233E-2</v>
      </c>
      <c r="E2296" s="29">
        <f>Cours_Hist_figé!E2360/Cours_Hist_figé!E2296 - 1</f>
        <v>9.8120279704776436E-3</v>
      </c>
    </row>
    <row r="2297" spans="1:5" x14ac:dyDescent="0.4">
      <c r="A2297" s="27">
        <v>45394</v>
      </c>
      <c r="B2297" s="29">
        <f>Cours_Hist_figé!B2361/Cours_Hist_figé!B2297 - 1</f>
        <v>7.2669788608424435E-2</v>
      </c>
      <c r="C2297" s="29">
        <f>Cours_Hist_figé!C2361/Cours_Hist_figé!C2297 - 1</f>
        <v>4.0573527568454892E-3</v>
      </c>
      <c r="D2297" s="29">
        <f>Cours_Hist_figé!D2361/Cours_Hist_figé!D2297 - 1</f>
        <v>9.8025638052321451E-3</v>
      </c>
      <c r="E2297" s="29">
        <f>Cours_Hist_figé!E2361/Cours_Hist_figé!E2297 - 1</f>
        <v>9.5931722226476612E-3</v>
      </c>
    </row>
    <row r="2298" spans="1:5" x14ac:dyDescent="0.4">
      <c r="A2298" s="27">
        <v>45397</v>
      </c>
      <c r="B2298" s="29">
        <f>Cours_Hist_figé!B2362/Cours_Hist_figé!B2298 - 1</f>
        <v>7.6132578232157577E-2</v>
      </c>
      <c r="C2298" s="29">
        <f>Cours_Hist_figé!C2362/Cours_Hist_figé!C2298 - 1</f>
        <v>4.7016034808033957E-4</v>
      </c>
      <c r="D2298" s="29">
        <f>Cours_Hist_figé!D2362/Cours_Hist_figé!D2298 - 1</f>
        <v>1.0026822269449065E-2</v>
      </c>
      <c r="E2298" s="29">
        <f>Cours_Hist_figé!E2362/Cours_Hist_figé!E2298 - 1</f>
        <v>9.8126778881717502E-3</v>
      </c>
    </row>
    <row r="2299" spans="1:5" x14ac:dyDescent="0.4">
      <c r="A2299" s="27">
        <v>45398</v>
      </c>
      <c r="B2299" s="29">
        <f>Cours_Hist_figé!B2363/Cours_Hist_figé!B2299 - 1</f>
        <v>7.2176599857900481E-2</v>
      </c>
      <c r="C2299" s="29">
        <f>Cours_Hist_figé!C2363/Cours_Hist_figé!C2299 - 1</f>
        <v>6.1611109140957687E-4</v>
      </c>
      <c r="D2299" s="29">
        <f>Cours_Hist_figé!D2363/Cours_Hist_figé!D2299 - 1</f>
        <v>1.002692037094377E-2</v>
      </c>
      <c r="E2299" s="29">
        <f>Cours_Hist_figé!E2363/Cours_Hist_figé!E2299 - 1</f>
        <v>9.8127293301597529E-3</v>
      </c>
    </row>
    <row r="2300" spans="1:5" x14ac:dyDescent="0.4">
      <c r="A2300" s="27">
        <v>45399</v>
      </c>
      <c r="B2300" s="29">
        <f>Cours_Hist_figé!B2364/Cours_Hist_figé!B2300 - 1</f>
        <v>6.6431767389260044E-2</v>
      </c>
      <c r="C2300" s="29">
        <f>Cours_Hist_figé!C2364/Cours_Hist_figé!C2300 - 1</f>
        <v>3.2181615989992363E-3</v>
      </c>
      <c r="D2300" s="29">
        <f>Cours_Hist_figé!D2364/Cours_Hist_figé!D2300 - 1</f>
        <v>1.002712349184387E-2</v>
      </c>
      <c r="E2300" s="29">
        <f>Cours_Hist_figé!E2364/Cours_Hist_figé!E2300 - 1</f>
        <v>9.8129277491523226E-3</v>
      </c>
    </row>
    <row r="2301" spans="1:5" x14ac:dyDescent="0.4">
      <c r="A2301" s="27">
        <v>45400</v>
      </c>
      <c r="B2301" s="29">
        <f>Cours_Hist_figé!B2365/Cours_Hist_figé!B2301 - 1</f>
        <v>7.1288755327092224E-2</v>
      </c>
      <c r="C2301" s="29">
        <f>Cours_Hist_figé!C2365/Cours_Hist_figé!C2301 - 1</f>
        <v>1.4281442241967923E-3</v>
      </c>
      <c r="D2301" s="29">
        <f>Cours_Hist_figé!D2365/Cours_Hist_figé!D2301 - 1</f>
        <v>1.0027115153724342E-2</v>
      </c>
      <c r="E2301" s="29">
        <f>Cours_Hist_figé!E2365/Cours_Hist_figé!E2301 - 1</f>
        <v>9.8129589100361958E-3</v>
      </c>
    </row>
    <row r="2302" spans="1:5" x14ac:dyDescent="0.4">
      <c r="A2302" s="27">
        <v>45401</v>
      </c>
      <c r="B2302" s="29">
        <f>Cours_Hist_figé!B2366/Cours_Hist_figé!B2302 - 1</f>
        <v>6.2689469770634387E-2</v>
      </c>
      <c r="C2302" s="29">
        <f>Cours_Hist_figé!C2366/Cours_Hist_figé!C2302 - 1</f>
        <v>-2.276221285183011E-3</v>
      </c>
      <c r="D2302" s="29">
        <f>Cours_Hist_figé!D2366/Cours_Hist_figé!D2302 - 1</f>
        <v>9.8034743595805107E-3</v>
      </c>
      <c r="E2302" s="29">
        <f>Cours_Hist_figé!E2366/Cours_Hist_figé!E2302 - 1</f>
        <v>9.5941588283503521E-3</v>
      </c>
    </row>
    <row r="2303" spans="1:5" x14ac:dyDescent="0.4">
      <c r="A2303" s="27">
        <v>45404</v>
      </c>
      <c r="B2303" s="29">
        <f>Cours_Hist_figé!B2367/Cours_Hist_figé!B2303 - 1</f>
        <v>7.3393271625209922E-2</v>
      </c>
      <c r="C2303" s="29">
        <f>Cours_Hist_figé!C2367/Cours_Hist_figé!C2303 - 1</f>
        <v>3.1256077986308028E-3</v>
      </c>
      <c r="D2303" s="29">
        <f>Cours_Hist_figé!D2367/Cours_Hist_figé!D2303 - 1</f>
        <v>1.0027723059129245E-2</v>
      </c>
      <c r="E2303" s="29">
        <f>Cours_Hist_figé!E2367/Cours_Hist_figé!E2303 - 1</f>
        <v>9.8136534774080353E-3</v>
      </c>
    </row>
    <row r="2304" spans="1:5" x14ac:dyDescent="0.4">
      <c r="A2304" s="27">
        <v>45405</v>
      </c>
      <c r="B2304" s="29">
        <f>Cours_Hist_figé!B2368/Cours_Hist_figé!B2304 - 1</f>
        <v>7.2816076556015963E-2</v>
      </c>
      <c r="C2304" s="29">
        <f>Cours_Hist_figé!C2368/Cours_Hist_figé!C2304 - 1</f>
        <v>2.5416544170433486E-3</v>
      </c>
      <c r="D2304" s="29">
        <f>Cours_Hist_figé!D2368/Cours_Hist_figé!D2304 - 1</f>
        <v>1.0027925203754284E-2</v>
      </c>
      <c r="E2304" s="29">
        <f>Cours_Hist_figé!E2368/Cours_Hist_figé!E2304 - 1</f>
        <v>9.8138809113630376E-3</v>
      </c>
    </row>
    <row r="2305" spans="1:5" x14ac:dyDescent="0.4">
      <c r="A2305" s="27">
        <v>45406</v>
      </c>
      <c r="B2305" s="29">
        <f>Cours_Hist_figé!B2369/Cours_Hist_figé!B2305 - 1</f>
        <v>6.5657624323471442E-2</v>
      </c>
      <c r="C2305" s="29">
        <f>Cours_Hist_figé!C2369/Cours_Hist_figé!C2305 - 1</f>
        <v>-6.6731119799424699E-3</v>
      </c>
      <c r="D2305" s="29">
        <f>Cours_Hist_figé!D2369/Cours_Hist_figé!D2305 - 1</f>
        <v>1.0028029620689827E-2</v>
      </c>
      <c r="E2305" s="29">
        <f>Cours_Hist_figé!E2369/Cours_Hist_figé!E2305 - 1</f>
        <v>9.8139704305706399E-3</v>
      </c>
    </row>
    <row r="2306" spans="1:5" x14ac:dyDescent="0.4">
      <c r="A2306" s="27">
        <v>45407</v>
      </c>
      <c r="B2306" s="29">
        <f>Cours_Hist_figé!B2370/Cours_Hist_figé!B2306 - 1</f>
        <v>4.7474360689914841E-2</v>
      </c>
      <c r="C2306" s="29">
        <f>Cours_Hist_figé!C2370/Cours_Hist_figé!C2306 - 1</f>
        <v>-8.0742730918460515E-3</v>
      </c>
      <c r="D2306" s="29">
        <f>Cours_Hist_figé!D2370/Cours_Hist_figé!D2306 - 1</f>
        <v>1.0028231460891046E-2</v>
      </c>
      <c r="E2306" s="29">
        <f>Cours_Hist_figé!E2370/Cours_Hist_figé!E2306 - 1</f>
        <v>9.8141281838839411E-3</v>
      </c>
    </row>
    <row r="2307" spans="1:5" x14ac:dyDescent="0.4">
      <c r="A2307" s="27">
        <v>45408</v>
      </c>
      <c r="B2307" s="29">
        <f>Cours_Hist_figé!B2371/Cours_Hist_figé!B2307 - 1</f>
        <v>5.7531513401599454E-2</v>
      </c>
      <c r="C2307" s="29">
        <f>Cours_Hist_figé!C2371/Cours_Hist_figé!C2307 - 1</f>
        <v>-8.7451205730000314E-3</v>
      </c>
      <c r="D2307" s="29">
        <f>Cours_Hist_figé!D2371/Cours_Hist_figé!D2307 - 1</f>
        <v>9.8045885537123567E-3</v>
      </c>
      <c r="E2307" s="29">
        <f>Cours_Hist_figé!E2371/Cours_Hist_figé!E2307 - 1</f>
        <v>9.595325156059209E-3</v>
      </c>
    </row>
    <row r="2308" spans="1:5" x14ac:dyDescent="0.4">
      <c r="A2308" s="27">
        <v>45411</v>
      </c>
      <c r="B2308" s="29">
        <f>Cours_Hist_figé!B2372/Cours_Hist_figé!B2308 - 1</f>
        <v>5.6388472086012387E-2</v>
      </c>
      <c r="C2308" s="29">
        <f>Cours_Hist_figé!C2372/Cours_Hist_figé!C2308 - 1</f>
        <v>-1.9829288663072431E-3</v>
      </c>
      <c r="D2308" s="29">
        <f>Cours_Hist_figé!D2372/Cours_Hist_figé!D2308 - 1</f>
        <v>1.0028533955513508E-2</v>
      </c>
      <c r="E2308" s="29">
        <f>Cours_Hist_figé!E2372/Cours_Hist_figé!E2308 - 1</f>
        <v>9.8144458095343889E-3</v>
      </c>
    </row>
    <row r="2309" spans="1:5" x14ac:dyDescent="0.4">
      <c r="A2309" s="27">
        <v>45412</v>
      </c>
      <c r="B2309" s="29">
        <f>Cours_Hist_figé!B2373/Cours_Hist_figé!B2309 - 1</f>
        <v>5.0010801297173835E-2</v>
      </c>
      <c r="C2309" s="29">
        <f>Cours_Hist_figé!C2373/Cours_Hist_figé!C2309 - 1</f>
        <v>-1.2627727266774746E-2</v>
      </c>
      <c r="D2309" s="29">
        <f>Cours_Hist_figé!D2373/Cours_Hist_figé!D2309 - 1</f>
        <v>1.0028531541186991E-2</v>
      </c>
      <c r="E2309" s="29">
        <f>Cours_Hist_figé!E2373/Cours_Hist_figé!E2309 - 1</f>
        <v>9.8144166909768238E-3</v>
      </c>
    </row>
    <row r="2310" spans="1:5" x14ac:dyDescent="0.4">
      <c r="A2310" s="27">
        <v>45413</v>
      </c>
      <c r="B2310" s="29">
        <f>Cours_Hist_figé!B2374/Cours_Hist_figé!B2310 - 1</f>
        <v>5.226628248442533E-2</v>
      </c>
      <c r="C2310" s="29">
        <f>Cours_Hist_figé!C2374/Cours_Hist_figé!C2310 - 1</f>
        <v>-1.402261030962626E-2</v>
      </c>
      <c r="D2310" s="29">
        <f>Cours_Hist_figé!D2374/Cours_Hist_figé!D2310 - 1</f>
        <v>1.0139926197139548E-2</v>
      </c>
      <c r="E2310" s="29">
        <f>Cours_Hist_figé!E2374/Cours_Hist_figé!E2310 - 1</f>
        <v>9.9233537221212753E-3</v>
      </c>
    </row>
    <row r="2311" spans="1:5" x14ac:dyDescent="0.4">
      <c r="A2311" s="27">
        <v>45414</v>
      </c>
      <c r="B2311" s="29">
        <f>Cours_Hist_figé!B2375/Cours_Hist_figé!B2311 - 1</f>
        <v>5.0316352559214073E-2</v>
      </c>
      <c r="C2311" s="29">
        <f>Cours_Hist_figé!C2375/Cours_Hist_figé!C2311 - 1</f>
        <v>-5.1487414187643132E-3</v>
      </c>
      <c r="D2311" s="29">
        <f>Cours_Hist_figé!D2375/Cours_Hist_figé!D2311 - 1</f>
        <v>1.0028014161247656E-2</v>
      </c>
      <c r="E2311" s="29">
        <f>Cours_Hist_figé!E2375/Cours_Hist_figé!E2311 - 1</f>
        <v>9.813815064438014E-3</v>
      </c>
    </row>
    <row r="2312" spans="1:5" x14ac:dyDescent="0.4">
      <c r="A2312" s="27">
        <v>45415</v>
      </c>
      <c r="B2312" s="29">
        <f>Cours_Hist_figé!B2376/Cours_Hist_figé!B2312 - 1</f>
        <v>5.5498484951024274E-2</v>
      </c>
      <c r="C2312" s="29">
        <f>Cours_Hist_figé!C2376/Cours_Hist_figé!C2312 - 1</f>
        <v>2.8466533575270958E-3</v>
      </c>
      <c r="D2312" s="29">
        <f>Cours_Hist_figé!D2376/Cours_Hist_figé!D2312 - 1</f>
        <v>9.8042703770333528E-3</v>
      </c>
      <c r="E2312" s="29">
        <f>Cours_Hist_figé!E2376/Cours_Hist_figé!E2312 - 1</f>
        <v>9.5948614972580781E-3</v>
      </c>
    </row>
    <row r="2313" spans="1:5" x14ac:dyDescent="0.4">
      <c r="A2313" s="27">
        <v>45418</v>
      </c>
      <c r="B2313" s="29">
        <f>Cours_Hist_figé!B2377/Cours_Hist_figé!B2313 - 1</f>
        <v>5.4459631254618168E-2</v>
      </c>
      <c r="C2313" s="29">
        <f>Cours_Hist_figé!C2377/Cours_Hist_figé!C2313 - 1</f>
        <v>3.0787468882285118E-3</v>
      </c>
      <c r="D2313" s="29">
        <f>Cours_Hist_figé!D2377/Cours_Hist_figé!D2313 - 1</f>
        <v>1.0028213704995403E-2</v>
      </c>
      <c r="E2313" s="29">
        <f>Cours_Hist_figé!E2377/Cours_Hist_figé!E2313 - 1</f>
        <v>9.8140690991250779E-3</v>
      </c>
    </row>
    <row r="2314" spans="1:5" x14ac:dyDescent="0.4">
      <c r="A2314" s="27">
        <v>45419</v>
      </c>
      <c r="B2314" s="29">
        <f>Cours_Hist_figé!B2378/Cours_Hist_figé!B2314 - 1</f>
        <v>6.968197506739493E-2</v>
      </c>
      <c r="C2314" s="29">
        <f>Cours_Hist_figé!C2378/Cours_Hist_figé!C2314 - 1</f>
        <v>6.4800394837449815E-3</v>
      </c>
      <c r="D2314" s="29">
        <f>Cours_Hist_figé!D2378/Cours_Hist_figé!D2314 - 1</f>
        <v>1.0028217993308441E-2</v>
      </c>
      <c r="E2314" s="29">
        <f>Cours_Hist_figé!E2378/Cours_Hist_figé!E2314 - 1</f>
        <v>9.8140975805314223E-3</v>
      </c>
    </row>
    <row r="2315" spans="1:5" x14ac:dyDescent="0.4">
      <c r="A2315" s="27">
        <v>45420</v>
      </c>
      <c r="B2315" s="29">
        <f>Cours_Hist_figé!B2379/Cours_Hist_figé!B2315 - 1</f>
        <v>7.4752463898066335E-2</v>
      </c>
      <c r="C2315" s="29">
        <f>Cours_Hist_figé!C2379/Cours_Hist_figé!C2315 - 1</f>
        <v>7.5478943423077371E-3</v>
      </c>
      <c r="D2315" s="29">
        <f>Cours_Hist_figé!D2379/Cours_Hist_figé!D2315 - 1</f>
        <v>1.0028222130430864E-2</v>
      </c>
      <c r="E2315" s="29">
        <f>Cours_Hist_figé!E2379/Cours_Hist_figé!E2315 - 1</f>
        <v>9.8140379868132399E-3</v>
      </c>
    </row>
    <row r="2316" spans="1:5" x14ac:dyDescent="0.4">
      <c r="A2316" s="27">
        <v>45421</v>
      </c>
      <c r="B2316" s="29">
        <f>Cours_Hist_figé!B2380/Cours_Hist_figé!B2316 - 1</f>
        <v>7.8824670561445931E-2</v>
      </c>
      <c r="C2316" s="29">
        <f>Cours_Hist_figé!C2380/Cours_Hist_figé!C2316 - 1</f>
        <v>7.1645994775597632E-3</v>
      </c>
      <c r="D2316" s="29">
        <f>Cours_Hist_figé!D2380/Cours_Hist_figé!D2316 - 1</f>
        <v>1.0028113765909508E-2</v>
      </c>
      <c r="E2316" s="29">
        <f>Cours_Hist_figé!E2380/Cours_Hist_figé!E2316 - 1</f>
        <v>9.8139490209667724E-3</v>
      </c>
    </row>
    <row r="2317" spans="1:5" x14ac:dyDescent="0.4">
      <c r="A2317" s="27">
        <v>45422</v>
      </c>
      <c r="B2317" s="29">
        <f>Cours_Hist_figé!B2381/Cours_Hist_figé!B2317 - 1</f>
        <v>8.202747269122157E-2</v>
      </c>
      <c r="C2317" s="29">
        <f>Cours_Hist_figé!C2381/Cours_Hist_figé!C2317 - 1</f>
        <v>3.9874484733664062E-3</v>
      </c>
      <c r="D2317" s="29">
        <f>Cours_Hist_figé!D2381/Cours_Hist_figé!D2317 - 1</f>
        <v>9.803759265167411E-3</v>
      </c>
      <c r="E2317" s="29">
        <f>Cours_Hist_figé!E2381/Cours_Hist_figé!E2317 - 1</f>
        <v>9.5944143370949586E-3</v>
      </c>
    </row>
    <row r="2318" spans="1:5" x14ac:dyDescent="0.4">
      <c r="A2318" s="27">
        <v>45425</v>
      </c>
      <c r="B2318" s="29">
        <f>Cours_Hist_figé!B2382/Cours_Hist_figé!B2318 - 1</f>
        <v>9.2684109937852144E-2</v>
      </c>
      <c r="C2318" s="29">
        <f>Cours_Hist_figé!C2382/Cours_Hist_figé!C2318 - 1</f>
        <v>6.4357414845874761E-3</v>
      </c>
      <c r="D2318" s="29">
        <f>Cours_Hist_figé!D2382/Cours_Hist_figé!D2318 - 1</f>
        <v>1.0027610389901298E-2</v>
      </c>
      <c r="E2318" s="29">
        <f>Cours_Hist_figé!E2382/Cours_Hist_figé!E2318 - 1</f>
        <v>9.8133955879897705E-3</v>
      </c>
    </row>
    <row r="2319" spans="1:5" x14ac:dyDescent="0.4">
      <c r="A2319" s="27">
        <v>45426</v>
      </c>
      <c r="B2319" s="29">
        <f>Cours_Hist_figé!B2383/Cours_Hist_figé!B2319 - 1</f>
        <v>8.8823540650354804E-2</v>
      </c>
      <c r="C2319" s="29">
        <f>Cours_Hist_figé!C2383/Cours_Hist_figé!C2319 - 1</f>
        <v>1.2432980133694205E-3</v>
      </c>
      <c r="D2319" s="29">
        <f>Cours_Hist_figé!D2383/Cours_Hist_figé!D2319 - 1</f>
        <v>1.0027613840946747E-2</v>
      </c>
      <c r="E2319" s="29">
        <f>Cours_Hist_figé!E2383/Cours_Hist_figé!E2319 - 1</f>
        <v>9.8133351516638267E-3</v>
      </c>
    </row>
    <row r="2320" spans="1:5" x14ac:dyDescent="0.4">
      <c r="A2320" s="27">
        <v>45427</v>
      </c>
      <c r="B2320" s="29">
        <f>Cours_Hist_figé!B2384/Cours_Hist_figé!B2320 - 1</f>
        <v>8.7329495836950821E-2</v>
      </c>
      <c r="C2320" s="29">
        <f>Cours_Hist_figé!C2384/Cours_Hist_figé!C2320 - 1</f>
        <v>7.5118560002318535E-3</v>
      </c>
      <c r="D2320" s="29">
        <f>Cours_Hist_figé!D2384/Cours_Hist_figé!D2320 - 1</f>
        <v>1.0027511374674392E-2</v>
      </c>
      <c r="E2320" s="29">
        <f>Cours_Hist_figé!E2384/Cours_Hist_figé!E2320 - 1</f>
        <v>9.8132253703668848E-3</v>
      </c>
    </row>
    <row r="2321" spans="1:5" x14ac:dyDescent="0.4">
      <c r="A2321" s="27">
        <v>45428</v>
      </c>
      <c r="B2321" s="29">
        <f>Cours_Hist_figé!B2385/Cours_Hist_figé!B2321 - 1</f>
        <v>7.9273595849478129E-2</v>
      </c>
      <c r="C2321" s="29">
        <f>Cours_Hist_figé!C2385/Cours_Hist_figé!C2321 - 1</f>
        <v>9.5017593238178044E-3</v>
      </c>
      <c r="D2321" s="29">
        <f>Cours_Hist_figé!D2385/Cours_Hist_figé!D2321 - 1</f>
        <v>1.0027416340316009E-2</v>
      </c>
      <c r="E2321" s="29">
        <f>Cours_Hist_figé!E2385/Cours_Hist_figé!E2321 - 1</f>
        <v>9.8131446884426321E-3</v>
      </c>
    </row>
    <row r="2322" spans="1:5" x14ac:dyDescent="0.4">
      <c r="A2322" s="27">
        <v>45429</v>
      </c>
      <c r="B2322" s="29">
        <f>Cours_Hist_figé!B2386/Cours_Hist_figé!B2322 - 1</f>
        <v>7.6213159238401662E-2</v>
      </c>
      <c r="C2322" s="29">
        <f>Cours_Hist_figé!C2386/Cours_Hist_figé!C2322 - 1</f>
        <v>5.9775754317672458E-3</v>
      </c>
      <c r="D2322" s="29">
        <f>Cours_Hist_figé!D2386/Cours_Hist_figé!D2322 - 1</f>
        <v>9.8032645701340293E-3</v>
      </c>
      <c r="E2322" s="29">
        <f>Cours_Hist_figé!E2386/Cours_Hist_figé!E2322 - 1</f>
        <v>9.5937754475921011E-3</v>
      </c>
    </row>
    <row r="2323" spans="1:5" x14ac:dyDescent="0.4">
      <c r="A2323" s="27">
        <v>45432</v>
      </c>
      <c r="B2323" s="29">
        <f>Cours_Hist_figé!B2387/Cours_Hist_figé!B2323 - 1</f>
        <v>7.9799193849880101E-2</v>
      </c>
      <c r="C2323" s="29">
        <f>Cours_Hist_figé!C2387/Cours_Hist_figé!C2323 - 1</f>
        <v>2.3319172318698733E-3</v>
      </c>
      <c r="D2323" s="29">
        <f>Cours_Hist_figé!D2387/Cours_Hist_figé!D2323 - 1</f>
        <v>1.0026603496761988E-2</v>
      </c>
      <c r="E2323" s="29">
        <f>Cours_Hist_figé!E2387/Cours_Hist_figé!E2323 - 1</f>
        <v>9.8122967070986E-3</v>
      </c>
    </row>
    <row r="2324" spans="1:5" x14ac:dyDescent="0.4">
      <c r="A2324" s="27">
        <v>45433</v>
      </c>
      <c r="B2324" s="29">
        <f>Cours_Hist_figé!B2388/Cours_Hist_figé!B2324 - 1</f>
        <v>8.0482602541877002E-2</v>
      </c>
      <c r="C2324" s="29">
        <f>Cours_Hist_figé!C2388/Cours_Hist_figé!C2324 - 1</f>
        <v>7.5529826189779659E-3</v>
      </c>
      <c r="D2324" s="29">
        <f>Cours_Hist_figé!D2388/Cours_Hist_figé!D2324 - 1</f>
        <v>1.002640321985826E-2</v>
      </c>
      <c r="E2324" s="29">
        <f>Cours_Hist_figé!E2388/Cours_Hist_figé!E2324 - 1</f>
        <v>9.8121084373647971E-3</v>
      </c>
    </row>
    <row r="2325" spans="1:5" x14ac:dyDescent="0.4">
      <c r="A2325" s="27">
        <v>45434</v>
      </c>
      <c r="B2325" s="29">
        <f>Cours_Hist_figé!B2389/Cours_Hist_figé!B2325 - 1</f>
        <v>6.767013421144541E-2</v>
      </c>
      <c r="C2325" s="29">
        <f>Cours_Hist_figé!C2389/Cours_Hist_figé!C2325 - 1</f>
        <v>5.3999436177953886E-3</v>
      </c>
      <c r="D2325" s="29">
        <f>Cours_Hist_figé!D2389/Cours_Hist_figé!D2325 - 1</f>
        <v>1.002639729761956E-2</v>
      </c>
      <c r="E2325" s="29">
        <f>Cours_Hist_figé!E2389/Cours_Hist_figé!E2325 - 1</f>
        <v>9.8121541919693467E-3</v>
      </c>
    </row>
    <row r="2326" spans="1:5" x14ac:dyDescent="0.4">
      <c r="A2326" s="27">
        <v>45435</v>
      </c>
      <c r="B2326" s="29">
        <f>Cours_Hist_figé!B2390/Cours_Hist_figé!B2326 - 1</f>
        <v>6.3994404250087511E-2</v>
      </c>
      <c r="C2326" s="29">
        <f>Cours_Hist_figé!C2390/Cours_Hist_figé!C2326 - 1</f>
        <v>-2.3785920746556277E-3</v>
      </c>
      <c r="D2326" s="29">
        <f>Cours_Hist_figé!D2390/Cours_Hist_figé!D2326 - 1</f>
        <v>1.0026504527585578E-2</v>
      </c>
      <c r="E2326" s="29">
        <f>Cours_Hist_figé!E2390/Cours_Hist_figé!E2326 - 1</f>
        <v>9.812190475340099E-3</v>
      </c>
    </row>
    <row r="2327" spans="1:5" x14ac:dyDescent="0.4">
      <c r="A2327" s="27">
        <v>45436</v>
      </c>
      <c r="B2327" s="29">
        <f>Cours_Hist_figé!B2391/Cours_Hist_figé!B2327 - 1</f>
        <v>6.5815037961824752E-2</v>
      </c>
      <c r="C2327" s="29">
        <f>Cours_Hist_figé!C2391/Cours_Hist_figé!C2327 - 1</f>
        <v>2.3589545332467488E-3</v>
      </c>
      <c r="D2327" s="29">
        <f>Cours_Hist_figé!D2391/Cours_Hist_figé!D2327 - 1</f>
        <v>9.8026600435183742E-3</v>
      </c>
      <c r="E2327" s="29">
        <f>Cours_Hist_figé!E2391/Cours_Hist_figé!E2327 - 1</f>
        <v>9.593221307544697E-3</v>
      </c>
    </row>
    <row r="2328" spans="1:5" x14ac:dyDescent="0.4">
      <c r="A2328" s="27">
        <v>45439</v>
      </c>
      <c r="B2328" s="29">
        <f>Cours_Hist_figé!B2392/Cours_Hist_figé!B2328 - 1</f>
        <v>6.7238109516834621E-2</v>
      </c>
      <c r="C2328" s="29">
        <f>Cours_Hist_figé!C2392/Cours_Hist_figé!C2328 - 1</f>
        <v>6.0139255883220333E-3</v>
      </c>
      <c r="D2328" s="29">
        <f>Cours_Hist_figé!D2392/Cours_Hist_figé!D2328 - 1</f>
        <v>1.0026910709524994E-2</v>
      </c>
      <c r="E2328" s="29">
        <f>Cours_Hist_figé!E2392/Cours_Hist_figé!E2328 - 1</f>
        <v>9.8126688346724666E-3</v>
      </c>
    </row>
    <row r="2329" spans="1:5" x14ac:dyDescent="0.4">
      <c r="A2329" s="27">
        <v>45440</v>
      </c>
      <c r="B2329" s="29">
        <f>Cours_Hist_figé!B2393/Cours_Hist_figé!B2329 - 1</f>
        <v>6.4728149388306511E-2</v>
      </c>
      <c r="C2329" s="29">
        <f>Cours_Hist_figé!C2393/Cours_Hist_figé!C2329 - 1</f>
        <v>4.2426557560424349E-3</v>
      </c>
      <c r="D2329" s="29">
        <f>Cours_Hist_figé!D2393/Cours_Hist_figé!D2329 - 1</f>
        <v>1.0027107814136516E-2</v>
      </c>
      <c r="E2329" s="29">
        <f>Cours_Hist_figé!E2393/Cours_Hist_figé!E2329 - 1</f>
        <v>9.812832083491152E-3</v>
      </c>
    </row>
    <row r="2330" spans="1:5" x14ac:dyDescent="0.4">
      <c r="A2330" s="27">
        <v>45441</v>
      </c>
      <c r="B2330" s="29">
        <f>Cours_Hist_figé!B2394/Cours_Hist_figé!B2330 - 1</f>
        <v>5.3576204721042853E-2</v>
      </c>
      <c r="C2330" s="29">
        <f>Cours_Hist_figé!C2394/Cours_Hist_figé!C2330 - 1</f>
        <v>-3.6417924724900796E-3</v>
      </c>
      <c r="D2330" s="29">
        <f>Cours_Hist_figé!D2394/Cours_Hist_figé!D2330 - 1</f>
        <v>1.0027101968222096E-2</v>
      </c>
      <c r="E2330" s="29">
        <f>Cours_Hist_figé!E2394/Cours_Hist_figé!E2330 - 1</f>
        <v>9.8129170748404437E-3</v>
      </c>
    </row>
    <row r="2331" spans="1:5" x14ac:dyDescent="0.4">
      <c r="A2331" s="27">
        <v>45442</v>
      </c>
      <c r="B2331" s="29">
        <f>Cours_Hist_figé!B2395/Cours_Hist_figé!B2331 - 1</f>
        <v>5.3875900561335399E-2</v>
      </c>
      <c r="C2331" s="29">
        <f>Cours_Hist_figé!C2395/Cours_Hist_figé!C2331 - 1</f>
        <v>-3.0343792436164918E-3</v>
      </c>
      <c r="D2331" s="29">
        <f>Cours_Hist_figé!D2395/Cours_Hist_figé!D2331 - 1</f>
        <v>1.0027714872083759E-2</v>
      </c>
      <c r="E2331" s="29">
        <f>Cours_Hist_figé!E2395/Cours_Hist_figé!E2331 - 1</f>
        <v>9.8135331201203435E-3</v>
      </c>
    </row>
    <row r="2332" spans="1:5" x14ac:dyDescent="0.4">
      <c r="A2332" s="27">
        <v>45443</v>
      </c>
      <c r="B2332" s="29">
        <f>Cours_Hist_figé!B2396/Cours_Hist_figé!B2332 - 1</f>
        <v>5.7560002296293211E-2</v>
      </c>
      <c r="C2332" s="29">
        <f>Cours_Hist_figé!C2396/Cours_Hist_figé!C2332 - 1</f>
        <v>-2.4172829330267875E-3</v>
      </c>
      <c r="D2332" s="29">
        <f>Cours_Hist_figé!D2396/Cours_Hist_figé!D2332 - 1</f>
        <v>9.8041633225076641E-3</v>
      </c>
      <c r="E2332" s="29">
        <f>Cours_Hist_figé!E2396/Cours_Hist_figé!E2332 - 1</f>
        <v>9.5947587864988471E-3</v>
      </c>
    </row>
    <row r="2333" spans="1:5" x14ac:dyDescent="0.4">
      <c r="A2333" s="27">
        <v>45446</v>
      </c>
      <c r="B2333" s="29">
        <f>Cours_Hist_figé!B2397/Cours_Hist_figé!B2333 - 1</f>
        <v>6.3064354619015939E-2</v>
      </c>
      <c r="C2333" s="29">
        <f>Cours_Hist_figé!C2397/Cours_Hist_figé!C2333 - 1</f>
        <v>-3.8583727282255342E-3</v>
      </c>
      <c r="D2333" s="29">
        <f>Cours_Hist_figé!D2397/Cours_Hist_figé!D2333 - 1</f>
        <v>1.0026909726897237E-2</v>
      </c>
      <c r="E2333" s="29">
        <f>Cours_Hist_figé!E2397/Cours_Hist_figé!E2333 - 1</f>
        <v>9.8127149891149568E-3</v>
      </c>
    </row>
    <row r="2334" spans="1:5" x14ac:dyDescent="0.4">
      <c r="A2334" s="27">
        <v>45447</v>
      </c>
      <c r="B2334" s="29">
        <f>Cours_Hist_figé!B2398/Cours_Hist_figé!B2334 - 1</f>
        <v>5.4407509681649646E-2</v>
      </c>
      <c r="C2334" s="29">
        <f>Cours_Hist_figé!C2398/Cours_Hist_figé!C2334 - 1</f>
        <v>-1.5094470933914028E-3</v>
      </c>
      <c r="D2334" s="29">
        <f>Cours_Hist_figé!D2398/Cours_Hist_figé!D2334 - 1</f>
        <v>1.0027006743059674E-2</v>
      </c>
      <c r="E2334" s="29">
        <f>Cours_Hist_figé!E2398/Cours_Hist_figé!E2334 - 1</f>
        <v>9.8127784605770429E-3</v>
      </c>
    </row>
    <row r="2335" spans="1:5" x14ac:dyDescent="0.4">
      <c r="A2335" s="27">
        <v>45448</v>
      </c>
      <c r="B2335" s="29">
        <f>Cours_Hist_figé!B2399/Cours_Hist_figé!B2335 - 1</f>
        <v>5.115210238813539E-2</v>
      </c>
      <c r="C2335" s="29">
        <f>Cours_Hist_figé!C2399/Cours_Hist_figé!C2335 - 1</f>
        <v>-1.827607929202113E-3</v>
      </c>
      <c r="D2335" s="29">
        <f>Cours_Hist_figé!D2399/Cours_Hist_figé!D2335 - 1</f>
        <v>1.002721015669028E-2</v>
      </c>
      <c r="E2335" s="29">
        <f>Cours_Hist_figé!E2399/Cours_Hist_figé!E2335 - 1</f>
        <v>9.8129504308146487E-3</v>
      </c>
    </row>
    <row r="2336" spans="1:5" x14ac:dyDescent="0.4">
      <c r="A2336" s="27">
        <v>45449</v>
      </c>
      <c r="B2336" s="29">
        <f>Cours_Hist_figé!B2400/Cours_Hist_figé!B2336 - 1</f>
        <v>5.8759277909692154E-2</v>
      </c>
      <c r="C2336" s="29">
        <f>Cours_Hist_figé!C2400/Cours_Hist_figé!C2336 - 1</f>
        <v>-7.2003651269944013E-3</v>
      </c>
      <c r="D2336" s="29">
        <f>Cours_Hist_figé!D2400/Cours_Hist_figé!D2336 - 1</f>
        <v>1.0027404935343487E-2</v>
      </c>
      <c r="E2336" s="29">
        <f>Cours_Hist_figé!E2400/Cours_Hist_figé!E2336 - 1</f>
        <v>9.813082474744439E-3</v>
      </c>
    </row>
    <row r="2337" spans="1:5" x14ac:dyDescent="0.4">
      <c r="A2337" s="27">
        <v>45450</v>
      </c>
      <c r="B2337" s="29">
        <f>Cours_Hist_figé!B2401/Cours_Hist_figé!B2337 - 1</f>
        <v>6.0683548669391962E-2</v>
      </c>
      <c r="C2337" s="29">
        <f>Cours_Hist_figé!C2401/Cours_Hist_figé!C2337 - 1</f>
        <v>-9.3323807215400789E-3</v>
      </c>
      <c r="D2337" s="29">
        <f>Cours_Hist_figé!D2401/Cours_Hist_figé!D2337 - 1</f>
        <v>9.8035585971154582E-3</v>
      </c>
      <c r="E2337" s="29">
        <f>Cours_Hist_figé!E2401/Cours_Hist_figé!E2337 - 1</f>
        <v>9.5940803222207549E-3</v>
      </c>
    </row>
    <row r="2338" spans="1:5" x14ac:dyDescent="0.4">
      <c r="A2338" s="27">
        <v>45453</v>
      </c>
      <c r="B2338" s="29">
        <f>Cours_Hist_figé!B2402/Cours_Hist_figé!B2338 - 1</f>
        <v>4.7495192631023864E-2</v>
      </c>
      <c r="C2338" s="29">
        <f>Cours_Hist_figé!C2402/Cours_Hist_figé!C2338 - 1</f>
        <v>-1.3492365103856874E-2</v>
      </c>
      <c r="D2338" s="29">
        <f>Cours_Hist_figé!D2402/Cours_Hist_figé!D2338 - 1</f>
        <v>1.0028012182054846E-2</v>
      </c>
      <c r="E2338" s="29">
        <f>Cours_Hist_figé!E2402/Cours_Hist_figé!E2338 - 1</f>
        <v>9.8136991683104302E-3</v>
      </c>
    </row>
    <row r="2339" spans="1:5" x14ac:dyDescent="0.4">
      <c r="A2339" s="27">
        <v>45454</v>
      </c>
      <c r="B2339" s="29">
        <f>Cours_Hist_figé!B2403/Cours_Hist_figé!B2339 - 1</f>
        <v>3.6247946931015074E-2</v>
      </c>
      <c r="C2339" s="29">
        <f>Cours_Hist_figé!C2403/Cours_Hist_figé!C2339 - 1</f>
        <v>-1.1031065942362361E-2</v>
      </c>
      <c r="D2339" s="29">
        <f>Cours_Hist_figé!D2403/Cours_Hist_figé!D2339 - 1</f>
        <v>1.0028222138273701E-2</v>
      </c>
      <c r="E2339" s="29">
        <f>Cours_Hist_figé!E2403/Cours_Hist_figé!E2339 - 1</f>
        <v>9.8138994431042903E-3</v>
      </c>
    </row>
    <row r="2340" spans="1:5" x14ac:dyDescent="0.4">
      <c r="A2340" s="27">
        <v>45455</v>
      </c>
      <c r="B2340" s="29">
        <f>Cours_Hist_figé!B2404/Cours_Hist_figé!B2340 - 1</f>
        <v>4.8103905457761886E-2</v>
      </c>
      <c r="C2340" s="29">
        <f>Cours_Hist_figé!C2404/Cours_Hist_figé!C2340 - 1</f>
        <v>-1.7532982248440465E-3</v>
      </c>
      <c r="D2340" s="29">
        <f>Cours_Hist_figé!D2404/Cours_Hist_figé!D2340 - 1</f>
        <v>1.0028214456974327E-2</v>
      </c>
      <c r="E2340" s="29">
        <f>Cours_Hist_figé!E2404/Cours_Hist_figé!E2340 - 1</f>
        <v>9.8139530992868984E-3</v>
      </c>
    </row>
    <row r="2341" spans="1:5" x14ac:dyDescent="0.4">
      <c r="A2341" s="27">
        <v>45456</v>
      </c>
      <c r="B2341" s="29">
        <f>Cours_Hist_figé!B2405/Cours_Hist_figé!B2341 - 1</f>
        <v>3.8356464541472235E-2</v>
      </c>
      <c r="C2341" s="29">
        <f>Cours_Hist_figé!C2405/Cours_Hist_figé!C2341 - 1</f>
        <v>-1.02771335056695E-3</v>
      </c>
      <c r="D2341" s="29">
        <f>Cours_Hist_figé!D2405/Cours_Hist_figé!D2341 - 1</f>
        <v>1.0021350020800623E-2</v>
      </c>
      <c r="E2341" s="29">
        <f>Cours_Hist_figé!E2405/Cours_Hist_figé!E2341 - 1</f>
        <v>9.8070522198692167E-3</v>
      </c>
    </row>
    <row r="2342" spans="1:5" x14ac:dyDescent="0.4">
      <c r="A2342" s="27">
        <v>45457</v>
      </c>
      <c r="B2342" s="29">
        <f>Cours_Hist_figé!B2406/Cours_Hist_figé!B2342 - 1</f>
        <v>3.0646661712200984E-2</v>
      </c>
      <c r="C2342" s="29">
        <f>Cours_Hist_figé!C2406/Cours_Hist_figé!C2342 - 1</f>
        <v>4.748516780306522E-3</v>
      </c>
      <c r="D2342" s="29">
        <f>Cours_Hist_figé!D2406/Cours_Hist_figé!D2342 - 1</f>
        <v>9.7904409841662599E-3</v>
      </c>
      <c r="E2342" s="29">
        <f>Cours_Hist_figé!E2406/Cours_Hist_figé!E2342 - 1</f>
        <v>9.5808832583152981E-3</v>
      </c>
    </row>
    <row r="2343" spans="1:5" x14ac:dyDescent="0.4">
      <c r="A2343" s="27">
        <v>45460</v>
      </c>
      <c r="B2343" s="29">
        <f>Cours_Hist_figé!B2407/Cours_Hist_figé!B2343 - 1</f>
        <v>2.8879103543922202E-2</v>
      </c>
      <c r="C2343" s="29">
        <f>Cours_Hist_figé!C2407/Cours_Hist_figé!C2343 - 1</f>
        <v>1.5317713887563755E-3</v>
      </c>
      <c r="D2343" s="29">
        <f>Cours_Hist_figé!D2407/Cours_Hist_figé!D2343 - 1</f>
        <v>9.9936818234294122E-3</v>
      </c>
      <c r="E2343" s="29">
        <f>Cours_Hist_figé!E2407/Cours_Hist_figé!E2343 - 1</f>
        <v>9.7793256691451891E-3</v>
      </c>
    </row>
    <row r="2344" spans="1:5" x14ac:dyDescent="0.4">
      <c r="A2344" s="27">
        <v>45461</v>
      </c>
      <c r="B2344" s="29">
        <f>Cours_Hist_figé!B2408/Cours_Hist_figé!B2344 - 1</f>
        <v>3.5704930160957771E-2</v>
      </c>
      <c r="C2344" s="29">
        <f>Cours_Hist_figé!C2408/Cours_Hist_figé!C2344 - 1</f>
        <v>3.5782133185269238E-3</v>
      </c>
      <c r="D2344" s="29">
        <f>Cours_Hist_figé!D2408/Cours_Hist_figé!D2344 - 1</f>
        <v>9.9868168922476741E-3</v>
      </c>
      <c r="E2344" s="29">
        <f>Cours_Hist_figé!E2408/Cours_Hist_figé!E2344 - 1</f>
        <v>9.7724317207965594E-3</v>
      </c>
    </row>
    <row r="2345" spans="1:5" x14ac:dyDescent="0.4">
      <c r="A2345" s="27">
        <v>45462</v>
      </c>
      <c r="B2345" s="29">
        <f>Cours_Hist_figé!B2409/Cours_Hist_figé!B2345 - 1</f>
        <v>2.4793660695611619E-2</v>
      </c>
      <c r="C2345" s="29">
        <f>Cours_Hist_figé!C2409/Cours_Hist_figé!C2345 - 1</f>
        <v>3.485791049542275E-4</v>
      </c>
      <c r="D2345" s="29">
        <f>Cours_Hist_figé!D2409/Cours_Hist_figé!D2345 - 1</f>
        <v>9.9800503378106864E-3</v>
      </c>
      <c r="E2345" s="29">
        <f>Cours_Hist_figé!E2409/Cours_Hist_figé!E2345 - 1</f>
        <v>9.7656362764166893E-3</v>
      </c>
    </row>
    <row r="2346" spans="1:5" x14ac:dyDescent="0.4">
      <c r="A2346" s="27">
        <v>45463</v>
      </c>
      <c r="B2346" s="29">
        <f>Cours_Hist_figé!B2410/Cours_Hist_figé!B2346 - 1</f>
        <v>3.3921238634087691E-2</v>
      </c>
      <c r="C2346" s="29">
        <f>Cours_Hist_figé!C2410/Cours_Hist_figé!C2346 - 1</f>
        <v>-4.1809783252397814E-3</v>
      </c>
      <c r="D2346" s="29">
        <f>Cours_Hist_figé!D2410/Cours_Hist_figé!D2346 - 1</f>
        <v>9.973180761852829E-3</v>
      </c>
      <c r="E2346" s="29">
        <f>Cours_Hist_figé!E2410/Cours_Hist_figé!E2346 - 1</f>
        <v>9.7587939982728411E-3</v>
      </c>
    </row>
    <row r="2347" spans="1:5" x14ac:dyDescent="0.4">
      <c r="A2347" s="27">
        <v>45464</v>
      </c>
      <c r="B2347" s="29">
        <f>Cours_Hist_figé!B2411/Cours_Hist_figé!B2347 - 1</f>
        <v>2.5770072881426076E-2</v>
      </c>
      <c r="C2347" s="29">
        <f>Cours_Hist_figé!C2411/Cours_Hist_figé!C2347 - 1</f>
        <v>-5.8882321897946177E-4</v>
      </c>
      <c r="D2347" s="29">
        <f>Cours_Hist_figé!D2411/Cours_Hist_figé!D2347 - 1</f>
        <v>9.7422855344657666E-3</v>
      </c>
      <c r="E2347" s="29">
        <f>Cours_Hist_figé!E2411/Cours_Hist_figé!E2347 - 1</f>
        <v>9.5326837724398761E-3</v>
      </c>
    </row>
    <row r="2348" spans="1:5" x14ac:dyDescent="0.4">
      <c r="A2348" s="27">
        <v>45467</v>
      </c>
      <c r="B2348" s="29">
        <f>Cours_Hist_figé!B2412/Cours_Hist_figé!B2348 - 1</f>
        <v>3.0814010059860841E-2</v>
      </c>
      <c r="C2348" s="29">
        <f>Cours_Hist_figé!C2412/Cours_Hist_figé!C2348 - 1</f>
        <v>-1.7214628239446972E-3</v>
      </c>
      <c r="D2348" s="29">
        <f>Cours_Hist_figé!D2412/Cours_Hist_figé!D2348 - 1</f>
        <v>9.9457159077436241E-3</v>
      </c>
      <c r="E2348" s="29">
        <f>Cours_Hist_figé!E2412/Cours_Hist_figé!E2348 - 1</f>
        <v>9.7312809880514273E-3</v>
      </c>
    </row>
    <row r="2349" spans="1:5" x14ac:dyDescent="0.4">
      <c r="A2349" s="27">
        <v>45468</v>
      </c>
      <c r="B2349" s="29">
        <f>Cours_Hist_figé!B2413/Cours_Hist_figé!B2349 - 1</f>
        <v>2.7614372940098608E-2</v>
      </c>
      <c r="C2349" s="29">
        <f>Cours_Hist_figé!C2413/Cours_Hist_figé!C2349 - 1</f>
        <v>-4.1839078129737306E-3</v>
      </c>
      <c r="D2349" s="29">
        <f>Cours_Hist_figé!D2413/Cours_Hist_figé!D2349 - 1</f>
        <v>9.9388533524731315E-3</v>
      </c>
      <c r="E2349" s="29">
        <f>Cours_Hist_figé!E2413/Cours_Hist_figé!E2349 - 1</f>
        <v>9.7244651972987484E-3</v>
      </c>
    </row>
    <row r="2350" spans="1:5" x14ac:dyDescent="0.4">
      <c r="A2350" s="27">
        <v>45469</v>
      </c>
      <c r="B2350" s="29">
        <f>Cours_Hist_figé!B2414/Cours_Hist_figé!B2350 - 1</f>
        <v>2.0067526283157111E-2</v>
      </c>
      <c r="C2350" s="29">
        <f>Cours_Hist_figé!C2414/Cours_Hist_figé!C2350 - 1</f>
        <v>-6.6852233540516393E-3</v>
      </c>
      <c r="D2350" s="29">
        <f>Cours_Hist_figé!D2414/Cours_Hist_figé!D2350 - 1</f>
        <v>9.9319922449785381E-3</v>
      </c>
      <c r="E2350" s="29">
        <f>Cours_Hist_figé!E2414/Cours_Hist_figé!E2350 - 1</f>
        <v>9.7176507908827148E-3</v>
      </c>
    </row>
    <row r="2351" spans="1:5" x14ac:dyDescent="0.4">
      <c r="A2351" s="27">
        <v>45470</v>
      </c>
      <c r="B2351" s="29">
        <f>Cours_Hist_figé!B2415/Cours_Hist_figé!B2351 - 1</f>
        <v>1.5477900830342284E-2</v>
      </c>
      <c r="C2351" s="29">
        <f>Cours_Hist_figé!C2415/Cours_Hist_figé!C2351 - 1</f>
        <v>-7.274536881944238E-3</v>
      </c>
      <c r="D2351" s="29">
        <f>Cours_Hist_figé!D2415/Cours_Hist_figé!D2351 - 1</f>
        <v>9.4785763974976067E-3</v>
      </c>
      <c r="E2351" s="29">
        <f>Cours_Hist_figé!E2415/Cours_Hist_figé!E2351 - 1</f>
        <v>9.2737856661821993E-3</v>
      </c>
    </row>
    <row r="2352" spans="1:5" x14ac:dyDescent="0.4">
      <c r="A2352" s="27">
        <v>45471</v>
      </c>
      <c r="B2352" s="29">
        <f>Cours_Hist_figé!B2416/Cours_Hist_figé!B2352 - 1</f>
        <v>1.3526562213266091E-2</v>
      </c>
      <c r="C2352" s="29">
        <f>Cours_Hist_figé!C2416/Cours_Hist_figé!C2352 - 1</f>
        <v>-8.8425894048602682E-3</v>
      </c>
      <c r="D2352" s="29">
        <f>Cours_Hist_figé!D2416/Cours_Hist_figé!D2352 - 1</f>
        <v>9.5836639922857181E-3</v>
      </c>
      <c r="E2352" s="29">
        <f>Cours_Hist_figé!E2416/Cours_Hist_figé!E2352 - 1</f>
        <v>9.3764576728803117E-3</v>
      </c>
    </row>
    <row r="2353" spans="1:5" x14ac:dyDescent="0.4">
      <c r="A2353" s="27">
        <v>45474</v>
      </c>
      <c r="B2353" s="29">
        <f>Cours_Hist_figé!B2417/Cours_Hist_figé!B2353 - 1</f>
        <v>2.4284881598945374E-2</v>
      </c>
      <c r="C2353" s="29">
        <f>Cours_Hist_figé!C2417/Cours_Hist_figé!C2353 - 1</f>
        <v>-6.236108389523265E-3</v>
      </c>
      <c r="D2353" s="29">
        <f>Cours_Hist_figé!D2417/Cours_Hist_figé!D2353 - 1</f>
        <v>9.8984502226877602E-3</v>
      </c>
      <c r="E2353" s="29">
        <f>Cours_Hist_figé!E2417/Cours_Hist_figé!E2353 - 1</f>
        <v>9.6839786308269282E-3</v>
      </c>
    </row>
    <row r="2354" spans="1:5" x14ac:dyDescent="0.4">
      <c r="A2354" s="27">
        <v>45475</v>
      </c>
      <c r="B2354" s="29">
        <f>Cours_Hist_figé!B2418/Cours_Hist_figé!B2354 - 1</f>
        <v>1.7438075667003172E-2</v>
      </c>
      <c r="C2354" s="29">
        <f>Cours_Hist_figé!C2418/Cours_Hist_figé!C2354 - 1</f>
        <v>-5.1325519589054958E-3</v>
      </c>
      <c r="D2354" s="29">
        <f>Cours_Hist_figé!D2418/Cours_Hist_figé!D2354 - 1</f>
        <v>9.8916866800857761E-3</v>
      </c>
      <c r="E2354" s="29">
        <f>Cours_Hist_figé!E2418/Cours_Hist_figé!E2354 - 1</f>
        <v>9.6772111131491201E-3</v>
      </c>
    </row>
    <row r="2355" spans="1:5" x14ac:dyDescent="0.4">
      <c r="A2355" s="27">
        <v>45476</v>
      </c>
      <c r="B2355" s="29">
        <f>Cours_Hist_figé!B2419/Cours_Hist_figé!B2355 - 1</f>
        <v>2.2851371169654744E-2</v>
      </c>
      <c r="C2355" s="29">
        <f>Cours_Hist_figé!C2419/Cours_Hist_figé!C2355 - 1</f>
        <v>-5.0428735276447645E-3</v>
      </c>
      <c r="D2355" s="29">
        <f>Cours_Hist_figé!D2419/Cours_Hist_figé!D2355 - 1</f>
        <v>9.8847226055107651E-3</v>
      </c>
      <c r="E2355" s="29">
        <f>Cours_Hist_figé!E2419/Cours_Hist_figé!E2355 - 1</f>
        <v>9.670230146155312E-3</v>
      </c>
    </row>
    <row r="2356" spans="1:5" x14ac:dyDescent="0.4">
      <c r="A2356" s="27">
        <v>45477</v>
      </c>
      <c r="B2356" s="29">
        <f>Cours_Hist_figé!B2420/Cours_Hist_figé!B2356 - 1</f>
        <v>3.7355794473397541E-2</v>
      </c>
      <c r="C2356" s="29">
        <f>Cours_Hist_figé!C2420/Cours_Hist_figé!C2356 - 1</f>
        <v>-3.5211985410660285E-3</v>
      </c>
      <c r="D2356" s="29">
        <f>Cours_Hist_figé!D2420/Cours_Hist_figé!D2356 - 1</f>
        <v>9.8777524122892757E-3</v>
      </c>
      <c r="E2356" s="29">
        <f>Cours_Hist_figé!E2420/Cours_Hist_figé!E2356 - 1</f>
        <v>9.6632503205671405E-3</v>
      </c>
    </row>
    <row r="2357" spans="1:5" x14ac:dyDescent="0.4">
      <c r="A2357" s="27">
        <v>45478</v>
      </c>
      <c r="B2357" s="29">
        <f>Cours_Hist_figé!B2421/Cours_Hist_figé!B2357 - 1</f>
        <v>3.0475930630075254E-2</v>
      </c>
      <c r="C2357" s="29">
        <f>Cours_Hist_figé!C2421/Cours_Hist_figé!C2357 - 1</f>
        <v>1.1790336940873392E-3</v>
      </c>
      <c r="D2357" s="29">
        <f>Cours_Hist_figé!D2421/Cours_Hist_figé!D2357 - 1</f>
        <v>9.6469748062339988E-3</v>
      </c>
      <c r="E2357" s="29">
        <f>Cours_Hist_figé!E2421/Cours_Hist_figé!E2357 - 1</f>
        <v>9.4373267877121414E-3</v>
      </c>
    </row>
    <row r="2358" spans="1:5" x14ac:dyDescent="0.4">
      <c r="A2358" s="27">
        <v>45481</v>
      </c>
      <c r="B2358" s="29">
        <f>Cours_Hist_figé!B2422/Cours_Hist_figé!B2358 - 1</f>
        <v>3.5998388576909068E-2</v>
      </c>
      <c r="C2358" s="29">
        <f>Cours_Hist_figé!C2422/Cours_Hist_figé!C2358 - 1</f>
        <v>-1.3022117702841118E-3</v>
      </c>
      <c r="D2358" s="29">
        <f>Cours_Hist_figé!D2422/Cours_Hist_figé!D2358 - 1</f>
        <v>9.8502921835867951E-3</v>
      </c>
      <c r="E2358" s="29">
        <f>Cours_Hist_figé!E2422/Cours_Hist_figé!E2358 - 1</f>
        <v>9.6358548644894793E-3</v>
      </c>
    </row>
    <row r="2359" spans="1:5" x14ac:dyDescent="0.4">
      <c r="A2359" s="27">
        <v>45482</v>
      </c>
      <c r="B2359" s="29">
        <f>Cours_Hist_figé!B2423/Cours_Hist_figé!B2359 - 1</f>
        <v>2.5146422669388491E-2</v>
      </c>
      <c r="C2359" s="29">
        <f>Cours_Hist_figé!C2423/Cours_Hist_figé!C2359 - 1</f>
        <v>-1.298713984363542E-3</v>
      </c>
      <c r="D2359" s="29">
        <f>Cours_Hist_figé!D2423/Cours_Hist_figé!D2359 - 1</f>
        <v>9.8434268270448655E-3</v>
      </c>
      <c r="E2359" s="29">
        <f>Cours_Hist_figé!E2423/Cours_Hist_figé!E2359 - 1</f>
        <v>9.628931332249957E-3</v>
      </c>
    </row>
    <row r="2360" spans="1:5" x14ac:dyDescent="0.4">
      <c r="A2360" s="27">
        <v>45483</v>
      </c>
      <c r="B2360" s="29">
        <f>Cours_Hist_figé!B2424/Cours_Hist_figé!B2360 - 1</f>
        <v>3.7799774050419011E-2</v>
      </c>
      <c r="C2360" s="29">
        <f>Cours_Hist_figé!C2424/Cours_Hist_figé!C2360 - 1</f>
        <v>5.4938451034027835E-3</v>
      </c>
      <c r="D2360" s="29">
        <f>Cours_Hist_figé!D2424/Cours_Hist_figé!D2360 - 1</f>
        <v>9.8365554078156947E-3</v>
      </c>
      <c r="E2360" s="29">
        <f>Cours_Hist_figé!E2424/Cours_Hist_figé!E2360 - 1</f>
        <v>9.6220581645332093E-3</v>
      </c>
    </row>
    <row r="2361" spans="1:5" x14ac:dyDescent="0.4">
      <c r="A2361" s="27">
        <v>45484</v>
      </c>
      <c r="B2361" s="29">
        <f>Cours_Hist_figé!B2425/Cours_Hist_figé!B2361 - 1</f>
        <v>4.1198435818063484E-2</v>
      </c>
      <c r="C2361" s="29">
        <f>Cours_Hist_figé!C2425/Cours_Hist_figé!C2361 - 1</f>
        <v>2.8564730217761625E-3</v>
      </c>
      <c r="D2361" s="29">
        <f>Cours_Hist_figé!D2425/Cours_Hist_figé!D2361 - 1</f>
        <v>9.8296928771381964E-3</v>
      </c>
      <c r="E2361" s="29">
        <f>Cours_Hist_figé!E2425/Cours_Hist_figé!E2361 - 1</f>
        <v>9.6152251814018985E-3</v>
      </c>
    </row>
    <row r="2362" spans="1:5" x14ac:dyDescent="0.4">
      <c r="A2362" s="27">
        <v>45485</v>
      </c>
      <c r="B2362" s="29">
        <f>Cours_Hist_figé!B2426/Cours_Hist_figé!B2362 - 1</f>
        <v>4.9212583479938399E-2</v>
      </c>
      <c r="C2362" s="29">
        <f>Cours_Hist_figé!C2426/Cours_Hist_figé!C2362 - 1</f>
        <v>6.1551429445085848E-3</v>
      </c>
      <c r="D2362" s="29">
        <f>Cours_Hist_figé!D2426/Cours_Hist_figé!D2362 - 1</f>
        <v>9.5987191080153522E-3</v>
      </c>
      <c r="E2362" s="29">
        <f>Cours_Hist_figé!E2426/Cours_Hist_figé!E2362 - 1</f>
        <v>9.3890284562399007E-3</v>
      </c>
    </row>
    <row r="2363" spans="1:5" x14ac:dyDescent="0.4">
      <c r="A2363" s="27">
        <v>45488</v>
      </c>
      <c r="B2363" s="29">
        <f>Cours_Hist_figé!B2427/Cours_Hist_figé!B2363 - 1</f>
        <v>5.3792002367111902E-2</v>
      </c>
      <c r="C2363" s="29">
        <f>Cours_Hist_figé!C2427/Cours_Hist_figé!C2363 - 1</f>
        <v>1.2219840994325493E-2</v>
      </c>
      <c r="D2363" s="29">
        <f>Cours_Hist_figé!D2427/Cours_Hist_figé!D2363 - 1</f>
        <v>9.8019278562140322E-3</v>
      </c>
      <c r="E2363" s="29">
        <f>Cours_Hist_figé!E2427/Cours_Hist_figé!E2363 - 1</f>
        <v>9.587410509113159E-3</v>
      </c>
    </row>
    <row r="2364" spans="1:5" x14ac:dyDescent="0.4">
      <c r="A2364" s="27">
        <v>45489</v>
      </c>
      <c r="B2364" s="29">
        <f>Cours_Hist_figé!B2428/Cours_Hist_figé!B2364 - 1</f>
        <v>5.0394298538033011E-2</v>
      </c>
      <c r="C2364" s="29">
        <f>Cours_Hist_figé!C2428/Cours_Hist_figé!C2364 - 1</f>
        <v>1.2254734832341629E-2</v>
      </c>
      <c r="D2364" s="29">
        <f>Cours_Hist_figé!D2428/Cours_Hist_figé!D2364 - 1</f>
        <v>9.7949598592037557E-3</v>
      </c>
      <c r="E2364" s="29">
        <f>Cours_Hist_figé!E2428/Cours_Hist_figé!E2364 - 1</f>
        <v>9.5803991853022907E-3</v>
      </c>
    </row>
    <row r="2365" spans="1:5" x14ac:dyDescent="0.4">
      <c r="A2365" s="27">
        <v>45490</v>
      </c>
      <c r="B2365" s="29">
        <f>Cours_Hist_figé!B2429/Cours_Hist_figé!B2365 - 1</f>
        <v>4.2921096621044263E-2</v>
      </c>
      <c r="C2365" s="29">
        <f>Cours_Hist_figé!C2429/Cours_Hist_figé!C2365 - 1</f>
        <v>1.35017360289027E-2</v>
      </c>
      <c r="D2365" s="29">
        <f>Cours_Hist_figé!D2429/Cours_Hist_figé!D2365 - 1</f>
        <v>9.7880983431049007E-3</v>
      </c>
      <c r="E2365" s="29">
        <f>Cours_Hist_figé!E2429/Cours_Hist_figé!E2365 - 1</f>
        <v>9.5734967195533205E-3</v>
      </c>
    </row>
    <row r="2366" spans="1:5" x14ac:dyDescent="0.4">
      <c r="A2366" s="27">
        <v>45491</v>
      </c>
      <c r="B2366" s="29">
        <f>Cours_Hist_figé!B2430/Cours_Hist_figé!B2366 - 1</f>
        <v>4.109985928813642E-2</v>
      </c>
      <c r="C2366" s="29">
        <f>Cours_Hist_figé!C2430/Cours_Hist_figé!C2366 - 1</f>
        <v>1.5877652645919671E-2</v>
      </c>
      <c r="D2366" s="29">
        <f>Cours_Hist_figé!D2430/Cours_Hist_figé!D2366 - 1</f>
        <v>9.7812307709936874E-3</v>
      </c>
      <c r="E2366" s="29">
        <f>Cours_Hist_figé!E2430/Cours_Hist_figé!E2366 - 1</f>
        <v>9.5665662209656332E-3</v>
      </c>
    </row>
    <row r="2367" spans="1:5" x14ac:dyDescent="0.4">
      <c r="A2367" s="27">
        <v>45492</v>
      </c>
      <c r="B2367" s="29">
        <f>Cours_Hist_figé!B2431/Cours_Hist_figé!B2367 - 1</f>
        <v>2.5682496654271025E-2</v>
      </c>
      <c r="C2367" s="29">
        <f>Cours_Hist_figé!C2431/Cours_Hist_figé!C2367 - 1</f>
        <v>1.0698015125088611E-2</v>
      </c>
      <c r="D2367" s="29">
        <f>Cours_Hist_figé!D2431/Cours_Hist_figé!D2367 - 1</f>
        <v>9.5502716196402826E-3</v>
      </c>
      <c r="E2367" s="29">
        <f>Cours_Hist_figé!E2431/Cours_Hist_figé!E2367 - 1</f>
        <v>9.3404192704009681E-3</v>
      </c>
    </row>
    <row r="2368" spans="1:5" x14ac:dyDescent="0.4">
      <c r="A2368" s="27">
        <v>45495</v>
      </c>
      <c r="B2368" s="29">
        <f>Cours_Hist_figé!B2432/Cours_Hist_figé!B2368 - 1</f>
        <v>2.417014224321079E-2</v>
      </c>
      <c r="C2368" s="29">
        <f>Cours_Hist_figé!C2432/Cours_Hist_figé!C2368 - 1</f>
        <v>1.0438777302105962E-2</v>
      </c>
      <c r="D2368" s="29">
        <f>Cours_Hist_figé!D2432/Cours_Hist_figé!D2368 - 1</f>
        <v>9.7534747852461301E-3</v>
      </c>
      <c r="E2368" s="29">
        <f>Cours_Hist_figé!E2432/Cours_Hist_figé!E2368 - 1</f>
        <v>9.5388770694291303E-3</v>
      </c>
    </row>
    <row r="2369" spans="1:5" x14ac:dyDescent="0.4">
      <c r="A2369" s="27">
        <v>45496</v>
      </c>
      <c r="B2369" s="29">
        <f>Cours_Hist_figé!B2433/Cours_Hist_figé!B2369 - 1</f>
        <v>2.9415758275237236E-2</v>
      </c>
      <c r="C2369" s="29">
        <f>Cours_Hist_figé!C2433/Cours_Hist_figé!C2369 - 1</f>
        <v>1.6722456739489466E-2</v>
      </c>
      <c r="D2369" s="29">
        <f>Cours_Hist_figé!D2433/Cours_Hist_figé!D2369 - 1</f>
        <v>9.7465993509020521E-3</v>
      </c>
      <c r="E2369" s="29">
        <f>Cours_Hist_figé!E2433/Cours_Hist_figé!E2369 - 1</f>
        <v>9.5320312839013432E-3</v>
      </c>
    </row>
    <row r="2370" spans="1:5" x14ac:dyDescent="0.4">
      <c r="A2370" s="27">
        <v>45497</v>
      </c>
      <c r="B2370" s="29">
        <f>Cours_Hist_figé!B2434/Cours_Hist_figé!B2370 - 1</f>
        <v>2.9089783772577205E-2</v>
      </c>
      <c r="C2370" s="29">
        <f>Cours_Hist_figé!C2434/Cours_Hist_figé!C2370 - 1</f>
        <v>1.8891148568266125E-2</v>
      </c>
      <c r="D2370" s="29">
        <f>Cours_Hist_figé!D2434/Cours_Hist_figé!D2370 - 1</f>
        <v>9.7397392828826312E-3</v>
      </c>
      <c r="E2370" s="29">
        <f>Cours_Hist_figé!E2434/Cours_Hist_figé!E2370 - 1</f>
        <v>9.5251377398566373E-3</v>
      </c>
    </row>
    <row r="2371" spans="1:5" x14ac:dyDescent="0.4">
      <c r="A2371" s="27">
        <v>45498</v>
      </c>
      <c r="B2371" s="29">
        <f>Cours_Hist_figé!B2435/Cours_Hist_figé!B2371 - 1</f>
        <v>9.7693057902683567E-3</v>
      </c>
      <c r="C2371" s="29">
        <f>Cours_Hist_figé!C2435/Cours_Hist_figé!C2371 - 1</f>
        <v>1.70297836186033E-2</v>
      </c>
      <c r="D2371" s="29">
        <f>Cours_Hist_figé!D2435/Cours_Hist_figé!D2371 - 1</f>
        <v>9.7329706487956358E-3</v>
      </c>
      <c r="E2371" s="29">
        <f>Cours_Hist_figé!E2435/Cours_Hist_figé!E2371 - 1</f>
        <v>9.5182944710563433E-3</v>
      </c>
    </row>
    <row r="2372" spans="1:5" x14ac:dyDescent="0.4">
      <c r="A2372" s="27">
        <v>45499</v>
      </c>
      <c r="B2372" s="29">
        <f>Cours_Hist_figé!B2436/Cours_Hist_figé!B2372 - 1</f>
        <v>1.7388337633367223E-2</v>
      </c>
      <c r="C2372" s="29">
        <f>Cours_Hist_figé!C2436/Cours_Hist_figé!C2372 - 1</f>
        <v>1.3522467211127376E-2</v>
      </c>
      <c r="D2372" s="29">
        <f>Cours_Hist_figé!D2436/Cours_Hist_figé!D2372 - 1</f>
        <v>9.5023250022974182E-3</v>
      </c>
      <c r="E2372" s="29">
        <f>Cours_Hist_figé!E2436/Cours_Hist_figé!E2372 - 1</f>
        <v>9.2924510679368577E-3</v>
      </c>
    </row>
    <row r="2373" spans="1:5" x14ac:dyDescent="0.4">
      <c r="A2373" s="27">
        <v>45502</v>
      </c>
      <c r="B2373" s="29">
        <f>Cours_Hist_figé!B2437/Cours_Hist_figé!B2373 - 1</f>
        <v>2.1711149060155144E-2</v>
      </c>
      <c r="C2373" s="29">
        <f>Cours_Hist_figé!C2437/Cours_Hist_figé!C2373 - 1</f>
        <v>2.0460280367833983E-2</v>
      </c>
      <c r="D2373" s="29">
        <f>Cours_Hist_figé!D2437/Cours_Hist_figé!D2373 - 1</f>
        <v>9.7056208972947644E-3</v>
      </c>
      <c r="E2373" s="29">
        <f>Cours_Hist_figé!E2437/Cours_Hist_figé!E2373 - 1</f>
        <v>9.4910152317324581E-3</v>
      </c>
    </row>
    <row r="2374" spans="1:5" x14ac:dyDescent="0.4">
      <c r="A2374" s="27">
        <v>45503</v>
      </c>
      <c r="B2374" s="29">
        <f>Cours_Hist_figé!B2438/Cours_Hist_figé!B2374 - 1</f>
        <v>2.7402514370192144E-2</v>
      </c>
      <c r="C2374" s="29">
        <f>Cours_Hist_figé!C2438/Cours_Hist_figé!C2374 - 1</f>
        <v>2.173993029736998E-2</v>
      </c>
      <c r="D2374" s="29">
        <f>Cours_Hist_figé!D2438/Cours_Hist_figé!D2374 - 1</f>
        <v>9.587815442178238E-3</v>
      </c>
      <c r="E2374" s="29">
        <f>Cours_Hist_figé!E2438/Cours_Hist_figé!E2374 - 1</f>
        <v>9.3756450869524333E-3</v>
      </c>
    </row>
    <row r="2375" spans="1:5" x14ac:dyDescent="0.4">
      <c r="A2375" s="27">
        <v>45504</v>
      </c>
      <c r="B2375" s="29">
        <f>Cours_Hist_figé!B2439/Cours_Hist_figé!B2375 - 1</f>
        <v>3.7588208245463273E-2</v>
      </c>
      <c r="C2375" s="29">
        <f>Cours_Hist_figé!C2439/Cours_Hist_figé!C2375 - 1</f>
        <v>2.2076618626872158E-2</v>
      </c>
      <c r="D2375" s="29">
        <f>Cours_Hist_figé!D2439/Cours_Hist_figé!D2375 - 1</f>
        <v>9.6930141664646197E-3</v>
      </c>
      <c r="E2375" s="29">
        <f>Cours_Hist_figé!E2439/Cours_Hist_figé!E2375 - 1</f>
        <v>9.4784090863462289E-3</v>
      </c>
    </row>
    <row r="2376" spans="1:5" x14ac:dyDescent="0.4">
      <c r="A2376" s="27">
        <v>45505</v>
      </c>
      <c r="B2376" s="29">
        <f>Cours_Hist_figé!B2440/Cours_Hist_figé!B2376 - 1</f>
        <v>2.025783134352066E-2</v>
      </c>
      <c r="C2376" s="29">
        <f>Cours_Hist_figé!C2440/Cours_Hist_figé!C2376 - 1</f>
        <v>2.2183347379353124E-2</v>
      </c>
      <c r="D2376" s="29">
        <f>Cours_Hist_figé!D2440/Cours_Hist_figé!D2376 - 1</f>
        <v>9.6857421356615347E-3</v>
      </c>
      <c r="E2376" s="29">
        <f>Cours_Hist_figé!E2440/Cours_Hist_figé!E2376 - 1</f>
        <v>9.4712074372893529E-3</v>
      </c>
    </row>
    <row r="2377" spans="1:5" x14ac:dyDescent="0.4">
      <c r="A2377" s="27">
        <v>45506</v>
      </c>
      <c r="B2377" s="29">
        <f>Cours_Hist_figé!B2441/Cours_Hist_figé!B2377 - 1</f>
        <v>-1.2505776896266307E-2</v>
      </c>
      <c r="C2377" s="29">
        <f>Cours_Hist_figé!C2441/Cours_Hist_figé!C2377 - 1</f>
        <v>2.235807845421256E-2</v>
      </c>
      <c r="D2377" s="29">
        <f>Cours_Hist_figé!D2441/Cours_Hist_figé!D2377 - 1</f>
        <v>9.4550066035867797E-3</v>
      </c>
      <c r="E2377" s="29">
        <f>Cours_Hist_figé!E2441/Cours_Hist_figé!E2377 - 1</f>
        <v>9.2452670574942886E-3</v>
      </c>
    </row>
    <row r="2378" spans="1:5" x14ac:dyDescent="0.4">
      <c r="A2378" s="27">
        <v>45509</v>
      </c>
      <c r="B2378" s="29">
        <f>Cours_Hist_figé!B2442/Cours_Hist_figé!B2378 - 1</f>
        <v>-4.494109412719316E-2</v>
      </c>
      <c r="C2378" s="29">
        <f>Cours_Hist_figé!C2442/Cours_Hist_figé!C2378 - 1</f>
        <v>1.8361319948540844E-2</v>
      </c>
      <c r="D2378" s="29">
        <f>Cours_Hist_figé!D2442/Cours_Hist_figé!D2378 - 1</f>
        <v>9.6583866984860656E-3</v>
      </c>
      <c r="E2378" s="29">
        <f>Cours_Hist_figé!E2442/Cours_Hist_figé!E2378 - 1</f>
        <v>9.4438195820245596E-3</v>
      </c>
    </row>
    <row r="2379" spans="1:5" x14ac:dyDescent="0.4">
      <c r="A2379" s="27">
        <v>45510</v>
      </c>
      <c r="B2379" s="29">
        <f>Cours_Hist_figé!B2443/Cours_Hist_figé!B2379 - 1</f>
        <v>-4.546744660351798E-2</v>
      </c>
      <c r="C2379" s="29">
        <f>Cours_Hist_figé!C2443/Cours_Hist_figé!C2379 - 1</f>
        <v>2.1080696583967828E-2</v>
      </c>
      <c r="D2379" s="29">
        <f>Cours_Hist_figé!D2443/Cours_Hist_figé!D2379 - 1</f>
        <v>9.6515233882012996E-3</v>
      </c>
      <c r="E2379" s="29">
        <f>Cours_Hist_figé!E2443/Cours_Hist_figé!E2379 - 1</f>
        <v>9.4370321594383633E-3</v>
      </c>
    </row>
    <row r="2380" spans="1:5" x14ac:dyDescent="0.4">
      <c r="A2380" s="27">
        <v>45511</v>
      </c>
      <c r="B2380" s="29">
        <f>Cours_Hist_figé!B2444/Cours_Hist_figé!B2380 - 1</f>
        <v>-3.392498848796377E-2</v>
      </c>
      <c r="C2380" s="29">
        <f>Cours_Hist_figé!C2444/Cours_Hist_figé!C2380 - 1</f>
        <v>1.9416629350710979E-2</v>
      </c>
      <c r="D2380" s="29">
        <f>Cours_Hist_figé!D2444/Cours_Hist_figé!D2380 - 1</f>
        <v>9.6447589333812367E-3</v>
      </c>
      <c r="E2380" s="29">
        <f>Cours_Hist_figé!E2444/Cours_Hist_figé!E2380 - 1</f>
        <v>9.4302463917601553E-3</v>
      </c>
    </row>
    <row r="2381" spans="1:5" x14ac:dyDescent="0.4">
      <c r="A2381" s="27">
        <v>45512</v>
      </c>
      <c r="B2381" s="29">
        <f>Cours_Hist_figé!B2445/Cours_Hist_figé!B2381 - 1</f>
        <v>-4.010621072550169E-2</v>
      </c>
      <c r="C2381" s="29">
        <f>Cours_Hist_figé!C2445/Cours_Hist_figé!C2381 - 1</f>
        <v>2.0826475141227263E-2</v>
      </c>
      <c r="D2381" s="29">
        <f>Cours_Hist_figé!D2445/Cours_Hist_figé!D2381 - 1</f>
        <v>9.6381005711358991E-3</v>
      </c>
      <c r="E2381" s="29">
        <f>Cours_Hist_figé!E2445/Cours_Hist_figé!E2381 - 1</f>
        <v>9.4235790126735441E-3</v>
      </c>
    </row>
    <row r="2382" spans="1:5" x14ac:dyDescent="0.4">
      <c r="A2382" s="27">
        <v>45513</v>
      </c>
      <c r="B2382" s="29">
        <f>Cours_Hist_figé!B2446/Cours_Hist_figé!B2382 - 1</f>
        <v>-3.5358853608155494E-2</v>
      </c>
      <c r="C2382" s="29">
        <f>Cours_Hist_figé!C2446/Cours_Hist_figé!C2382 - 1</f>
        <v>2.2506123608841078E-2</v>
      </c>
      <c r="D2382" s="29">
        <f>Cours_Hist_figé!D2446/Cours_Hist_figé!D2382 - 1</f>
        <v>9.407573064814656E-3</v>
      </c>
      <c r="E2382" s="29">
        <f>Cours_Hist_figé!E2446/Cours_Hist_figé!E2382 - 1</f>
        <v>9.1978442267808269E-3</v>
      </c>
    </row>
    <row r="2383" spans="1:5" x14ac:dyDescent="0.4">
      <c r="A2383" s="27">
        <v>45516</v>
      </c>
      <c r="B2383" s="29">
        <f>Cours_Hist_figé!B2447/Cours_Hist_figé!B2383 - 1</f>
        <v>-3.7173351348268602E-2</v>
      </c>
      <c r="C2383" s="29">
        <f>Cours_Hist_figé!C2447/Cours_Hist_figé!C2383 - 1</f>
        <v>2.420887728459542E-2</v>
      </c>
      <c r="D2383" s="29">
        <f>Cours_Hist_figé!D2447/Cours_Hist_figé!D2383 - 1</f>
        <v>9.6108369105598612E-3</v>
      </c>
      <c r="E2383" s="29">
        <f>Cours_Hist_figé!E2447/Cours_Hist_figé!E2383 - 1</f>
        <v>9.3963572212838464E-3</v>
      </c>
    </row>
    <row r="2384" spans="1:5" x14ac:dyDescent="0.4">
      <c r="A2384" s="27">
        <v>45517</v>
      </c>
      <c r="B2384" s="29">
        <f>Cours_Hist_figé!B2448/Cours_Hist_figé!B2384 - 1</f>
        <v>-3.7570434023042498E-2</v>
      </c>
      <c r="C2384" s="29">
        <f>Cours_Hist_figé!C2448/Cours_Hist_figé!C2384 - 1</f>
        <v>2.0839725703315937E-2</v>
      </c>
      <c r="D2384" s="29">
        <f>Cours_Hist_figé!D2448/Cours_Hist_figé!D2384 - 1</f>
        <v>9.603975997478198E-3</v>
      </c>
      <c r="E2384" s="29">
        <f>Cours_Hist_figé!E2448/Cours_Hist_figé!E2384 - 1</f>
        <v>9.3895404494304113E-3</v>
      </c>
    </row>
    <row r="2385" spans="1:5" x14ac:dyDescent="0.4">
      <c r="A2385" s="27">
        <v>45518</v>
      </c>
      <c r="B2385" s="29">
        <f>Cours_Hist_figé!B2449/Cours_Hist_figé!B2385 - 1</f>
        <v>-3.1687062491721041E-2</v>
      </c>
      <c r="C2385" s="29">
        <f>Cours_Hist_figé!C2449/Cours_Hist_figé!C2385 - 1</f>
        <v>2.1638567033019251E-2</v>
      </c>
      <c r="D2385" s="29">
        <f>Cours_Hist_figé!D2449/Cours_Hist_figé!D2385 - 1</f>
        <v>9.5971090536539627E-3</v>
      </c>
      <c r="E2385" s="29">
        <f>Cours_Hist_figé!E2449/Cours_Hist_figé!E2385 - 1</f>
        <v>9.3826957210230155E-3</v>
      </c>
    </row>
    <row r="2386" spans="1:5" x14ac:dyDescent="0.4">
      <c r="A2386" s="27">
        <v>45519</v>
      </c>
      <c r="B2386" s="29">
        <f>Cours_Hist_figé!B2450/Cours_Hist_figé!B2386 - 1</f>
        <v>-1.8531502972209402E-2</v>
      </c>
      <c r="C2386" s="29">
        <f>Cours_Hist_figé!C2450/Cours_Hist_figé!C2386 - 1</f>
        <v>2.1081822417669205E-2</v>
      </c>
      <c r="D2386" s="29">
        <f>Cours_Hist_figé!D2450/Cours_Hist_figé!D2386 - 1</f>
        <v>9.5903482126029616E-3</v>
      </c>
      <c r="E2386" s="29">
        <f>Cours_Hist_figé!E2450/Cours_Hist_figé!E2386 - 1</f>
        <v>9.3759114335763005E-3</v>
      </c>
    </row>
    <row r="2387" spans="1:5" x14ac:dyDescent="0.4">
      <c r="A2387" s="27">
        <v>45520</v>
      </c>
      <c r="B2387" s="29">
        <f>Cours_Hist_figé!B2451/Cours_Hist_figé!B2387 - 1</f>
        <v>-1.8198070919016818E-2</v>
      </c>
      <c r="C2387" s="29">
        <f>Cours_Hist_figé!C2451/Cours_Hist_figé!C2387 - 1</f>
        <v>2.3141913460965613E-2</v>
      </c>
      <c r="D2387" s="29">
        <f>Cours_Hist_figé!D2451/Cours_Hist_figé!D2387 - 1</f>
        <v>9.3601426369807061E-3</v>
      </c>
      <c r="E2387" s="29">
        <f>Cours_Hist_figé!E2451/Cours_Hist_figé!E2387 - 1</f>
        <v>9.1505292214726364E-3</v>
      </c>
    </row>
    <row r="2388" spans="1:5" x14ac:dyDescent="0.4">
      <c r="A2388" s="27">
        <v>45523</v>
      </c>
      <c r="B2388" s="29">
        <f>Cours_Hist_figé!B2452/Cours_Hist_figé!B2388 - 1</f>
        <v>-1.095740349408747E-2</v>
      </c>
      <c r="C2388" s="29">
        <f>Cours_Hist_figé!C2452/Cours_Hist_figé!C2388 - 1</f>
        <v>2.1409377379527861E-2</v>
      </c>
      <c r="D2388" s="29">
        <f>Cours_Hist_figé!D2452/Cours_Hist_figé!D2388 - 1</f>
        <v>9.5636023763334688E-3</v>
      </c>
      <c r="E2388" s="29">
        <f>Cours_Hist_figé!E2452/Cours_Hist_figé!E2388 - 1</f>
        <v>9.3492057165329712E-3</v>
      </c>
    </row>
    <row r="2389" spans="1:5" x14ac:dyDescent="0.4">
      <c r="A2389" s="27">
        <v>45524</v>
      </c>
      <c r="B2389" s="29">
        <f>Cours_Hist_figé!B2453/Cours_Hist_figé!B2389 - 1</f>
        <v>-1.1774618927594016E-2</v>
      </c>
      <c r="C2389" s="29">
        <f>Cours_Hist_figé!C2453/Cours_Hist_figé!C2389 - 1</f>
        <v>2.5609724964259062E-2</v>
      </c>
      <c r="D2389" s="29">
        <f>Cours_Hist_figé!D2453/Cours_Hist_figé!D2389 - 1</f>
        <v>9.5566391709167586E-3</v>
      </c>
      <c r="E2389" s="29">
        <f>Cours_Hist_figé!E2453/Cours_Hist_figé!E2389 - 1</f>
        <v>9.3422523354087517E-3</v>
      </c>
    </row>
    <row r="2390" spans="1:5" x14ac:dyDescent="0.4">
      <c r="A2390" s="27">
        <v>45525</v>
      </c>
      <c r="B2390" s="29">
        <f>Cours_Hist_figé!B2454/Cours_Hist_figé!B2390 - 1</f>
        <v>-9.6094618753871375E-3</v>
      </c>
      <c r="C2390" s="29">
        <f>Cours_Hist_figé!C2454/Cours_Hist_figé!C2390 - 1</f>
        <v>3.0974489109329539E-2</v>
      </c>
      <c r="D2390" s="29">
        <f>Cours_Hist_figé!D2454/Cours_Hist_figé!D2390 - 1</f>
        <v>9.5496699653803141E-3</v>
      </c>
      <c r="E2390" s="29">
        <f>Cours_Hist_figé!E2454/Cours_Hist_figé!E2390 - 1</f>
        <v>9.3353490932477357E-3</v>
      </c>
    </row>
    <row r="2391" spans="1:5" x14ac:dyDescent="0.4">
      <c r="A2391" s="27">
        <v>45526</v>
      </c>
      <c r="B2391" s="29">
        <f>Cours_Hist_figé!B2455/Cours_Hist_figé!B2391 - 1</f>
        <v>-4.0647827491591126E-3</v>
      </c>
      <c r="C2391" s="29">
        <f>Cours_Hist_figé!C2455/Cours_Hist_figé!C2391 - 1</f>
        <v>2.7080346781350295E-2</v>
      </c>
      <c r="D2391" s="29">
        <f>Cours_Hist_figé!D2455/Cours_Hist_figé!D2391 - 1</f>
        <v>9.5427021653795574E-3</v>
      </c>
      <c r="E2391" s="29">
        <f>Cours_Hist_figé!E2455/Cours_Hist_figé!E2391 - 1</f>
        <v>9.3283695001964428E-3</v>
      </c>
    </row>
    <row r="2392" spans="1:5" x14ac:dyDescent="0.4">
      <c r="A2392" s="27">
        <v>45527</v>
      </c>
      <c r="B2392" s="29">
        <f>Cours_Hist_figé!B2456/Cours_Hist_figé!B2392 - 1</f>
        <v>-2.8690783362725902E-3</v>
      </c>
      <c r="C2392" s="29">
        <f>Cours_Hist_figé!C2456/Cours_Hist_figé!C2392 - 1</f>
        <v>2.679937245100783E-2</v>
      </c>
      <c r="D2392" s="29">
        <f>Cours_Hist_figé!D2456/Cours_Hist_figé!D2392 - 1</f>
        <v>9.3118012273791795E-3</v>
      </c>
      <c r="E2392" s="29">
        <f>Cours_Hist_figé!E2456/Cours_Hist_figé!E2392 - 1</f>
        <v>9.1023059221961855E-3</v>
      </c>
    </row>
    <row r="2393" spans="1:5" x14ac:dyDescent="0.4">
      <c r="A2393" s="27">
        <v>45530</v>
      </c>
      <c r="B2393" s="29">
        <f>Cours_Hist_figé!B2457/Cours_Hist_figé!B2393 - 1</f>
        <v>2.6702633678794552E-3</v>
      </c>
      <c r="C2393" s="29">
        <f>Cours_Hist_figé!C2457/Cours_Hist_figé!C2393 - 1</f>
        <v>2.7425148219552886E-2</v>
      </c>
      <c r="D2393" s="29">
        <f>Cours_Hist_figé!D2457/Cours_Hist_figé!D2393 - 1</f>
        <v>9.5150539092061504E-3</v>
      </c>
      <c r="E2393" s="29">
        <f>Cours_Hist_figé!E2457/Cours_Hist_figé!E2393 - 1</f>
        <v>9.3007665526418926E-3</v>
      </c>
    </row>
    <row r="2394" spans="1:5" x14ac:dyDescent="0.4">
      <c r="A2394" s="27">
        <v>45531</v>
      </c>
      <c r="B2394" s="29">
        <f>Cours_Hist_figé!B2458/Cours_Hist_figé!B2394 - 1</f>
        <v>1.5161891942490069E-2</v>
      </c>
      <c r="C2394" s="29">
        <f>Cours_Hist_figé!C2458/Cours_Hist_figé!C2394 - 1</f>
        <v>2.968914475376061E-2</v>
      </c>
      <c r="D2394" s="29">
        <f>Cours_Hist_figé!D2458/Cours_Hist_figé!D2394 - 1</f>
        <v>9.5082940152959594E-3</v>
      </c>
      <c r="E2394" s="29">
        <f>Cours_Hist_figé!E2458/Cours_Hist_figé!E2394 - 1</f>
        <v>9.293920187335436E-3</v>
      </c>
    </row>
    <row r="2395" spans="1:5" x14ac:dyDescent="0.4">
      <c r="A2395" s="27">
        <v>45532</v>
      </c>
      <c r="B2395" s="29">
        <f>Cours_Hist_figé!B2459/Cours_Hist_figé!B2395 - 1</f>
        <v>1.2415188054709425E-2</v>
      </c>
      <c r="C2395" s="29">
        <f>Cours_Hist_figé!C2459/Cours_Hist_figé!C2395 - 1</f>
        <v>3.0071752746125835E-2</v>
      </c>
      <c r="D2395" s="29">
        <f>Cours_Hist_figé!D2459/Cours_Hist_figé!D2395 - 1</f>
        <v>9.5015280813464109E-3</v>
      </c>
      <c r="E2395" s="29">
        <f>Cours_Hist_figé!E2459/Cours_Hist_figé!E2395 - 1</f>
        <v>9.287084865096551E-3</v>
      </c>
    </row>
    <row r="2396" spans="1:5" x14ac:dyDescent="0.4">
      <c r="A2396" s="27">
        <v>45533</v>
      </c>
      <c r="B2396" s="29">
        <f>Cours_Hist_figé!B2460/Cours_Hist_figé!B2396 - 1</f>
        <v>1.7140164380088807E-2</v>
      </c>
      <c r="C2396" s="29">
        <f>Cours_Hist_figé!C2460/Cours_Hist_figé!C2396 - 1</f>
        <v>2.8122712001259043E-2</v>
      </c>
      <c r="D2396" s="29">
        <f>Cours_Hist_figé!D2460/Cours_Hist_figé!D2396 - 1</f>
        <v>9.4946664253470203E-3</v>
      </c>
      <c r="E2396" s="29">
        <f>Cours_Hist_figé!E2460/Cours_Hist_figé!E2396 - 1</f>
        <v>9.2802409341972147E-3</v>
      </c>
    </row>
    <row r="2397" spans="1:5" x14ac:dyDescent="0.4">
      <c r="A2397" s="27">
        <v>45534</v>
      </c>
      <c r="B2397" s="29">
        <f>Cours_Hist_figé!B2461/Cours_Hist_figé!B2397 - 1</f>
        <v>1.4835255327694696E-2</v>
      </c>
      <c r="C2397" s="29">
        <f>Cours_Hist_figé!C2461/Cours_Hist_figé!C2397 - 1</f>
        <v>2.4270744590219717E-2</v>
      </c>
      <c r="D2397" s="29">
        <f>Cours_Hist_figé!D2461/Cours_Hist_figé!D2397 - 1</f>
        <v>9.2652810347768622E-3</v>
      </c>
      <c r="E2397" s="29">
        <f>Cours_Hist_figé!E2461/Cours_Hist_figé!E2397 - 1</f>
        <v>9.0556970527135849E-3</v>
      </c>
    </row>
    <row r="2398" spans="1:5" x14ac:dyDescent="0.4">
      <c r="A2398" s="27">
        <v>45537</v>
      </c>
      <c r="B2398" s="29">
        <f>Cours_Hist_figé!B2462/Cours_Hist_figé!B2398 - 1</f>
        <v>1.9123581616509844E-2</v>
      </c>
      <c r="C2398" s="29">
        <f>Cours_Hist_figé!C2462/Cours_Hist_figé!C2398 - 1</f>
        <v>1.9334575753261474E-2</v>
      </c>
      <c r="D2398" s="29">
        <f>Cours_Hist_figé!D2462/Cours_Hist_figé!D2398 - 1</f>
        <v>9.467618042779069E-3</v>
      </c>
      <c r="E2398" s="29">
        <f>Cours_Hist_figé!E2462/Cours_Hist_figé!E2398 - 1</f>
        <v>9.2532590047917918E-3</v>
      </c>
    </row>
    <row r="2399" spans="1:5" x14ac:dyDescent="0.4">
      <c r="A2399" s="27">
        <v>45538</v>
      </c>
      <c r="B2399" s="29">
        <f>Cours_Hist_figé!B2463/Cours_Hist_figé!B2399 - 1</f>
        <v>8.0254389512957047E-4</v>
      </c>
      <c r="C2399" s="29">
        <f>Cours_Hist_figé!C2463/Cours_Hist_figé!C2399 - 1</f>
        <v>2.0304208989192052E-2</v>
      </c>
      <c r="D2399" s="29">
        <f>Cours_Hist_figé!D2463/Cours_Hist_figé!D2399 - 1</f>
        <v>9.4606524120803837E-3</v>
      </c>
      <c r="E2399" s="29">
        <f>Cours_Hist_figé!E2463/Cours_Hist_figé!E2399 - 1</f>
        <v>9.2463252491812309E-3</v>
      </c>
    </row>
    <row r="2400" spans="1:5" x14ac:dyDescent="0.4">
      <c r="A2400" s="27">
        <v>45539</v>
      </c>
      <c r="B2400" s="29">
        <f>Cours_Hist_figé!B2464/Cours_Hist_figé!B2400 - 1</f>
        <v>-1.6420864797496271E-2</v>
      </c>
      <c r="C2400" s="29">
        <f>Cours_Hist_figé!C2464/Cours_Hist_figé!C2400 - 1</f>
        <v>2.7044313753674887E-2</v>
      </c>
      <c r="D2400" s="29">
        <f>Cours_Hist_figé!D2464/Cours_Hist_figé!D2400 - 1</f>
        <v>9.4535912440891767E-3</v>
      </c>
      <c r="E2400" s="29">
        <f>Cours_Hist_figé!E2464/Cours_Hist_figé!E2400 - 1</f>
        <v>9.2393249933926391E-3</v>
      </c>
    </row>
    <row r="2401" spans="1:5" x14ac:dyDescent="0.4">
      <c r="A2401" s="27">
        <v>45540</v>
      </c>
      <c r="B2401" s="29">
        <f>Cours_Hist_figé!B2465/Cours_Hist_figé!B2401 - 1</f>
        <v>-2.0370022615648797E-2</v>
      </c>
      <c r="C2401" s="29">
        <f>Cours_Hist_figé!C2465/Cours_Hist_figé!C2401 - 1</f>
        <v>3.1694325064635986E-2</v>
      </c>
      <c r="D2401" s="29">
        <f>Cours_Hist_figé!D2465/Cours_Hist_figé!D2401 - 1</f>
        <v>9.4466211151738033E-3</v>
      </c>
      <c r="E2401" s="29">
        <f>Cours_Hist_figé!E2465/Cours_Hist_figé!E2401 - 1</f>
        <v>9.2323748040521458E-3</v>
      </c>
    </row>
    <row r="2402" spans="1:5" x14ac:dyDescent="0.4">
      <c r="A2402" s="27">
        <v>45541</v>
      </c>
      <c r="B2402" s="29">
        <f>Cours_Hist_figé!B2466/Cours_Hist_figé!B2402 - 1</f>
        <v>-2.8323952152345511E-2</v>
      </c>
      <c r="C2402" s="29">
        <f>Cours_Hist_figé!C2466/Cours_Hist_figé!C2402 - 1</f>
        <v>3.9406559351786496E-2</v>
      </c>
      <c r="D2402" s="29">
        <f>Cours_Hist_figé!D2466/Cours_Hist_figé!D2402 - 1</f>
        <v>9.2155345048141601E-3</v>
      </c>
      <c r="E2402" s="29">
        <f>Cours_Hist_figé!E2466/Cours_Hist_figé!E2402 - 1</f>
        <v>9.0061014164957154E-3</v>
      </c>
    </row>
    <row r="2403" spans="1:5" x14ac:dyDescent="0.4">
      <c r="A2403" s="27">
        <v>45544</v>
      </c>
      <c r="B2403" s="29">
        <f>Cours_Hist_figé!B2467/Cours_Hist_figé!B2403 - 1</f>
        <v>-1.1341590238544752E-2</v>
      </c>
      <c r="C2403" s="29">
        <f>Cours_Hist_figé!C2467/Cours_Hist_figé!C2403 - 1</f>
        <v>3.8057710736894235E-2</v>
      </c>
      <c r="D2403" s="29">
        <f>Cours_Hist_figé!D2467/Cours_Hist_figé!D2403 - 1</f>
        <v>9.4186656619765774E-3</v>
      </c>
      <c r="E2403" s="29">
        <f>Cours_Hist_figé!E2467/Cours_Hist_figé!E2403 - 1</f>
        <v>9.2044235944626074E-3</v>
      </c>
    </row>
    <row r="2404" spans="1:5" x14ac:dyDescent="0.4">
      <c r="A2404" s="27">
        <v>45545</v>
      </c>
      <c r="B2404" s="29">
        <f>Cours_Hist_figé!B2468/Cours_Hist_figé!B2404 - 1</f>
        <v>-2.7086588398078648E-2</v>
      </c>
      <c r="C2404" s="29">
        <f>Cours_Hist_figé!C2468/Cours_Hist_figé!C2404 - 1</f>
        <v>3.3175218162725839E-2</v>
      </c>
      <c r="D2404" s="29">
        <f>Cours_Hist_figé!D2468/Cours_Hist_figé!D2404 - 1</f>
        <v>9.4118071203512788E-3</v>
      </c>
      <c r="E2404" s="29">
        <f>Cours_Hist_figé!E2468/Cours_Hist_figé!E2404 - 1</f>
        <v>9.1975387641145545E-3</v>
      </c>
    </row>
    <row r="2405" spans="1:5" x14ac:dyDescent="0.4">
      <c r="A2405" s="27">
        <v>45546</v>
      </c>
      <c r="B2405" s="29">
        <f>Cours_Hist_figé!B2469/Cours_Hist_figé!B2405 - 1</f>
        <v>-1.4001465392662449E-2</v>
      </c>
      <c r="C2405" s="29">
        <f>Cours_Hist_figé!C2469/Cours_Hist_figé!C2405 - 1</f>
        <v>3.6598493920707131E-2</v>
      </c>
      <c r="D2405" s="29">
        <f>Cours_Hist_figé!D2469/Cours_Hist_figé!D2405 - 1</f>
        <v>9.4118099143043477E-3</v>
      </c>
      <c r="E2405" s="29">
        <f>Cours_Hist_figé!E2469/Cours_Hist_figé!E2405 - 1</f>
        <v>9.197595340132203E-3</v>
      </c>
    </row>
    <row r="2406" spans="1:5" x14ac:dyDescent="0.4">
      <c r="A2406" s="27">
        <v>45547</v>
      </c>
      <c r="B2406" s="29">
        <f>Cours_Hist_figé!B2470/Cours_Hist_figé!B2406 - 1</f>
        <v>2.9364899512720477E-3</v>
      </c>
      <c r="C2406" s="29">
        <f>Cours_Hist_figé!C2470/Cours_Hist_figé!C2406 - 1</f>
        <v>2.7677664232586885E-2</v>
      </c>
      <c r="D2406" s="29">
        <f>Cours_Hist_figé!D2470/Cours_Hist_figé!D2406 - 1</f>
        <v>9.4118051824125804E-3</v>
      </c>
      <c r="E2406" s="29">
        <f>Cours_Hist_figé!E2470/Cours_Hist_figé!E2406 - 1</f>
        <v>9.1976712544927786E-3</v>
      </c>
    </row>
    <row r="2407" spans="1:5" x14ac:dyDescent="0.4">
      <c r="A2407" s="27">
        <v>45548</v>
      </c>
      <c r="B2407" s="29">
        <f>Cours_Hist_figé!B2471/Cours_Hist_figé!B2407 - 1</f>
        <v>9.7228752295244192E-3</v>
      </c>
      <c r="C2407" s="29">
        <f>Cours_Hist_figé!C2471/Cours_Hist_figé!C2407 - 1</f>
        <v>3.0599191156921002E-2</v>
      </c>
      <c r="D2407" s="29">
        <f>Cours_Hist_figé!D2471/Cours_Hist_figé!D2407 - 1</f>
        <v>9.2018152104471618E-3</v>
      </c>
      <c r="E2407" s="29">
        <f>Cours_Hist_figé!E2471/Cours_Hist_figé!E2407 - 1</f>
        <v>8.9924718335927523E-3</v>
      </c>
    </row>
    <row r="2408" spans="1:5" x14ac:dyDescent="0.4">
      <c r="A2408" s="27">
        <v>45551</v>
      </c>
      <c r="B2408" s="29">
        <f>Cours_Hist_figé!B2472/Cours_Hist_figé!B2408 - 1</f>
        <v>1.2007304492640536E-3</v>
      </c>
      <c r="C2408" s="29">
        <f>Cours_Hist_figé!C2472/Cours_Hist_figé!C2408 - 1</f>
        <v>3.0963075703392962E-2</v>
      </c>
      <c r="D2408" s="29">
        <f>Cours_Hist_figé!D2472/Cours_Hist_figé!D2408 - 1</f>
        <v>9.4119048120926418E-3</v>
      </c>
      <c r="E2408" s="29">
        <f>Cours_Hist_figé!E2472/Cours_Hist_figé!E2408 - 1</f>
        <v>9.197809598104012E-3</v>
      </c>
    </row>
    <row r="2409" spans="1:5" x14ac:dyDescent="0.4">
      <c r="A2409" s="27">
        <v>45552</v>
      </c>
      <c r="B2409" s="29">
        <f>Cours_Hist_figé!B2473/Cours_Hist_figé!B2409 - 1</f>
        <v>6.4783828285988054E-3</v>
      </c>
      <c r="C2409" s="29">
        <f>Cours_Hist_figé!C2473/Cours_Hist_figé!C2409 - 1</f>
        <v>3.0960949400640203E-2</v>
      </c>
      <c r="D2409" s="29">
        <f>Cours_Hist_figé!D2473/Cours_Hist_figé!D2409 - 1</f>
        <v>9.4118027121374848E-3</v>
      </c>
      <c r="E2409" s="29">
        <f>Cours_Hist_figé!E2473/Cours_Hist_figé!E2409 - 1</f>
        <v>9.1977008808781235E-3</v>
      </c>
    </row>
    <row r="2410" spans="1:5" x14ac:dyDescent="0.4">
      <c r="A2410" s="27">
        <v>45553</v>
      </c>
      <c r="B2410" s="29">
        <f>Cours_Hist_figé!B2474/Cours_Hist_figé!B2410 - 1</f>
        <v>-8.1416759726914423E-3</v>
      </c>
      <c r="C2410" s="29">
        <f>Cours_Hist_figé!C2474/Cours_Hist_figé!C2410 - 1</f>
        <v>2.8559704624502302E-2</v>
      </c>
      <c r="D2410" s="29">
        <f>Cours_Hist_figé!D2474/Cours_Hist_figé!D2410 - 1</f>
        <v>9.4119081524042247E-3</v>
      </c>
      <c r="E2410" s="29">
        <f>Cours_Hist_figé!E2474/Cours_Hist_figé!E2410 - 1</f>
        <v>9.1977565148886331E-3</v>
      </c>
    </row>
    <row r="2411" spans="1:5" x14ac:dyDescent="0.4">
      <c r="A2411" s="27">
        <v>45554</v>
      </c>
      <c r="B2411" s="29">
        <f>Cours_Hist_figé!B2475/Cours_Hist_figé!B2411 - 1</f>
        <v>1.2809858010928821E-2</v>
      </c>
      <c r="C2411" s="29">
        <f>Cours_Hist_figé!C2475/Cours_Hist_figé!C2411 - 1</f>
        <v>2.8257244924986935E-2</v>
      </c>
      <c r="D2411" s="29">
        <f>Cours_Hist_figé!D2475/Cours_Hist_figé!D2411 - 1</f>
        <v>9.4049351982925522E-3</v>
      </c>
      <c r="E2411" s="29">
        <f>Cours_Hist_figé!E2475/Cours_Hist_figé!E2411 - 1</f>
        <v>9.1908347202642737E-3</v>
      </c>
    </row>
    <row r="2412" spans="1:5" x14ac:dyDescent="0.4">
      <c r="A2412" s="27">
        <v>45555</v>
      </c>
      <c r="B2412" s="29">
        <f>Cours_Hist_figé!B2476/Cours_Hist_figé!B2412 - 1</f>
        <v>-8.5439987001056927E-3</v>
      </c>
      <c r="C2412" s="29">
        <f>Cours_Hist_figé!C2476/Cours_Hist_figé!C2412 - 1</f>
        <v>2.6299382167181085E-2</v>
      </c>
      <c r="D2412" s="29">
        <f>Cours_Hist_figé!D2476/Cours_Hist_figé!D2412 - 1</f>
        <v>9.187791577432769E-3</v>
      </c>
      <c r="E2412" s="29">
        <f>Cours_Hist_figé!E2476/Cours_Hist_figé!E2412 - 1</f>
        <v>8.978458501531561E-3</v>
      </c>
    </row>
    <row r="2413" spans="1:5" x14ac:dyDescent="0.4">
      <c r="A2413" s="27">
        <v>45558</v>
      </c>
      <c r="B2413" s="29">
        <f>Cours_Hist_figé!B2477/Cours_Hist_figé!B2413 - 1</f>
        <v>-2.484430589354103E-3</v>
      </c>
      <c r="C2413" s="29">
        <f>Cours_Hist_figé!C2477/Cours_Hist_figé!C2413 - 1</f>
        <v>2.8531260933640112E-2</v>
      </c>
      <c r="D2413" s="29">
        <f>Cours_Hist_figé!D2477/Cours_Hist_figé!D2413 - 1</f>
        <v>9.3767833927107525E-3</v>
      </c>
      <c r="E2413" s="29">
        <f>Cours_Hist_figé!E2477/Cours_Hist_figé!E2413 - 1</f>
        <v>9.162669685610636E-3</v>
      </c>
    </row>
    <row r="2414" spans="1:5" x14ac:dyDescent="0.4">
      <c r="A2414" s="27">
        <v>45559</v>
      </c>
      <c r="B2414" s="29">
        <f>Cours_Hist_figé!B2478/Cours_Hist_figé!B2414 - 1</f>
        <v>9.8251864445393355E-3</v>
      </c>
      <c r="C2414" s="29">
        <f>Cours_Hist_figé!C2478/Cours_Hist_figé!C2414 - 1</f>
        <v>3.4308155023357045E-2</v>
      </c>
      <c r="D2414" s="29">
        <f>Cours_Hist_figé!D2478/Cours_Hist_figé!D2414 - 1</f>
        <v>9.3698172374483413E-3</v>
      </c>
      <c r="E2414" s="29">
        <f>Cours_Hist_figé!E2478/Cours_Hist_figé!E2414 - 1</f>
        <v>9.1556872068776496E-3</v>
      </c>
    </row>
    <row r="2415" spans="1:5" x14ac:dyDescent="0.4">
      <c r="A2415" s="27">
        <v>45560</v>
      </c>
      <c r="B2415" s="29">
        <f>Cours_Hist_figé!B2479/Cours_Hist_figé!B2415 - 1</f>
        <v>1.343778504806914E-2</v>
      </c>
      <c r="C2415" s="29">
        <f>Cours_Hist_figé!C2479/Cours_Hist_figé!C2415 - 1</f>
        <v>3.1865480878030539E-2</v>
      </c>
      <c r="D2415" s="29">
        <f>Cours_Hist_figé!D2479/Cours_Hist_figé!D2415 - 1</f>
        <v>9.3628598394206453E-3</v>
      </c>
      <c r="E2415" s="29">
        <f>Cours_Hist_figé!E2479/Cours_Hist_figé!E2415 - 1</f>
        <v>9.1487931498961395E-3</v>
      </c>
    </row>
    <row r="2416" spans="1:5" x14ac:dyDescent="0.4">
      <c r="A2416" s="27">
        <v>45561</v>
      </c>
      <c r="B2416" s="29">
        <f>Cours_Hist_figé!B2480/Cours_Hist_figé!B2416 - 1</f>
        <v>2.8343547010573067E-2</v>
      </c>
      <c r="C2416" s="29">
        <f>Cours_Hist_figé!C2480/Cours_Hist_figé!C2416 - 1</f>
        <v>3.4473397091665525E-2</v>
      </c>
      <c r="D2416" s="29">
        <f>Cours_Hist_figé!D2480/Cours_Hist_figé!D2416 - 1</f>
        <v>9.3558963760986824E-3</v>
      </c>
      <c r="E2416" s="29">
        <f>Cours_Hist_figé!E2480/Cours_Hist_figé!E2416 - 1</f>
        <v>9.141890438241207E-3</v>
      </c>
    </row>
    <row r="2417" spans="1:5" x14ac:dyDescent="0.4">
      <c r="A2417" s="27">
        <v>45562</v>
      </c>
      <c r="B2417" s="29">
        <f>Cours_Hist_figé!B2481/Cours_Hist_figé!B2417 - 1</f>
        <v>3.0235879689953338E-2</v>
      </c>
      <c r="C2417" s="29">
        <f>Cours_Hist_figé!C2481/Cours_Hist_figé!C2417 - 1</f>
        <v>4.0302097849454155E-2</v>
      </c>
      <c r="D2417" s="29">
        <f>Cours_Hist_figé!D2481/Cours_Hist_figé!D2417 - 1</f>
        <v>9.1393572031197579E-3</v>
      </c>
      <c r="E2417" s="29">
        <f>Cours_Hist_figé!E2481/Cours_Hist_figé!E2417 - 1</f>
        <v>8.9302419467687244E-3</v>
      </c>
    </row>
    <row r="2418" spans="1:5" x14ac:dyDescent="0.4">
      <c r="A2418" s="27">
        <v>45565</v>
      </c>
      <c r="B2418" s="29">
        <f>Cours_Hist_figé!B2482/Cours_Hist_figé!B2418 - 1</f>
        <v>2.4544830816390251E-2</v>
      </c>
      <c r="C2418" s="29">
        <f>Cours_Hist_figé!C2482/Cours_Hist_figé!C2418 - 1</f>
        <v>4.0104479563418005E-2</v>
      </c>
      <c r="D2418" s="29">
        <f>Cours_Hist_figé!D2482/Cours_Hist_figé!D2418 - 1</f>
        <v>9.3285466179027221E-3</v>
      </c>
      <c r="E2418" s="29">
        <f>Cours_Hist_figé!E2482/Cours_Hist_figé!E2418 - 1</f>
        <v>9.114633501284386E-3</v>
      </c>
    </row>
    <row r="2419" spans="1:5" x14ac:dyDescent="0.4">
      <c r="A2419" s="27">
        <v>45566</v>
      </c>
      <c r="B2419" s="29">
        <f>Cours_Hist_figé!B2483/Cours_Hist_figé!B2419 - 1</f>
        <v>1.3800269200256121E-2</v>
      </c>
      <c r="C2419" s="29">
        <f>Cours_Hist_figé!C2483/Cours_Hist_figé!C2419 - 1</f>
        <v>4.137766400174292E-2</v>
      </c>
      <c r="D2419" s="29">
        <f>Cours_Hist_figé!D2483/Cours_Hist_figé!D2419 - 1</f>
        <v>9.3214792888178799E-3</v>
      </c>
      <c r="E2419" s="29">
        <f>Cours_Hist_figé!E2483/Cours_Hist_figé!E2419 - 1</f>
        <v>9.1075643143223584E-3</v>
      </c>
    </row>
    <row r="2420" spans="1:5" x14ac:dyDescent="0.4">
      <c r="A2420" s="27">
        <v>45567</v>
      </c>
      <c r="B2420" s="29">
        <f>Cours_Hist_figé!B2484/Cours_Hist_figé!B2420 - 1</f>
        <v>8.6960495055914411E-3</v>
      </c>
      <c r="C2420" s="29">
        <f>Cours_Hist_figé!C2484/Cours_Hist_figé!C2420 - 1</f>
        <v>3.9331203743758758E-2</v>
      </c>
      <c r="D2420" s="29">
        <f>Cours_Hist_figé!D2484/Cours_Hist_figé!D2420 - 1</f>
        <v>9.3145164856873741E-3</v>
      </c>
      <c r="E2420" s="29">
        <f>Cours_Hist_figé!E2484/Cours_Hist_figé!E2420 - 1</f>
        <v>9.1006403814037906E-3</v>
      </c>
    </row>
    <row r="2421" spans="1:5" x14ac:dyDescent="0.4">
      <c r="A2421" s="27">
        <v>45568</v>
      </c>
      <c r="B2421" s="29">
        <f>Cours_Hist_figé!B2485/Cours_Hist_figé!B2421 - 1</f>
        <v>1.7480059376431267E-3</v>
      </c>
      <c r="C2421" s="29">
        <f>Cours_Hist_figé!C2485/Cours_Hist_figé!C2421 - 1</f>
        <v>3.3792854203446021E-2</v>
      </c>
      <c r="D2421" s="29">
        <f>Cours_Hist_figé!D2485/Cours_Hist_figé!D2421 - 1</f>
        <v>9.3074518819089569E-3</v>
      </c>
      <c r="E2421" s="29">
        <f>Cours_Hist_figé!E2485/Cours_Hist_figé!E2421 - 1</f>
        <v>9.0935544857819739E-3</v>
      </c>
    </row>
    <row r="2422" spans="1:5" x14ac:dyDescent="0.4">
      <c r="A2422" s="27">
        <v>45569</v>
      </c>
      <c r="B2422" s="29">
        <f>Cours_Hist_figé!B2486/Cours_Hist_figé!B2422 - 1</f>
        <v>6.2825161549155961E-3</v>
      </c>
      <c r="C2422" s="29">
        <f>Cours_Hist_figé!C2486/Cours_Hist_figé!C2422 - 1</f>
        <v>2.8128164662265753E-2</v>
      </c>
      <c r="D2422" s="29">
        <f>Cours_Hist_figé!D2486/Cours_Hist_figé!D2422 - 1</f>
        <v>9.0902167185040739E-3</v>
      </c>
      <c r="E2422" s="29">
        <f>Cours_Hist_figé!E2486/Cours_Hist_figé!E2422 - 1</f>
        <v>8.8810937291854408E-3</v>
      </c>
    </row>
    <row r="2423" spans="1:5" x14ac:dyDescent="0.4">
      <c r="A2423" s="27">
        <v>45572</v>
      </c>
      <c r="B2423" s="29">
        <f>Cours_Hist_figé!B2487/Cours_Hist_figé!B2423 - 1</f>
        <v>1.7588361112280015E-2</v>
      </c>
      <c r="C2423" s="29">
        <f>Cours_Hist_figé!C2487/Cours_Hist_figé!C2423 - 1</f>
        <v>2.8907810454167127E-2</v>
      </c>
      <c r="D2423" s="29">
        <f>Cours_Hist_figé!D2487/Cours_Hist_figé!D2423 - 1</f>
        <v>9.2793989584163405E-3</v>
      </c>
      <c r="E2423" s="29">
        <f>Cours_Hist_figé!E2487/Cours_Hist_figé!E2423 - 1</f>
        <v>9.0654743786826586E-3</v>
      </c>
    </row>
    <row r="2424" spans="1:5" x14ac:dyDescent="0.4">
      <c r="A2424" s="27">
        <v>45573</v>
      </c>
      <c r="B2424" s="29">
        <f>Cours_Hist_figé!B2488/Cours_Hist_figé!B2424 - 1</f>
        <v>2.9877009151044742E-3</v>
      </c>
      <c r="C2424" s="29">
        <f>Cours_Hist_figé!C2488/Cours_Hist_figé!C2424 - 1</f>
        <v>2.5960175520695516E-2</v>
      </c>
      <c r="D2424" s="29">
        <f>Cours_Hist_figé!D2488/Cours_Hist_figé!D2424 - 1</f>
        <v>9.2724443330405304E-3</v>
      </c>
      <c r="E2424" s="29">
        <f>Cours_Hist_figé!E2488/Cours_Hist_figé!E2424 - 1</f>
        <v>9.0585010579791181E-3</v>
      </c>
    </row>
    <row r="2425" spans="1:5" x14ac:dyDescent="0.4">
      <c r="A2425" s="27">
        <v>45574</v>
      </c>
      <c r="B2425" s="29">
        <f>Cours_Hist_figé!B2489/Cours_Hist_figé!B2425 - 1</f>
        <v>3.9730078449675688E-3</v>
      </c>
      <c r="C2425" s="29">
        <f>Cours_Hist_figé!C2489/Cours_Hist_figé!C2425 - 1</f>
        <v>2.1049420120820228E-2</v>
      </c>
      <c r="D2425" s="29">
        <f>Cours_Hist_figé!D2489/Cours_Hist_figé!D2425 - 1</f>
        <v>9.2654762877710795E-3</v>
      </c>
      <c r="E2425" s="29">
        <f>Cours_Hist_figé!E2489/Cours_Hist_figé!E2425 - 1</f>
        <v>9.0515095125267564E-3</v>
      </c>
    </row>
    <row r="2426" spans="1:5" x14ac:dyDescent="0.4">
      <c r="A2426" s="27">
        <v>45575</v>
      </c>
      <c r="B2426" s="29">
        <f>Cours_Hist_figé!B2490/Cours_Hist_figé!B2426 - 1</f>
        <v>-6.5130551994597718E-3</v>
      </c>
      <c r="C2426" s="29">
        <f>Cours_Hist_figé!C2490/Cours_Hist_figé!C2426 - 1</f>
        <v>2.2833327697561856E-2</v>
      </c>
      <c r="D2426" s="29">
        <f>Cours_Hist_figé!D2490/Cours_Hist_figé!D2426 - 1</f>
        <v>9.2585095565751452E-3</v>
      </c>
      <c r="E2426" s="29">
        <f>Cours_Hist_figé!E2490/Cours_Hist_figé!E2426 - 1</f>
        <v>9.0445964762080333E-3</v>
      </c>
    </row>
    <row r="2427" spans="1:5" x14ac:dyDescent="0.4">
      <c r="A2427" s="27">
        <v>45576</v>
      </c>
      <c r="B2427" s="29">
        <f>Cours_Hist_figé!B2491/Cours_Hist_figé!B2427 - 1</f>
        <v>9.4291114383038277E-3</v>
      </c>
      <c r="C2427" s="29">
        <f>Cours_Hist_figé!C2491/Cours_Hist_figé!C2427 - 1</f>
        <v>2.033243804067153E-2</v>
      </c>
      <c r="D2427" s="29">
        <f>Cours_Hist_figé!D2491/Cours_Hist_figé!D2427 - 1</f>
        <v>9.0415939561705461E-3</v>
      </c>
      <c r="E2427" s="29">
        <f>Cours_Hist_figé!E2491/Cours_Hist_figé!E2427 - 1</f>
        <v>8.8325030258999959E-3</v>
      </c>
    </row>
    <row r="2428" spans="1:5" x14ac:dyDescent="0.4">
      <c r="A2428" s="27">
        <v>45579</v>
      </c>
      <c r="B2428" s="29">
        <f>Cours_Hist_figé!B2492/Cours_Hist_figé!B2428 - 1</f>
        <v>1.7908200198748725E-2</v>
      </c>
      <c r="C2428" s="29">
        <f>Cours_Hist_figé!C2492/Cours_Hist_figé!C2428 - 1</f>
        <v>1.9061592837640751E-2</v>
      </c>
      <c r="D2428" s="29">
        <f>Cours_Hist_figé!D2492/Cours_Hist_figé!D2428 - 1</f>
        <v>9.2306648989237683E-3</v>
      </c>
      <c r="E2428" s="29">
        <f>Cours_Hist_figé!E2492/Cours_Hist_figé!E2428 - 1</f>
        <v>9.016824169773674E-3</v>
      </c>
    </row>
    <row r="2429" spans="1:5" x14ac:dyDescent="0.4">
      <c r="A2429" s="27">
        <v>45580</v>
      </c>
      <c r="B2429" s="29">
        <f>Cours_Hist_figé!B2493/Cours_Hist_figé!B2429 - 1</f>
        <v>1.4109817972352445E-2</v>
      </c>
      <c r="C2429" s="29">
        <f>Cours_Hist_figé!C2493/Cours_Hist_figé!C2429 - 1</f>
        <v>2.3026837775850018E-2</v>
      </c>
      <c r="D2429" s="29">
        <f>Cours_Hist_figé!D2493/Cours_Hist_figé!D2429 - 1</f>
        <v>9.2237049379582103E-3</v>
      </c>
      <c r="E2429" s="29">
        <f>Cours_Hist_figé!E2493/Cours_Hist_figé!E2429 - 1</f>
        <v>9.0098505521178929E-3</v>
      </c>
    </row>
    <row r="2430" spans="1:5" x14ac:dyDescent="0.4">
      <c r="A2430" s="27">
        <v>45581</v>
      </c>
      <c r="B2430" s="29">
        <f>Cours_Hist_figé!B2494/Cours_Hist_figé!B2430 - 1</f>
        <v>1.4285866218565868E-2</v>
      </c>
      <c r="C2430" s="29">
        <f>Cours_Hist_figé!C2494/Cours_Hist_figé!C2430 - 1</f>
        <v>2.4513727620203873E-2</v>
      </c>
      <c r="D2430" s="29">
        <f>Cours_Hist_figé!D2494/Cours_Hist_figé!D2430 - 1</f>
        <v>9.2167463579375664E-3</v>
      </c>
      <c r="E2430" s="29">
        <f>Cours_Hist_figé!E2494/Cours_Hist_figé!E2430 - 1</f>
        <v>9.00286858261512E-3</v>
      </c>
    </row>
    <row r="2431" spans="1:5" x14ac:dyDescent="0.4">
      <c r="A2431" s="27">
        <v>45582</v>
      </c>
      <c r="B2431" s="29">
        <f>Cours_Hist_figé!B2495/Cours_Hist_figé!B2431 - 1</f>
        <v>3.0821482485473339E-2</v>
      </c>
      <c r="C2431" s="29">
        <f>Cours_Hist_figé!C2495/Cours_Hist_figé!C2431 - 1</f>
        <v>2.6557866128791519E-2</v>
      </c>
      <c r="D2431" s="29">
        <f>Cours_Hist_figé!D2495/Cours_Hist_figé!D2431 - 1</f>
        <v>9.2097817314344965E-3</v>
      </c>
      <c r="E2431" s="29">
        <f>Cours_Hist_figé!E2495/Cours_Hist_figé!E2431 - 1</f>
        <v>8.9958876879703276E-3</v>
      </c>
    </row>
    <row r="2432" spans="1:5" x14ac:dyDescent="0.4">
      <c r="A2432" s="27">
        <v>45583</v>
      </c>
      <c r="B2432" s="29">
        <f>Cours_Hist_figé!B2496/Cours_Hist_figé!B2432 - 1</f>
        <v>2.3247969396242851E-2</v>
      </c>
      <c r="C2432" s="29">
        <f>Cours_Hist_figé!C2496/Cours_Hist_figé!C2432 - 1</f>
        <v>2.959613978799891E-2</v>
      </c>
      <c r="D2432" s="29">
        <f>Cours_Hist_figé!D2496/Cours_Hist_figé!D2432 - 1</f>
        <v>8.9927640609026582E-3</v>
      </c>
      <c r="E2432" s="29">
        <f>Cours_Hist_figé!E2496/Cours_Hist_figé!E2432 - 1</f>
        <v>8.7836687981051043E-3</v>
      </c>
    </row>
    <row r="2433" spans="1:5" x14ac:dyDescent="0.4">
      <c r="A2433" s="27">
        <v>45586</v>
      </c>
      <c r="B2433" s="29">
        <f>Cours_Hist_figé!B2497/Cours_Hist_figé!B2433 - 1</f>
        <v>1.519132913309873E-2</v>
      </c>
      <c r="C2433" s="29">
        <f>Cours_Hist_figé!C2497/Cours_Hist_figé!C2433 - 1</f>
        <v>2.2235358656971238E-2</v>
      </c>
      <c r="D2433" s="29">
        <f>Cours_Hist_figé!D2497/Cours_Hist_figé!D2433 - 1</f>
        <v>9.1820327425717885E-3</v>
      </c>
      <c r="E2433" s="29">
        <f>Cours_Hist_figé!E2497/Cours_Hist_figé!E2433 - 1</f>
        <v>8.96806378081072E-3</v>
      </c>
    </row>
    <row r="2434" spans="1:5" x14ac:dyDescent="0.4">
      <c r="A2434" s="27">
        <v>45587</v>
      </c>
      <c r="B2434" s="29">
        <f>Cours_Hist_figé!B2498/Cours_Hist_figé!B2434 - 1</f>
        <v>1.9360108506199847E-2</v>
      </c>
      <c r="C2434" s="29">
        <f>Cours_Hist_figé!C2498/Cours_Hist_figé!C2434 - 1</f>
        <v>2.0771594625240475E-2</v>
      </c>
      <c r="D2434" s="29">
        <f>Cours_Hist_figé!D2498/Cours_Hist_figé!D2434 - 1</f>
        <v>9.1749709560944304E-3</v>
      </c>
      <c r="E2434" s="29">
        <f>Cours_Hist_figé!E2498/Cours_Hist_figé!E2434 - 1</f>
        <v>8.9610602554828223E-3</v>
      </c>
    </row>
    <row r="2435" spans="1:5" x14ac:dyDescent="0.4">
      <c r="A2435" s="27">
        <v>45588</v>
      </c>
      <c r="B2435" s="29">
        <f>Cours_Hist_figé!B2499/Cours_Hist_figé!B2435 - 1</f>
        <v>2.3535474030387693E-2</v>
      </c>
      <c r="C2435" s="29">
        <f>Cours_Hist_figé!C2499/Cours_Hist_figé!C2435 - 1</f>
        <v>1.9319816598662332E-2</v>
      </c>
      <c r="D2435" s="29">
        <f>Cours_Hist_figé!D2499/Cours_Hist_figé!D2435 - 1</f>
        <v>9.1679105735882338E-3</v>
      </c>
      <c r="E2435" s="29">
        <f>Cours_Hist_figé!E2499/Cours_Hist_figé!E2435 - 1</f>
        <v>8.954077251090764E-3</v>
      </c>
    </row>
    <row r="2436" spans="1:5" x14ac:dyDescent="0.4">
      <c r="A2436" s="27">
        <v>45589</v>
      </c>
      <c r="B2436" s="29">
        <f>Cours_Hist_figé!B2500/Cours_Hist_figé!B2436 - 1</f>
        <v>1.5748898450238524E-2</v>
      </c>
      <c r="C2436" s="29">
        <f>Cours_Hist_figé!C2500/Cours_Hist_figé!C2436 - 1</f>
        <v>2.3467142007319364E-2</v>
      </c>
      <c r="D2436" s="29">
        <f>Cours_Hist_figé!D2500/Cours_Hist_figé!D2436 - 1</f>
        <v>9.1538799274126781E-3</v>
      </c>
      <c r="E2436" s="29">
        <f>Cours_Hist_figé!E2500/Cours_Hist_figé!E2436 - 1</f>
        <v>8.9400951903719772E-3</v>
      </c>
    </row>
    <row r="2437" spans="1:5" x14ac:dyDescent="0.4">
      <c r="A2437" s="27">
        <v>45590</v>
      </c>
      <c r="B2437" s="29">
        <f>Cours_Hist_figé!B2501/Cours_Hist_figé!B2437 - 1</f>
        <v>1.7468933738159054E-2</v>
      </c>
      <c r="C2437" s="29">
        <f>Cours_Hist_figé!C2501/Cours_Hist_figé!C2437 - 1</f>
        <v>1.8172205799056762E-2</v>
      </c>
      <c r="D2437" s="29">
        <f>Cours_Hist_figé!D2501/Cours_Hist_figé!D2437 - 1</f>
        <v>8.9299119345715994E-3</v>
      </c>
      <c r="E2437" s="29">
        <f>Cours_Hist_figé!E2501/Cours_Hist_figé!E2437 - 1</f>
        <v>8.7209100002640927E-3</v>
      </c>
    </row>
    <row r="2438" spans="1:5" x14ac:dyDescent="0.4">
      <c r="A2438" s="27">
        <v>45593</v>
      </c>
      <c r="B2438" s="29">
        <f>Cours_Hist_figé!B2502/Cours_Hist_figé!B2438 - 1</f>
        <v>1.7265419572023877E-2</v>
      </c>
      <c r="C2438" s="29">
        <f>Cours_Hist_figé!C2502/Cours_Hist_figé!C2438 - 1</f>
        <v>1.7389869741375463E-2</v>
      </c>
      <c r="D2438" s="29">
        <f>Cours_Hist_figé!D2502/Cours_Hist_figé!D2438 - 1</f>
        <v>9.0981865286687835E-3</v>
      </c>
      <c r="E2438" s="29">
        <f>Cours_Hist_figé!E2502/Cours_Hist_figé!E2438 - 1</f>
        <v>8.8843979781547677E-3</v>
      </c>
    </row>
    <row r="2439" spans="1:5" x14ac:dyDescent="0.4">
      <c r="A2439" s="27">
        <v>45594</v>
      </c>
      <c r="B2439" s="29">
        <f>Cours_Hist_figé!B2503/Cours_Hist_figé!B2439 - 1</f>
        <v>3.0769942759998337E-3</v>
      </c>
      <c r="C2439" s="29">
        <f>Cours_Hist_figé!C2503/Cours_Hist_figé!C2439 - 1</f>
        <v>1.2316709173124885E-2</v>
      </c>
      <c r="D2439" s="29">
        <f>Cours_Hist_figé!D2503/Cours_Hist_figé!D2439 - 1</f>
        <v>9.0841626267315068E-3</v>
      </c>
      <c r="E2439" s="29">
        <f>Cours_Hist_figé!E2503/Cours_Hist_figé!E2439 - 1</f>
        <v>8.870352929765124E-3</v>
      </c>
    </row>
    <row r="2440" spans="1:5" x14ac:dyDescent="0.4">
      <c r="A2440" s="27">
        <v>45595</v>
      </c>
      <c r="B2440" s="29">
        <f>Cours_Hist_figé!B2504/Cours_Hist_figé!B2440 - 1</f>
        <v>2.2455049881335842E-3</v>
      </c>
      <c r="C2440" s="29">
        <f>Cours_Hist_figé!C2504/Cours_Hist_figé!C2440 - 1</f>
        <v>6.2518269542268801E-3</v>
      </c>
      <c r="D2440" s="29">
        <f>Cours_Hist_figé!D2504/Cours_Hist_figé!D2440 - 1</f>
        <v>9.0705420483492283E-3</v>
      </c>
      <c r="E2440" s="29">
        <f>Cours_Hist_figé!E2504/Cours_Hist_figé!E2440 - 1</f>
        <v>8.8566490569175205E-3</v>
      </c>
    </row>
    <row r="2441" spans="1:5" x14ac:dyDescent="0.4">
      <c r="A2441" s="27">
        <v>45596</v>
      </c>
      <c r="B2441" s="29">
        <f>Cours_Hist_figé!B2505/Cours_Hist_figé!B2441 - 1</f>
        <v>1.811658673621741E-2</v>
      </c>
      <c r="C2441" s="29">
        <f>Cours_Hist_figé!C2505/Cours_Hist_figé!C2441 - 1</f>
        <v>3.9213176824126617E-3</v>
      </c>
      <c r="D2441" s="29">
        <f>Cours_Hist_figé!D2505/Cours_Hist_figé!D2441 - 1</f>
        <v>9.0566202068378399E-3</v>
      </c>
      <c r="E2441" s="29">
        <f>Cours_Hist_figé!E2505/Cours_Hist_figé!E2441 - 1</f>
        <v>8.8426672684125407E-3</v>
      </c>
    </row>
    <row r="2442" spans="1:5" x14ac:dyDescent="0.4">
      <c r="A2442" s="27">
        <v>45597</v>
      </c>
      <c r="B2442" s="29">
        <f>Cours_Hist_figé!B2506/Cours_Hist_figé!B2442 - 1</f>
        <v>5.1670574288027904E-2</v>
      </c>
      <c r="C2442" s="29">
        <f>Cours_Hist_figé!C2506/Cours_Hist_figé!C2442 - 1</f>
        <v>3.7686404867505185E-3</v>
      </c>
      <c r="D2442" s="29">
        <f>Cours_Hist_figé!D2506/Cours_Hist_figé!D2442 - 1</f>
        <v>8.8322770665596462E-3</v>
      </c>
      <c r="E2442" s="29">
        <f>Cours_Hist_figé!E2506/Cours_Hist_figé!E2442 - 1</f>
        <v>8.6231191325349954E-3</v>
      </c>
    </row>
    <row r="2443" spans="1:5" x14ac:dyDescent="0.4">
      <c r="A2443" s="27">
        <v>45600</v>
      </c>
      <c r="B2443" s="29">
        <f>Cours_Hist_figé!B2507/Cours_Hist_figé!B2443 - 1</f>
        <v>4.4827675040015835E-2</v>
      </c>
      <c r="C2443" s="29">
        <f>Cours_Hist_figé!C2507/Cours_Hist_figé!C2443 - 1</f>
        <v>4.7417673724174936E-3</v>
      </c>
      <c r="D2443" s="29">
        <f>Cours_Hist_figé!D2507/Cours_Hist_figé!D2443 - 1</f>
        <v>9.000328370079691E-3</v>
      </c>
      <c r="E2443" s="29">
        <f>Cours_Hist_figé!E2507/Cours_Hist_figé!E2443 - 1</f>
        <v>8.7862986080566863E-3</v>
      </c>
    </row>
    <row r="2444" spans="1:5" x14ac:dyDescent="0.4">
      <c r="A2444" s="27">
        <v>45601</v>
      </c>
      <c r="B2444" s="29">
        <f>Cours_Hist_figé!B2508/Cours_Hist_figé!B2444 - 1</f>
        <v>2.9908910271128963E-2</v>
      </c>
      <c r="C2444" s="29">
        <f>Cours_Hist_figé!C2508/Cours_Hist_figé!C2444 - 1</f>
        <v>6.7057400300349901E-3</v>
      </c>
      <c r="D2444" s="29">
        <f>Cours_Hist_figé!D2508/Cours_Hist_figé!D2444 - 1</f>
        <v>8.9863104428400398E-3</v>
      </c>
      <c r="E2444" s="29">
        <f>Cours_Hist_figé!E2508/Cours_Hist_figé!E2444 - 1</f>
        <v>8.7722926077091756E-3</v>
      </c>
    </row>
    <row r="2445" spans="1:5" x14ac:dyDescent="0.4">
      <c r="A2445" s="27">
        <v>45602</v>
      </c>
      <c r="B2445" s="29">
        <f>Cours_Hist_figé!B2509/Cours_Hist_figé!B2445 - 1</f>
        <v>2.2390980115153836E-2</v>
      </c>
      <c r="C2445" s="29">
        <f>Cours_Hist_figé!C2509/Cours_Hist_figé!C2445 - 1</f>
        <v>7.8712794667155084E-3</v>
      </c>
      <c r="D2445" s="29">
        <f>Cours_Hist_figé!D2509/Cours_Hist_figé!D2445 - 1</f>
        <v>8.972280547560052E-3</v>
      </c>
      <c r="E2445" s="29">
        <f>Cours_Hist_figé!E2509/Cours_Hist_figé!E2445 - 1</f>
        <v>8.7582797122485179E-3</v>
      </c>
    </row>
    <row r="2446" spans="1:5" x14ac:dyDescent="0.4">
      <c r="A2446" s="27">
        <v>45603</v>
      </c>
      <c r="B2446" s="29">
        <f>Cours_Hist_figé!B2510/Cours_Hist_figé!B2446 - 1</f>
        <v>2.2810635269346902E-2</v>
      </c>
      <c r="C2446" s="29">
        <f>Cours_Hist_figé!C2510/Cours_Hist_figé!C2446 - 1</f>
        <v>3.9273702761308815E-3</v>
      </c>
      <c r="D2446" s="29">
        <f>Cours_Hist_figé!D2510/Cours_Hist_figé!D2446 - 1</f>
        <v>8.9581571889956191E-3</v>
      </c>
      <c r="E2446" s="29">
        <f>Cours_Hist_figé!E2510/Cours_Hist_figé!E2446 - 1</f>
        <v>8.7441925581432933E-3</v>
      </c>
    </row>
    <row r="2447" spans="1:5" x14ac:dyDescent="0.4">
      <c r="A2447" s="27">
        <v>45604</v>
      </c>
      <c r="B2447" s="29">
        <f>Cours_Hist_figé!B2511/Cours_Hist_figé!B2447 - 1</f>
        <v>1.6802666848911407E-2</v>
      </c>
      <c r="C2447" s="29">
        <f>Cours_Hist_figé!C2511/Cours_Hist_figé!C2447 - 1</f>
        <v>7.8641808724142503E-3</v>
      </c>
      <c r="D2447" s="29">
        <f>Cours_Hist_figé!D2511/Cours_Hist_figé!D2447 - 1</f>
        <v>8.7341392222264336E-3</v>
      </c>
      <c r="E2447" s="29">
        <f>Cours_Hist_figé!E2511/Cours_Hist_figé!E2447 - 1</f>
        <v>8.5249636304718379E-3</v>
      </c>
    </row>
    <row r="2448" spans="1:5" x14ac:dyDescent="0.4">
      <c r="A2448" s="27">
        <v>45607</v>
      </c>
      <c r="B2448" s="29">
        <f>Cours_Hist_figé!B2512/Cours_Hist_figé!B2448 - 1</f>
        <v>2.2877019591350356E-2</v>
      </c>
      <c r="C2448" s="29">
        <f>Cours_Hist_figé!C2512/Cours_Hist_figé!C2448 - 1</f>
        <v>7.2472600456701119E-3</v>
      </c>
      <c r="D2448" s="29">
        <f>Cours_Hist_figé!D2512/Cours_Hist_figé!D2448 - 1</f>
        <v>8.9021730972393964E-3</v>
      </c>
      <c r="E2448" s="29">
        <f>Cours_Hist_figé!E2512/Cours_Hist_figé!E2448 - 1</f>
        <v>8.688141624120016E-3</v>
      </c>
    </row>
    <row r="2449" spans="1:5" x14ac:dyDescent="0.4">
      <c r="A2449" s="27">
        <v>45608</v>
      </c>
      <c r="B2449" s="29">
        <f>Cours_Hist_figé!B2513/Cours_Hist_figé!B2449 - 1</f>
        <v>-2.2509900507863279E-3</v>
      </c>
      <c r="C2449" s="29">
        <f>Cours_Hist_figé!C2513/Cours_Hist_figé!C2449 - 1</f>
        <v>6.1796991349913899E-3</v>
      </c>
      <c r="D2449" s="29">
        <f>Cours_Hist_figé!D2513/Cours_Hist_figé!D2449 - 1</f>
        <v>8.8881528533357734E-3</v>
      </c>
      <c r="E2449" s="29">
        <f>Cours_Hist_figé!E2513/Cours_Hist_figé!E2449 - 1</f>
        <v>8.6740780924299266E-3</v>
      </c>
    </row>
    <row r="2450" spans="1:5" x14ac:dyDescent="0.4">
      <c r="A2450" s="27">
        <v>45609</v>
      </c>
      <c r="B2450" s="29">
        <f>Cours_Hist_figé!B2514/Cours_Hist_figé!B2450 - 1</f>
        <v>-1.5535662960262209E-2</v>
      </c>
      <c r="C2450" s="29">
        <f>Cours_Hist_figé!C2514/Cours_Hist_figé!C2450 - 1</f>
        <v>9.2159854775888395E-3</v>
      </c>
      <c r="D2450" s="29">
        <f>Cours_Hist_figé!D2514/Cours_Hist_figé!D2450 - 1</f>
        <v>8.8741280588560123E-3</v>
      </c>
      <c r="E2450" s="29">
        <f>Cours_Hist_figé!E2514/Cours_Hist_figé!E2450 - 1</f>
        <v>8.6600943979795453E-3</v>
      </c>
    </row>
    <row r="2451" spans="1:5" x14ac:dyDescent="0.4">
      <c r="A2451" s="27">
        <v>45610</v>
      </c>
      <c r="B2451" s="29">
        <f>Cours_Hist_figé!B2515/Cours_Hist_figé!B2451 - 1</f>
        <v>-7.5771774503246014E-3</v>
      </c>
      <c r="C2451" s="29">
        <f>Cours_Hist_figé!C2515/Cours_Hist_figé!C2451 - 1</f>
        <v>1.1039461592765809E-2</v>
      </c>
      <c r="D2451" s="29">
        <f>Cours_Hist_figé!D2515/Cours_Hist_figé!D2451 - 1</f>
        <v>8.8602088501177345E-3</v>
      </c>
      <c r="E2451" s="29">
        <f>Cours_Hist_figé!E2515/Cours_Hist_figé!E2451 - 1</f>
        <v>8.6461421724264298E-3</v>
      </c>
    </row>
    <row r="2452" spans="1:5" x14ac:dyDescent="0.4">
      <c r="A2452" s="27">
        <v>45611</v>
      </c>
      <c r="B2452" s="29">
        <f>Cours_Hist_figé!B2516/Cours_Hist_figé!B2452 - 1</f>
        <v>-2.131984534997966E-2</v>
      </c>
      <c r="C2452" s="29">
        <f>Cours_Hist_figé!C2516/Cours_Hist_figé!C2452 - 1</f>
        <v>1.1647841557072436E-2</v>
      </c>
      <c r="D2452" s="29">
        <f>Cours_Hist_figé!D2516/Cours_Hist_figé!D2452 - 1</f>
        <v>8.6362129852626257E-3</v>
      </c>
      <c r="E2452" s="29">
        <f>Cours_Hist_figé!E2516/Cours_Hist_figé!E2452 - 1</f>
        <v>8.4269052673617839E-3</v>
      </c>
    </row>
    <row r="2453" spans="1:5" x14ac:dyDescent="0.4">
      <c r="A2453" s="27">
        <v>45614</v>
      </c>
      <c r="B2453" s="29">
        <f>Cours_Hist_figé!B2517/Cours_Hist_figé!B2453 - 1</f>
        <v>-1.6882734977058278E-2</v>
      </c>
      <c r="C2453" s="29">
        <f>Cours_Hist_figé!C2517/Cours_Hist_figé!C2453 - 1</f>
        <v>7.4592531039081589E-3</v>
      </c>
      <c r="D2453" s="29">
        <f>Cours_Hist_figé!D2517/Cours_Hist_figé!D2453 - 1</f>
        <v>8.8043320480883924E-3</v>
      </c>
      <c r="E2453" s="29">
        <f>Cours_Hist_figé!E2517/Cours_Hist_figé!E2453 - 1</f>
        <v>8.5902346630923887E-3</v>
      </c>
    </row>
    <row r="2454" spans="1:5" x14ac:dyDescent="0.4">
      <c r="A2454" s="27">
        <v>45615</v>
      </c>
      <c r="B2454" s="29">
        <f>Cours_Hist_figé!B2518/Cours_Hist_figé!B2454 - 1</f>
        <v>-2.4034458681106985E-2</v>
      </c>
      <c r="C2454" s="29">
        <f>Cours_Hist_figé!C2518/Cours_Hist_figé!C2454 - 1</f>
        <v>7.6982715146964864E-3</v>
      </c>
      <c r="D2454" s="29">
        <f>Cours_Hist_figé!D2518/Cours_Hist_figé!D2454 - 1</f>
        <v>8.79041955798332E-3</v>
      </c>
      <c r="E2454" s="29">
        <f>Cours_Hist_figé!E2518/Cours_Hist_figé!E2454 - 1</f>
        <v>8.576257476178295E-3</v>
      </c>
    </row>
    <row r="2455" spans="1:5" x14ac:dyDescent="0.4">
      <c r="A2455" s="27">
        <v>45616</v>
      </c>
      <c r="B2455" s="29">
        <f>Cours_Hist_figé!B2519/Cours_Hist_figé!B2455 - 1</f>
        <v>-2.7570034745829308E-2</v>
      </c>
      <c r="C2455" s="29">
        <f>Cours_Hist_figé!C2519/Cours_Hist_figé!C2455 - 1</f>
        <v>8.6976677721872786E-3</v>
      </c>
      <c r="D2455" s="29">
        <f>Cours_Hist_figé!D2519/Cours_Hist_figé!D2455 - 1</f>
        <v>8.7764951683071413E-3</v>
      </c>
      <c r="E2455" s="29">
        <f>Cours_Hist_figé!E2519/Cours_Hist_figé!E2455 - 1</f>
        <v>8.562331031948256E-3</v>
      </c>
    </row>
    <row r="2456" spans="1:5" x14ac:dyDescent="0.4">
      <c r="A2456" s="27">
        <v>45617</v>
      </c>
      <c r="B2456" s="29">
        <f>Cours_Hist_figé!B2520/Cours_Hist_figé!B2456 - 1</f>
        <v>-2.764128500246843E-2</v>
      </c>
      <c r="C2456" s="29">
        <f>Cours_Hist_figé!C2520/Cours_Hist_figé!C2456 - 1</f>
        <v>7.7378667579719451E-3</v>
      </c>
      <c r="D2456" s="29">
        <f>Cours_Hist_figé!D2520/Cours_Hist_figé!D2456 - 1</f>
        <v>8.7625735485996614E-3</v>
      </c>
      <c r="E2456" s="29">
        <f>Cours_Hist_figé!E2520/Cours_Hist_figé!E2456 - 1</f>
        <v>8.5484070943144808E-3</v>
      </c>
    </row>
    <row r="2457" spans="1:5" x14ac:dyDescent="0.4">
      <c r="A2457" s="27">
        <v>45618</v>
      </c>
      <c r="B2457" s="29">
        <f>Cours_Hist_figé!B2521/Cours_Hist_figé!B2457 - 1</f>
        <v>-1.5854364847445401E-2</v>
      </c>
      <c r="C2457" s="29">
        <f>Cours_Hist_figé!C2521/Cours_Hist_figé!C2457 - 1</f>
        <v>1.2150351573249285E-2</v>
      </c>
      <c r="D2457" s="29">
        <f>Cours_Hist_figé!D2521/Cours_Hist_figé!D2457 - 1</f>
        <v>8.538600737769686E-3</v>
      </c>
      <c r="E2457" s="29">
        <f>Cours_Hist_figé!E2521/Cours_Hist_figé!E2457 - 1</f>
        <v>8.329249168446351E-3</v>
      </c>
    </row>
    <row r="2458" spans="1:5" x14ac:dyDescent="0.4">
      <c r="A2458" s="27">
        <v>45621</v>
      </c>
      <c r="B2458" s="29">
        <f>Cours_Hist_figé!B2522/Cours_Hist_figé!B2458 - 1</f>
        <v>-1.7489851229174236E-2</v>
      </c>
      <c r="C2458" s="29">
        <f>Cours_Hist_figé!C2522/Cours_Hist_figé!C2458 - 1</f>
        <v>1.766324820620313E-2</v>
      </c>
      <c r="D2458" s="29">
        <f>Cours_Hist_figé!D2522/Cours_Hist_figé!D2458 - 1</f>
        <v>8.7069064775799898E-3</v>
      </c>
      <c r="E2458" s="29">
        <f>Cours_Hist_figé!E2522/Cours_Hist_figé!E2458 - 1</f>
        <v>8.4927868160680209E-3</v>
      </c>
    </row>
    <row r="2459" spans="1:5" x14ac:dyDescent="0.4">
      <c r="A2459" s="27">
        <v>45622</v>
      </c>
      <c r="B2459" s="29">
        <f>Cours_Hist_figé!B2523/Cours_Hist_figé!B2459 - 1</f>
        <v>-2.6169258718457433E-2</v>
      </c>
      <c r="C2459" s="29">
        <f>Cours_Hist_figé!C2523/Cours_Hist_figé!C2459 - 1</f>
        <v>1.5892434767065255E-2</v>
      </c>
      <c r="D2459" s="29">
        <f>Cours_Hist_figé!D2523/Cours_Hist_figé!D2459 - 1</f>
        <v>8.6928881374013223E-3</v>
      </c>
      <c r="E2459" s="29">
        <f>Cours_Hist_figé!E2523/Cours_Hist_figé!E2459 - 1</f>
        <v>8.4788381571971883E-3</v>
      </c>
    </row>
    <row r="2460" spans="1:5" x14ac:dyDescent="0.4">
      <c r="A2460" s="27">
        <v>45623</v>
      </c>
      <c r="B2460" s="29">
        <f>Cours_Hist_figé!B2524/Cours_Hist_figé!B2460 - 1</f>
        <v>-3.6072202099413531E-2</v>
      </c>
      <c r="C2460" s="29">
        <f>Cours_Hist_figé!C2524/Cours_Hist_figé!C2460 - 1</f>
        <v>1.8484663569389603E-2</v>
      </c>
      <c r="D2460" s="29">
        <f>Cours_Hist_figé!D2524/Cours_Hist_figé!D2460 - 1</f>
        <v>8.6788652627269869E-3</v>
      </c>
      <c r="E2460" s="29">
        <f>Cours_Hist_figé!E2524/Cours_Hist_figé!E2460 - 1</f>
        <v>8.464806006166059E-3</v>
      </c>
    </row>
    <row r="2461" spans="1:5" x14ac:dyDescent="0.4">
      <c r="A2461" s="27">
        <v>45624</v>
      </c>
      <c r="B2461" s="29">
        <f>Cours_Hist_figé!B2525/Cours_Hist_figé!B2461 - 1</f>
        <v>-3.233871144415712E-2</v>
      </c>
      <c r="C2461" s="29">
        <f>Cours_Hist_figé!C2525/Cours_Hist_figé!C2461 - 1</f>
        <v>2.1424549338803001E-2</v>
      </c>
      <c r="D2461" s="29">
        <f>Cours_Hist_figé!D2525/Cours_Hist_figé!D2461 - 1</f>
        <v>8.664948653370752E-3</v>
      </c>
      <c r="E2461" s="29">
        <f>Cours_Hist_figé!E2525/Cours_Hist_figé!E2461 - 1</f>
        <v>8.4508248936565611E-3</v>
      </c>
    </row>
    <row r="2462" spans="1:5" x14ac:dyDescent="0.4">
      <c r="A2462" s="27">
        <v>45625</v>
      </c>
      <c r="B2462" s="29">
        <f>Cours_Hist_figé!B2526/Cours_Hist_figé!B2462 - 1</f>
        <v>-2.6193454765254143E-2</v>
      </c>
      <c r="C2462" s="29">
        <f>Cours_Hist_figé!C2526/Cours_Hist_figé!C2462 - 1</f>
        <v>2.7050634832481935E-2</v>
      </c>
      <c r="D2462" s="29">
        <f>Cours_Hist_figé!D2526/Cours_Hist_figé!D2462 - 1</f>
        <v>8.4418042516918312E-3</v>
      </c>
      <c r="E2462" s="29">
        <f>Cours_Hist_figé!E2526/Cours_Hist_figé!E2462 - 1</f>
        <v>8.2324500678858659E-3</v>
      </c>
    </row>
    <row r="2463" spans="1:5" x14ac:dyDescent="0.4">
      <c r="A2463" s="27">
        <v>45628</v>
      </c>
      <c r="B2463" s="29">
        <f>Cours_Hist_figé!B2527/Cours_Hist_figé!B2463 - 1</f>
        <v>-9.7640246661514496E-3</v>
      </c>
      <c r="C2463" s="29">
        <f>Cours_Hist_figé!C2527/Cours_Hist_figé!C2463 - 1</f>
        <v>2.6456357091193317E-2</v>
      </c>
      <c r="D2463" s="29">
        <f>Cours_Hist_figé!D2527/Cours_Hist_figé!D2463 - 1</f>
        <v>8.6097853485180842E-3</v>
      </c>
      <c r="E2463" s="29">
        <f>Cours_Hist_figé!E2527/Cours_Hist_figé!E2463 - 1</f>
        <v>8.3955751802853307E-3</v>
      </c>
    </row>
    <row r="2464" spans="1:5" x14ac:dyDescent="0.4">
      <c r="A2464" s="27">
        <v>45629</v>
      </c>
      <c r="B2464" s="29">
        <f>Cours_Hist_figé!B2528/Cours_Hist_figé!B2464 - 1</f>
        <v>4.2911120536450742E-3</v>
      </c>
      <c r="C2464" s="29">
        <f>Cours_Hist_figé!C2528/Cours_Hist_figé!C2464 - 1</f>
        <v>2.2410073580866552E-2</v>
      </c>
      <c r="D2464" s="29">
        <f>Cours_Hist_figé!D2528/Cours_Hist_figé!D2464 - 1</f>
        <v>8.5958680689051103E-3</v>
      </c>
      <c r="E2464" s="29">
        <f>Cours_Hist_figé!E2528/Cours_Hist_figé!E2464 - 1</f>
        <v>8.381627070501052E-3</v>
      </c>
    </row>
    <row r="2465" spans="1:5" x14ac:dyDescent="0.4">
      <c r="A2465" s="27">
        <v>45630</v>
      </c>
      <c r="B2465" s="29">
        <f>Cours_Hist_figé!B2529/Cours_Hist_figé!B2465 - 1</f>
        <v>1.3532354144473846E-2</v>
      </c>
      <c r="C2465" s="29">
        <f>Cours_Hist_figé!C2529/Cours_Hist_figé!C2465 - 1</f>
        <v>2.2340525918470133E-2</v>
      </c>
      <c r="D2465" s="29">
        <f>Cours_Hist_figé!D2529/Cours_Hist_figé!D2465 - 1</f>
        <v>8.5819609460908719E-3</v>
      </c>
      <c r="E2465" s="29">
        <f>Cours_Hist_figé!E2529/Cours_Hist_figé!E2465 - 1</f>
        <v>8.3676435201116561E-3</v>
      </c>
    </row>
    <row r="2466" spans="1:5" x14ac:dyDescent="0.4">
      <c r="A2466" s="27">
        <v>45631</v>
      </c>
      <c r="B2466" s="29">
        <f>Cours_Hist_figé!B2530/Cours_Hist_figé!B2466 - 1</f>
        <v>2.8098361606599731E-2</v>
      </c>
      <c r="C2466" s="29">
        <f>Cours_Hist_figé!C2530/Cours_Hist_figé!C2466 - 1</f>
        <v>1.8610005018688147E-2</v>
      </c>
      <c r="D2466" s="29">
        <f>Cours_Hist_figé!D2530/Cours_Hist_figé!D2466 - 1</f>
        <v>8.568041948684435E-3</v>
      </c>
      <c r="E2466" s="29">
        <f>Cours_Hist_figé!E2530/Cours_Hist_figé!E2466 - 1</f>
        <v>8.3537202665451282E-3</v>
      </c>
    </row>
    <row r="2467" spans="1:5" x14ac:dyDescent="0.4">
      <c r="A2467" s="27">
        <v>45632</v>
      </c>
      <c r="B2467" s="29">
        <f>Cours_Hist_figé!B2531/Cours_Hist_figé!B2467 - 1</f>
        <v>2.1608000858827747E-2</v>
      </c>
      <c r="C2467" s="29">
        <f>Cours_Hist_figé!C2531/Cours_Hist_figé!C2467 - 1</f>
        <v>1.8844595946986065E-2</v>
      </c>
      <c r="D2467" s="29">
        <f>Cours_Hist_figé!D2531/Cours_Hist_figé!D2467 - 1</f>
        <v>8.344203919720572E-3</v>
      </c>
      <c r="E2467" s="29">
        <f>Cours_Hist_figé!E2531/Cours_Hist_figé!E2467 - 1</f>
        <v>8.1346442600416236E-3</v>
      </c>
    </row>
    <row r="2468" spans="1:5" x14ac:dyDescent="0.4">
      <c r="A2468" s="27">
        <v>45635</v>
      </c>
      <c r="B2468" s="29">
        <f>Cours_Hist_figé!B2532/Cours_Hist_figé!B2468 - 1</f>
        <v>2.8833368033039486E-2</v>
      </c>
      <c r="C2468" s="29">
        <f>Cours_Hist_figé!C2532/Cours_Hist_figé!C2468 - 1</f>
        <v>1.8437551797245932E-2</v>
      </c>
      <c r="D2468" s="29">
        <f>Cours_Hist_figé!D2532/Cours_Hist_figé!D2468 - 1</f>
        <v>8.5122771357379889E-3</v>
      </c>
      <c r="E2468" s="29">
        <f>Cours_Hist_figé!E2532/Cours_Hist_figé!E2468 - 1</f>
        <v>8.297939521645592E-3</v>
      </c>
    </row>
    <row r="2469" spans="1:5" x14ac:dyDescent="0.4">
      <c r="A2469" s="27">
        <v>45636</v>
      </c>
      <c r="B2469" s="29">
        <f>Cours_Hist_figé!B2533/Cours_Hist_figé!B2469 - 1</f>
        <v>2.2562186630086911E-2</v>
      </c>
      <c r="C2469" s="29">
        <f>Cours_Hist_figé!C2533/Cours_Hist_figé!C2469 - 1</f>
        <v>1.5404741387816445E-2</v>
      </c>
      <c r="D2469" s="29">
        <f>Cours_Hist_figé!D2533/Cours_Hist_figé!D2469 - 1</f>
        <v>8.4983574954615726E-3</v>
      </c>
      <c r="E2469" s="29">
        <f>Cours_Hist_figé!E2533/Cours_Hist_figé!E2469 - 1</f>
        <v>8.2839436698434188E-3</v>
      </c>
    </row>
    <row r="2470" spans="1:5" x14ac:dyDescent="0.4">
      <c r="A2470" s="27">
        <v>45637</v>
      </c>
      <c r="B2470" s="29">
        <f>Cours_Hist_figé!B2534/Cours_Hist_figé!B2470 - 1</f>
        <v>1.7588055619305321E-2</v>
      </c>
      <c r="C2470" s="29">
        <f>Cours_Hist_figé!C2534/Cours_Hist_figé!C2470 - 1</f>
        <v>1.7974618828903832E-2</v>
      </c>
      <c r="D2470" s="29">
        <f>Cours_Hist_figé!D2534/Cours_Hist_figé!D2470 - 1</f>
        <v>8.4843455650103206E-3</v>
      </c>
      <c r="E2470" s="29">
        <f>Cours_Hist_figé!E2534/Cours_Hist_figé!E2470 - 1</f>
        <v>8.2699124159792969E-3</v>
      </c>
    </row>
    <row r="2471" spans="1:5" x14ac:dyDescent="0.4">
      <c r="A2471" s="27">
        <v>45638</v>
      </c>
      <c r="B2471" s="29">
        <f>Cours_Hist_figé!B2535/Cours_Hist_figé!B2471 - 1</f>
        <v>9.0746547350619711E-3</v>
      </c>
      <c r="C2471" s="29">
        <f>Cours_Hist_figé!C2535/Cours_Hist_figé!C2471 - 1</f>
        <v>1.3972690920615038E-2</v>
      </c>
      <c r="D2471" s="29">
        <f>Cours_Hist_figé!D2535/Cours_Hist_figé!D2471 - 1</f>
        <v>8.4704316050294715E-3</v>
      </c>
      <c r="E2471" s="29">
        <f>Cours_Hist_figé!E2535/Cours_Hist_figé!E2471 - 1</f>
        <v>8.2559125645091935E-3</v>
      </c>
    </row>
    <row r="2472" spans="1:5" x14ac:dyDescent="0.4">
      <c r="A2472" s="27">
        <v>45639</v>
      </c>
      <c r="B2472" s="29">
        <f>Cours_Hist_figé!B2536/Cours_Hist_figé!B2472 - 1</f>
        <v>5.3818084287942103E-3</v>
      </c>
      <c r="C2472" s="29">
        <f>Cours_Hist_figé!C2536/Cours_Hist_figé!C2472 - 1</f>
        <v>8.0175871244878572E-3</v>
      </c>
      <c r="D2472" s="29">
        <f>Cours_Hist_figé!D2536/Cours_Hist_figé!D2472 - 1</f>
        <v>8.2466169146142576E-3</v>
      </c>
      <c r="E2472" s="29">
        <f>Cours_Hist_figé!E2536/Cours_Hist_figé!E2472 - 1</f>
        <v>8.0368201601854761E-3</v>
      </c>
    </row>
    <row r="2473" spans="1:5" x14ac:dyDescent="0.4">
      <c r="A2473" s="27">
        <v>45642</v>
      </c>
      <c r="B2473" s="29">
        <f>Cours_Hist_figé!B2537/Cours_Hist_figé!B2473 - 1</f>
        <v>7.7154637761478462E-4</v>
      </c>
      <c r="C2473" s="29">
        <f>Cours_Hist_figé!C2537/Cours_Hist_figé!C2473 - 1</f>
        <v>9.4082280930274376E-3</v>
      </c>
      <c r="D2473" s="29">
        <f>Cours_Hist_figé!D2537/Cours_Hist_figé!D2473 - 1</f>
        <v>8.4148771150041046E-3</v>
      </c>
      <c r="E2473" s="29">
        <f>Cours_Hist_figé!E2537/Cours_Hist_figé!E2473 - 1</f>
        <v>8.2003044761844723E-3</v>
      </c>
    </row>
    <row r="2474" spans="1:5" x14ac:dyDescent="0.4">
      <c r="A2474" s="27">
        <v>45643</v>
      </c>
      <c r="B2474" s="29">
        <f>Cours_Hist_figé!B2538/Cours_Hist_figé!B2474 - 1</f>
        <v>2.2061191009732362E-3</v>
      </c>
      <c r="C2474" s="29">
        <f>Cours_Hist_figé!C2538/Cours_Hist_figé!C2474 - 1</f>
        <v>1.2935958271901526E-2</v>
      </c>
      <c r="D2474" s="29">
        <f>Cours_Hist_figé!D2538/Cours_Hist_figé!D2474 - 1</f>
        <v>8.4008592644477798E-3</v>
      </c>
      <c r="E2474" s="29">
        <f>Cours_Hist_figé!E2538/Cours_Hist_figé!E2474 - 1</f>
        <v>8.1863086622231407E-3</v>
      </c>
    </row>
    <row r="2475" spans="1:5" x14ac:dyDescent="0.4">
      <c r="A2475" s="27">
        <v>45644</v>
      </c>
      <c r="B2475" s="29">
        <f>Cours_Hist_figé!B2539/Cours_Hist_figé!B2475 - 1</f>
        <v>-1.0770190984490613E-2</v>
      </c>
      <c r="C2475" s="29">
        <f>Cours_Hist_figé!C2539/Cours_Hist_figé!C2475 - 1</f>
        <v>1.138156542243185E-2</v>
      </c>
      <c r="D2475" s="29">
        <f>Cours_Hist_figé!D2539/Cours_Hist_figé!D2475 - 1</f>
        <v>8.3939079943227135E-3</v>
      </c>
      <c r="E2475" s="29">
        <f>Cours_Hist_figé!E2539/Cours_Hist_figé!E2475 - 1</f>
        <v>8.179247595351713E-3</v>
      </c>
    </row>
    <row r="2476" spans="1:5" x14ac:dyDescent="0.4">
      <c r="A2476" s="27">
        <v>45645</v>
      </c>
      <c r="B2476" s="29">
        <f>Cours_Hist_figé!B2540/Cours_Hist_figé!B2476 - 1</f>
        <v>-1.1225966307068402E-2</v>
      </c>
      <c r="C2476" s="29">
        <f>Cours_Hist_figé!C2540/Cours_Hist_figé!C2476 - 1</f>
        <v>9.6774166867925615E-3</v>
      </c>
      <c r="D2476" s="29">
        <f>Cours_Hist_figé!D2540/Cours_Hist_figé!D2476 - 1</f>
        <v>8.3799901575825064E-3</v>
      </c>
      <c r="E2476" s="29">
        <f>Cours_Hist_figé!E2540/Cours_Hist_figé!E2476 - 1</f>
        <v>8.1653325051669334E-3</v>
      </c>
    </row>
    <row r="2477" spans="1:5" x14ac:dyDescent="0.4">
      <c r="A2477" s="27">
        <v>45646</v>
      </c>
      <c r="B2477" s="29">
        <f>Cours_Hist_figé!B2541/Cours_Hist_figé!B2477 - 1</f>
        <v>-2.4573357603605905E-2</v>
      </c>
      <c r="C2477" s="29">
        <f>Cours_Hist_figé!C2541/Cours_Hist_figé!C2477 - 1</f>
        <v>7.9525789289438542E-3</v>
      </c>
      <c r="D2477" s="29">
        <f>Cours_Hist_figé!D2541/Cours_Hist_figé!D2477 - 1</f>
        <v>8.1703101585997029E-3</v>
      </c>
      <c r="E2477" s="29">
        <f>Cours_Hist_figé!E2541/Cours_Hist_figé!E2477 - 1</f>
        <v>7.9604739778649236E-3</v>
      </c>
    </row>
    <row r="2478" spans="1:5" x14ac:dyDescent="0.4">
      <c r="A2478" s="27">
        <v>45649</v>
      </c>
      <c r="B2478" s="29">
        <f>Cours_Hist_figé!B2542/Cours_Hist_figé!B2478 - 1</f>
        <v>-2.9647563186234072E-2</v>
      </c>
      <c r="C2478" s="29">
        <f>Cours_Hist_figé!C2542/Cours_Hist_figé!C2478 - 1</f>
        <v>3.0115057281929758E-3</v>
      </c>
      <c r="D2478" s="29">
        <f>Cours_Hist_figé!D2542/Cours_Hist_figé!D2478 - 1</f>
        <v>8.3244495743164393E-3</v>
      </c>
      <c r="E2478" s="29">
        <f>Cours_Hist_figé!E2542/Cours_Hist_figé!E2478 - 1</f>
        <v>8.109813520317255E-3</v>
      </c>
    </row>
    <row r="2479" spans="1:5" x14ac:dyDescent="0.4">
      <c r="A2479" s="27">
        <v>45650</v>
      </c>
      <c r="B2479" s="29">
        <f>Cours_Hist_figé!B2543/Cours_Hist_figé!B2479 - 1</f>
        <v>-2.6967635511398247E-2</v>
      </c>
      <c r="C2479" s="29">
        <f>Cours_Hist_figé!C2543/Cours_Hist_figé!C2479 - 1</f>
        <v>5.9827047170040171E-3</v>
      </c>
      <c r="D2479" s="29">
        <f>Cours_Hist_figé!D2543/Cours_Hist_figé!D2479 - 1</f>
        <v>8.3103329526350578E-3</v>
      </c>
      <c r="E2479" s="29">
        <f>Cours_Hist_figé!E2543/Cours_Hist_figé!E2479 - 1</f>
        <v>8.0957013105347198E-3</v>
      </c>
    </row>
    <row r="2480" spans="1:5" x14ac:dyDescent="0.4">
      <c r="A2480" s="27">
        <v>45651</v>
      </c>
      <c r="B2480" s="29">
        <f>Cours_Hist_figé!B2544/Cours_Hist_figé!B2480 - 1</f>
        <v>-3.8927648984628194E-2</v>
      </c>
      <c r="C2480" s="29">
        <f>Cours_Hist_figé!C2544/Cours_Hist_figé!C2480 - 1</f>
        <v>4.9780677450625976E-3</v>
      </c>
      <c r="D2480" s="29">
        <f>Cours_Hist_figé!D2544/Cours_Hist_figé!D2480 - 1</f>
        <v>8.463880586087047E-3</v>
      </c>
      <c r="E2480" s="29">
        <f>Cours_Hist_figé!E2544/Cours_Hist_figé!E2480 - 1</f>
        <v>8.2444082351986747E-3</v>
      </c>
    </row>
    <row r="2481" spans="1:5" x14ac:dyDescent="0.4">
      <c r="A2481" s="27">
        <v>45652</v>
      </c>
      <c r="B2481" s="29">
        <f>Cours_Hist_figé!B2545/Cours_Hist_figé!B2481 - 1</f>
        <v>-4.451746788510913E-2</v>
      </c>
      <c r="C2481" s="29">
        <f>Cours_Hist_figé!C2545/Cours_Hist_figé!C2481 - 1</f>
        <v>2.9558319192841687E-3</v>
      </c>
      <c r="D2481" s="29">
        <f>Cours_Hist_figé!D2545/Cours_Hist_figé!D2481 - 1</f>
        <v>8.3658682925367156E-3</v>
      </c>
      <c r="E2481" s="29">
        <f>Cours_Hist_figé!E2545/Cours_Hist_figé!E2481 - 1</f>
        <v>8.148765931683899E-3</v>
      </c>
    </row>
    <row r="2482" spans="1:5" x14ac:dyDescent="0.4">
      <c r="A2482" s="27">
        <v>45653</v>
      </c>
      <c r="B2482" s="29">
        <f>Cours_Hist_figé!B2546/Cours_Hist_figé!B2482 - 1</f>
        <v>-2.8031552143695793E-2</v>
      </c>
      <c r="C2482" s="29">
        <f>Cours_Hist_figé!C2546/Cours_Hist_figé!C2482 - 1</f>
        <v>-5.9033259510943292E-4</v>
      </c>
      <c r="D2482" s="29">
        <f>Cours_Hist_figé!D2546/Cours_Hist_figé!D2482 - 1</f>
        <v>8.0718131499155632E-3</v>
      </c>
      <c r="E2482" s="29">
        <f>Cours_Hist_figé!E2546/Cours_Hist_figé!E2482 - 1</f>
        <v>7.8619478619845751E-3</v>
      </c>
    </row>
    <row r="2483" spans="1:5" x14ac:dyDescent="0.4">
      <c r="A2483" s="27">
        <v>45656</v>
      </c>
      <c r="B2483" s="29">
        <f>Cours_Hist_figé!B2547/Cours_Hist_figé!B2483 - 1</f>
        <v>-2.8912541146714932E-2</v>
      </c>
      <c r="C2483" s="29">
        <f>Cours_Hist_figé!C2547/Cours_Hist_figé!C2483 - 1</f>
        <v>-3.9403009469715089E-3</v>
      </c>
      <c r="D2483" s="29">
        <f>Cours_Hist_figé!D2547/Cours_Hist_figé!D2483 - 1</f>
        <v>8.2260328807308714E-3</v>
      </c>
      <c r="E2483" s="29">
        <f>Cours_Hist_figé!E2547/Cours_Hist_figé!E2483 - 1</f>
        <v>8.0113789883178299E-3</v>
      </c>
    </row>
    <row r="2484" spans="1:5" x14ac:dyDescent="0.4">
      <c r="A2484" s="27">
        <v>45657</v>
      </c>
      <c r="B2484" s="29">
        <f>Cours_Hist_figé!B2548/Cours_Hist_figé!B2484 - 1</f>
        <v>-2.429402909835976E-2</v>
      </c>
      <c r="C2484" s="29">
        <f>Cours_Hist_figé!C2548/Cours_Hist_figé!C2484 - 1</f>
        <v>-3.9203014203292863E-4</v>
      </c>
      <c r="D2484" s="29">
        <f>Cours_Hist_figé!D2548/Cours_Hist_figé!D2484 - 1</f>
        <v>8.2120225123702983E-3</v>
      </c>
      <c r="E2484" s="29">
        <f>Cours_Hist_figé!E2548/Cours_Hist_figé!E2484 - 1</f>
        <v>7.9973513823257125E-3</v>
      </c>
    </row>
    <row r="2485" spans="1:5" x14ac:dyDescent="0.4">
      <c r="A2485" s="27">
        <v>45659</v>
      </c>
      <c r="B2485" s="29">
        <f>Cours_Hist_figé!B2549/Cours_Hist_figé!B2485 - 1</f>
        <v>-9.2659933764939195E-3</v>
      </c>
      <c r="C2485" s="29">
        <f>Cours_Hist_figé!C2549/Cours_Hist_figé!C2485 - 1</f>
        <v>3.3357009141554705E-4</v>
      </c>
      <c r="D2485" s="29">
        <f>Cours_Hist_figé!D2549/Cours_Hist_figé!D2485 - 1</f>
        <v>8.2815813151251305E-3</v>
      </c>
      <c r="E2485" s="29">
        <f>Cours_Hist_figé!E2549/Cours_Hist_figé!E2485 - 1</f>
        <v>8.0645440082658393E-3</v>
      </c>
    </row>
    <row r="2486" spans="1:5" x14ac:dyDescent="0.4">
      <c r="A2486" s="27">
        <v>45660</v>
      </c>
      <c r="B2486" s="29">
        <f>Cours_Hist_figé!B2550/Cours_Hist_figé!B2486 - 1</f>
        <v>-1.7944176074217832E-2</v>
      </c>
      <c r="C2486" s="29">
        <f>Cours_Hist_figé!C2550/Cours_Hist_figé!C2486 - 1</f>
        <v>3.6694751207377863E-5</v>
      </c>
      <c r="D2486" s="29">
        <f>Cours_Hist_figé!D2550/Cours_Hist_figé!D2486 - 1</f>
        <v>8.2679713582132219E-3</v>
      </c>
      <c r="E2486" s="29">
        <f>Cours_Hist_figé!E2550/Cours_Hist_figé!E2486 - 1</f>
        <v>8.0509062837901268E-3</v>
      </c>
    </row>
    <row r="2487" spans="1:5" x14ac:dyDescent="0.4">
      <c r="A2487" s="27">
        <v>45663</v>
      </c>
      <c r="B2487" s="29">
        <f>Cours_Hist_figé!B2551/Cours_Hist_figé!B2487 - 1</f>
        <v>-1.0764502447894175E-2</v>
      </c>
      <c r="C2487" s="29">
        <f>Cours_Hist_figé!C2551/Cours_Hist_figé!C2487 - 1</f>
        <v>1.7172557963065493E-3</v>
      </c>
      <c r="D2487" s="29">
        <f>Cours_Hist_figé!D2551/Cours_Hist_figé!D2487 - 1</f>
        <v>8.2263419966552842E-3</v>
      </c>
      <c r="E2487" s="29">
        <f>Cours_Hist_figé!E2551/Cours_Hist_figé!E2487 - 1</f>
        <v>8.0093374742884471E-3</v>
      </c>
    </row>
    <row r="2488" spans="1:5" x14ac:dyDescent="0.4">
      <c r="A2488" s="27">
        <v>45664</v>
      </c>
      <c r="B2488" s="29">
        <f>Cours_Hist_figé!B2552/Cours_Hist_figé!B2488 - 1</f>
        <v>-1.9760103154239372E-3</v>
      </c>
      <c r="C2488" s="29">
        <f>Cours_Hist_figé!C2552/Cours_Hist_figé!C2488 - 1</f>
        <v>-1.3386239276547141E-4</v>
      </c>
      <c r="D2488" s="29">
        <f>Cours_Hist_figé!D2552/Cours_Hist_figé!D2488 - 1</f>
        <v>8.2124268645495935E-3</v>
      </c>
      <c r="E2488" s="29">
        <f>Cours_Hist_figé!E2552/Cours_Hist_figé!E2488 - 1</f>
        <v>7.9954515302766982E-3</v>
      </c>
    </row>
    <row r="2489" spans="1:5" x14ac:dyDescent="0.4">
      <c r="A2489" s="27">
        <v>45665</v>
      </c>
      <c r="B2489" s="29">
        <f>Cours_Hist_figé!B2553/Cours_Hist_figé!B2489 - 1</f>
        <v>-9.4609492947340668E-3</v>
      </c>
      <c r="C2489" s="29">
        <f>Cours_Hist_figé!C2553/Cours_Hist_figé!C2489 - 1</f>
        <v>-1.3700119064986582E-3</v>
      </c>
      <c r="D2489" s="29">
        <f>Cours_Hist_figé!D2553/Cours_Hist_figé!D2489 - 1</f>
        <v>8.1985217350357686E-3</v>
      </c>
      <c r="E2489" s="29">
        <f>Cours_Hist_figé!E2553/Cours_Hist_figé!E2489 - 1</f>
        <v>7.9815679908674664E-3</v>
      </c>
    </row>
    <row r="2490" spans="1:5" x14ac:dyDescent="0.4">
      <c r="A2490" s="27">
        <v>45666</v>
      </c>
      <c r="B2490" s="29">
        <f>Cours_Hist_figé!B2554/Cours_Hist_figé!B2490 - 1</f>
        <v>-3.514154069814146E-3</v>
      </c>
      <c r="C2490" s="29">
        <f>Cours_Hist_figé!C2554/Cours_Hist_figé!C2490 - 1</f>
        <v>-3.2506012744538682E-3</v>
      </c>
      <c r="D2490" s="29">
        <f>Cours_Hist_figé!D2554/Cours_Hist_figé!D2490 - 1</f>
        <v>8.1846045942288725E-3</v>
      </c>
      <c r="E2490" s="29">
        <f>Cours_Hist_figé!E2554/Cours_Hist_figé!E2490 - 1</f>
        <v>7.9676200847365042E-3</v>
      </c>
    </row>
    <row r="2491" spans="1:5" x14ac:dyDescent="0.4">
      <c r="A2491" s="27">
        <v>45667</v>
      </c>
      <c r="B2491" s="29">
        <f>Cours_Hist_figé!B2555/Cours_Hist_figé!B2491 - 1</f>
        <v>-1.7286330878552136E-2</v>
      </c>
      <c r="C2491" s="29">
        <f>Cours_Hist_figé!C2555/Cours_Hist_figé!C2491 - 1</f>
        <v>-5.0063131887349011E-3</v>
      </c>
      <c r="D2491" s="29">
        <f>Cours_Hist_figé!D2555/Cours_Hist_figé!D2491 - 1</f>
        <v>8.1707921896663205E-3</v>
      </c>
      <c r="E2491" s="29">
        <f>Cours_Hist_figé!E2555/Cours_Hist_figé!E2491 - 1</f>
        <v>7.9537987629940687E-3</v>
      </c>
    </row>
    <row r="2492" spans="1:5" x14ac:dyDescent="0.4">
      <c r="A2492" s="27">
        <v>45670</v>
      </c>
      <c r="B2492" s="29">
        <f>Cours_Hist_figé!B2556/Cours_Hist_figé!B2492 - 1</f>
        <v>-2.7768949111439234E-2</v>
      </c>
      <c r="C2492" s="29">
        <f>Cours_Hist_figé!C2556/Cours_Hist_figé!C2492 - 1</f>
        <v>-7.3415493685110578E-3</v>
      </c>
      <c r="D2492" s="29">
        <f>Cours_Hist_figé!D2556/Cours_Hist_figé!D2492 - 1</f>
        <v>8.1291676108579125E-3</v>
      </c>
      <c r="E2492" s="29">
        <f>Cours_Hist_figé!E2556/Cours_Hist_figé!E2492 - 1</f>
        <v>7.9121415225604785E-3</v>
      </c>
    </row>
    <row r="2493" spans="1:5" x14ac:dyDescent="0.4">
      <c r="A2493" s="27">
        <v>45671</v>
      </c>
      <c r="B2493" s="29">
        <f>Cours_Hist_figé!B2557/Cours_Hist_figé!B2493 - 1</f>
        <v>-1.9985232729851976E-2</v>
      </c>
      <c r="C2493" s="29">
        <f>Cours_Hist_figé!C2557/Cours_Hist_figé!C2493 - 1</f>
        <v>-1.2922443941575823E-2</v>
      </c>
      <c r="D2493" s="29">
        <f>Cours_Hist_figé!D2557/Cours_Hist_figé!D2493 - 1</f>
        <v>8.1152562587358812E-3</v>
      </c>
      <c r="E2493" s="29">
        <f>Cours_Hist_figé!E2557/Cours_Hist_figé!E2493 - 1</f>
        <v>7.8982830605260901E-3</v>
      </c>
    </row>
    <row r="2494" spans="1:5" x14ac:dyDescent="0.4">
      <c r="A2494" s="27">
        <v>45672</v>
      </c>
      <c r="B2494" s="29">
        <f>Cours_Hist_figé!B2558/Cours_Hist_figé!B2494 - 1</f>
        <v>-5.4961522565243337E-3</v>
      </c>
      <c r="C2494" s="29">
        <f>Cours_Hist_figé!C2558/Cours_Hist_figé!C2494 - 1</f>
        <v>-9.2629560951309475E-3</v>
      </c>
      <c r="D2494" s="29">
        <f>Cours_Hist_figé!D2558/Cours_Hist_figé!D2494 - 1</f>
        <v>8.1013402585734529E-3</v>
      </c>
      <c r="E2494" s="29">
        <f>Cours_Hist_figé!E2558/Cours_Hist_figé!E2494 - 1</f>
        <v>7.8844556859019033E-3</v>
      </c>
    </row>
    <row r="2495" spans="1:5" x14ac:dyDescent="0.4">
      <c r="A2495" s="27">
        <v>45673</v>
      </c>
      <c r="B2495" s="29">
        <f>Cours_Hist_figé!B2559/Cours_Hist_figé!B2495 - 1</f>
        <v>-3.9968602698803313E-3</v>
      </c>
      <c r="C2495" s="29">
        <f>Cours_Hist_figé!C2559/Cours_Hist_figé!C2495 - 1</f>
        <v>-7.6203634643123852E-3</v>
      </c>
      <c r="D2495" s="29">
        <f>Cours_Hist_figé!D2559/Cours_Hist_figé!D2495 - 1</f>
        <v>8.0875362874106571E-3</v>
      </c>
      <c r="E2495" s="29">
        <f>Cours_Hist_figé!E2559/Cours_Hist_figé!E2495 - 1</f>
        <v>7.8706306331119968E-3</v>
      </c>
    </row>
    <row r="2496" spans="1:5" x14ac:dyDescent="0.4">
      <c r="A2496" s="27">
        <v>45674</v>
      </c>
      <c r="B2496" s="29">
        <f>Cours_Hist_figé!B2560/Cours_Hist_figé!B2496 - 1</f>
        <v>3.3426273742742652E-4</v>
      </c>
      <c r="C2496" s="29">
        <f>Cours_Hist_figé!C2560/Cours_Hist_figé!C2496 - 1</f>
        <v>-8.1518054055029765E-3</v>
      </c>
      <c r="D2496" s="29">
        <f>Cours_Hist_figé!D2560/Cours_Hist_figé!D2496 - 1</f>
        <v>8.0737276488469512E-3</v>
      </c>
      <c r="E2496" s="29">
        <f>Cours_Hist_figé!E2560/Cours_Hist_figé!E2496 - 1</f>
        <v>7.8567698632687755E-3</v>
      </c>
    </row>
    <row r="2497" spans="1:5" x14ac:dyDescent="0.4">
      <c r="A2497" s="27">
        <v>45677</v>
      </c>
      <c r="B2497" s="29">
        <f>Cours_Hist_figé!B2561/Cours_Hist_figé!B2497 - 1</f>
        <v>7.2785560866732713E-3</v>
      </c>
      <c r="C2497" s="29">
        <f>Cours_Hist_figé!C2561/Cours_Hist_figé!C2497 - 1</f>
        <v>-1.4545649391732862E-3</v>
      </c>
      <c r="D2497" s="29">
        <f>Cours_Hist_figé!D2561/Cours_Hist_figé!D2497 - 1</f>
        <v>8.0321053871195147E-3</v>
      </c>
      <c r="E2497" s="29">
        <f>Cours_Hist_figé!E2561/Cours_Hist_figé!E2497 - 1</f>
        <v>7.8152126102966069E-3</v>
      </c>
    </row>
    <row r="2498" spans="1:5" x14ac:dyDescent="0.4">
      <c r="A2498" s="27">
        <v>45678</v>
      </c>
      <c r="B2498" s="29">
        <f>Cours_Hist_figé!B2562/Cours_Hist_figé!B2498 - 1</f>
        <v>1.3287655745142457E-2</v>
      </c>
      <c r="C2498" s="29">
        <f>Cours_Hist_figé!C2562/Cours_Hist_figé!C2498 - 1</f>
        <v>9.2258652809018571E-4</v>
      </c>
      <c r="D2498" s="29">
        <f>Cours_Hist_figé!D2562/Cours_Hist_figé!D2498 - 1</f>
        <v>8.018197820915729E-3</v>
      </c>
      <c r="E2498" s="29">
        <f>Cours_Hist_figé!E2562/Cours_Hist_figé!E2498 - 1</f>
        <v>7.8013240302605702E-3</v>
      </c>
    </row>
    <row r="2499" spans="1:5" x14ac:dyDescent="0.4">
      <c r="A2499" s="27">
        <v>45679</v>
      </c>
      <c r="B2499" s="29">
        <f>Cours_Hist_figé!B2563/Cours_Hist_figé!B2499 - 1</f>
        <v>2.0282050960638953E-2</v>
      </c>
      <c r="C2499" s="29">
        <f>Cours_Hist_figé!C2563/Cours_Hist_figé!C2499 - 1</f>
        <v>7.9439458672703189E-4</v>
      </c>
      <c r="D2499" s="29">
        <f>Cours_Hist_figé!D2563/Cours_Hist_figé!D2499 - 1</f>
        <v>8.004387643060884E-3</v>
      </c>
      <c r="E2499" s="29">
        <f>Cours_Hist_figé!E2563/Cours_Hist_figé!E2499 - 1</f>
        <v>7.7874758844562741E-3</v>
      </c>
    </row>
    <row r="2500" spans="1:5" x14ac:dyDescent="0.4">
      <c r="A2500" s="27">
        <v>45680</v>
      </c>
      <c r="B2500" s="29">
        <f>Cours_Hist_figé!B2564/Cours_Hist_figé!B2500 - 1</f>
        <v>2.423322170287312E-2</v>
      </c>
      <c r="C2500" s="29">
        <f>Cours_Hist_figé!C2564/Cours_Hist_figé!C2500 - 1</f>
        <v>-5.7462317182624956E-3</v>
      </c>
      <c r="D2500" s="29">
        <f>Cours_Hist_figé!D2564/Cours_Hist_figé!D2500 - 1</f>
        <v>7.9975363091611129E-3</v>
      </c>
      <c r="E2500" s="29">
        <f>Cours_Hist_figé!E2564/Cours_Hist_figé!E2500 - 1</f>
        <v>7.7805845724314704E-3</v>
      </c>
    </row>
    <row r="2501" spans="1:5" x14ac:dyDescent="0.4">
      <c r="A2501" s="27">
        <v>45681</v>
      </c>
      <c r="B2501" s="29">
        <f>Cours_Hist_figé!B2565/Cours_Hist_figé!B2501 - 1</f>
        <v>2.4280573180552878E-2</v>
      </c>
      <c r="C2501" s="29">
        <f>Cours_Hist_figé!C2565/Cours_Hist_figé!C2501 - 1</f>
        <v>-4.5546164853151883E-3</v>
      </c>
      <c r="D2501" s="29">
        <f>Cours_Hist_figé!D2565/Cours_Hist_figé!D2501 - 1</f>
        <v>7.9906788674903861E-3</v>
      </c>
      <c r="E2501" s="29">
        <f>Cours_Hist_figé!E2565/Cours_Hist_figé!E2501 - 1</f>
        <v>7.773751421039421E-3</v>
      </c>
    </row>
    <row r="2502" spans="1:5" x14ac:dyDescent="0.4">
      <c r="A2502" s="27">
        <v>45684</v>
      </c>
      <c r="B2502" s="29">
        <f>Cours_Hist_figé!B2566/Cours_Hist_figé!B2502 - 1</f>
        <v>1.9866440244334038E-2</v>
      </c>
      <c r="C2502" s="29">
        <f>Cours_Hist_figé!C2566/Cours_Hist_figé!C2502 - 1</f>
        <v>-3.1958651719429243E-3</v>
      </c>
      <c r="D2502" s="29">
        <f>Cours_Hist_figé!D2566/Cours_Hist_figé!D2502 - 1</f>
        <v>7.9701209646398929E-3</v>
      </c>
      <c r="E2502" s="29">
        <f>Cours_Hist_figé!E2566/Cours_Hist_figé!E2502 - 1</f>
        <v>7.753183018277765E-3</v>
      </c>
    </row>
    <row r="2503" spans="1:5" x14ac:dyDescent="0.4">
      <c r="A2503" s="27">
        <v>45685</v>
      </c>
      <c r="B2503" s="29">
        <f>Cours_Hist_figé!B2567/Cours_Hist_figé!B2503 - 1</f>
        <v>2.9400934604273621E-2</v>
      </c>
      <c r="C2503" s="29">
        <f>Cours_Hist_figé!C2567/Cours_Hist_figé!C2503 - 1</f>
        <v>-1.2914491214432999E-3</v>
      </c>
      <c r="D2503" s="29">
        <f>Cours_Hist_figé!D2567/Cours_Hist_figé!D2503 - 1</f>
        <v>7.9632681833070595E-3</v>
      </c>
      <c r="E2503" s="29">
        <f>Cours_Hist_figé!E2567/Cours_Hist_figé!E2503 - 1</f>
        <v>7.7463834006232801E-3</v>
      </c>
    </row>
    <row r="2504" spans="1:5" x14ac:dyDescent="0.4">
      <c r="A2504" s="27">
        <v>45686</v>
      </c>
      <c r="B2504" s="29">
        <f>Cours_Hist_figé!B2568/Cours_Hist_figé!B2504 - 1</f>
        <v>4.8223577713095711E-2</v>
      </c>
      <c r="C2504" s="29">
        <f>Cours_Hist_figé!C2568/Cours_Hist_figé!C2504 - 1</f>
        <v>1.180607741939621E-3</v>
      </c>
      <c r="D2504" s="29">
        <f>Cours_Hist_figé!D2568/Cours_Hist_figé!D2504 - 1</f>
        <v>7.9564165814247634E-3</v>
      </c>
      <c r="E2504" s="29">
        <f>Cours_Hist_figé!E2568/Cours_Hist_figé!E2504 - 1</f>
        <v>7.7395849044274989E-3</v>
      </c>
    </row>
    <row r="2505" spans="1:5" x14ac:dyDescent="0.4">
      <c r="A2505" s="27">
        <v>45687</v>
      </c>
      <c r="B2505" s="29">
        <f>Cours_Hist_figé!B2569/Cours_Hist_figé!B2505 - 1</f>
        <v>6.9352223970283733E-2</v>
      </c>
      <c r="C2505" s="29">
        <f>Cours_Hist_figé!C2569/Cours_Hist_figé!C2505 - 1</f>
        <v>4.7797498867976351E-3</v>
      </c>
      <c r="D2505" s="29">
        <f>Cours_Hist_figé!D2569/Cours_Hist_figé!D2505 - 1</f>
        <v>7.949660833882044E-3</v>
      </c>
      <c r="E2505" s="29">
        <f>Cours_Hist_figé!E2569/Cours_Hist_figé!E2505 - 1</f>
        <v>7.7328063067501063E-3</v>
      </c>
    </row>
    <row r="2506" spans="1:5" x14ac:dyDescent="0.4">
      <c r="A2506" s="27">
        <v>45688</v>
      </c>
      <c r="B2506" s="29">
        <f>Cours_Hist_figé!B2570/Cours_Hist_figé!B2506 - 1</f>
        <v>5.9026899975429536E-2</v>
      </c>
      <c r="C2506" s="29">
        <f>Cours_Hist_figé!C2570/Cours_Hist_figé!C2506 - 1</f>
        <v>9.5666406645817936E-3</v>
      </c>
      <c r="D2506" s="29">
        <f>Cours_Hist_figé!D2570/Cours_Hist_figé!D2506 - 1</f>
        <v>7.9432144655597892E-3</v>
      </c>
      <c r="E2506" s="29">
        <f>Cours_Hist_figé!E2570/Cours_Hist_figé!E2506 - 1</f>
        <v>7.7263063953250111E-3</v>
      </c>
    </row>
    <row r="2507" spans="1:5" x14ac:dyDescent="0.4">
      <c r="A2507" s="27">
        <v>45691</v>
      </c>
      <c r="B2507" s="29">
        <f>Cours_Hist_figé!B2571/Cours_Hist_figé!B2507 - 1</f>
        <v>5.3745131490961828E-2</v>
      </c>
      <c r="C2507" s="29">
        <f>Cours_Hist_figé!C2571/Cours_Hist_figé!C2507 - 1</f>
        <v>1.2771060811777923E-2</v>
      </c>
      <c r="D2507" s="29">
        <f>Cours_Hist_figé!D2571/Cours_Hist_figé!D2507 - 1</f>
        <v>7.9220492537266374E-3</v>
      </c>
      <c r="E2507" s="29">
        <f>Cours_Hist_figé!E2571/Cours_Hist_figé!E2507 - 1</f>
        <v>7.7052416274721036E-3</v>
      </c>
    </row>
    <row r="2508" spans="1:5" x14ac:dyDescent="0.4">
      <c r="A2508" s="27">
        <v>45692</v>
      </c>
      <c r="B2508" s="29">
        <f>Cours_Hist_figé!B2572/Cours_Hist_figé!B2508 - 1</f>
        <v>5.6295948856408762E-2</v>
      </c>
      <c r="C2508" s="29">
        <f>Cours_Hist_figé!C2572/Cours_Hist_figé!C2508 - 1</f>
        <v>1.3955724067916009E-2</v>
      </c>
      <c r="D2508" s="29">
        <f>Cours_Hist_figé!D2572/Cours_Hist_figé!D2508 - 1</f>
        <v>7.9151982025786882E-3</v>
      </c>
      <c r="E2508" s="29">
        <f>Cours_Hist_figé!E2572/Cours_Hist_figé!E2508 - 1</f>
        <v>7.6983837180633063E-3</v>
      </c>
    </row>
    <row r="2509" spans="1:5" x14ac:dyDescent="0.4">
      <c r="A2509" s="27">
        <v>45693</v>
      </c>
      <c r="B2509" s="29">
        <f>Cours_Hist_figé!B2573/Cours_Hist_figé!B2509 - 1</f>
        <v>6.7444258734773666E-2</v>
      </c>
      <c r="C2509" s="29">
        <f>Cours_Hist_figé!C2573/Cours_Hist_figé!C2509 - 1</f>
        <v>1.5688322998488768E-2</v>
      </c>
      <c r="D2509" s="29">
        <f>Cours_Hist_figé!D2573/Cours_Hist_figé!D2509 - 1</f>
        <v>7.9083410508180574E-3</v>
      </c>
      <c r="E2509" s="29">
        <f>Cours_Hist_figé!E2573/Cours_Hist_figé!E2509 - 1</f>
        <v>7.691498459244217E-3</v>
      </c>
    </row>
    <row r="2510" spans="1:5" x14ac:dyDescent="0.4">
      <c r="A2510" s="27">
        <v>45694</v>
      </c>
      <c r="B2510" s="29">
        <f>Cours_Hist_figé!B2574/Cours_Hist_figé!B2510 - 1</f>
        <v>7.3412929251678083E-2</v>
      </c>
      <c r="C2510" s="29">
        <f>Cours_Hist_figé!C2574/Cours_Hist_figé!C2510 - 1</f>
        <v>1.6718025563967176E-2</v>
      </c>
      <c r="D2510" s="29">
        <f>Cours_Hist_figé!D2574/Cours_Hist_figé!D2510 - 1</f>
        <v>7.89443987642513E-3</v>
      </c>
      <c r="E2510" s="29">
        <f>Cours_Hist_figé!E2574/Cours_Hist_figé!E2510 - 1</f>
        <v>7.6776087802610249E-3</v>
      </c>
    </row>
    <row r="2511" spans="1:5" x14ac:dyDescent="0.4">
      <c r="A2511" s="27">
        <v>45695</v>
      </c>
      <c r="B2511" s="29">
        <f>Cours_Hist_figé!B2575/Cours_Hist_figé!B2511 - 1</f>
        <v>7.6132888277371746E-2</v>
      </c>
      <c r="C2511" s="29">
        <f>Cours_Hist_figé!C2575/Cours_Hist_figé!C2511 - 1</f>
        <v>1.2006305023908093E-2</v>
      </c>
      <c r="D2511" s="29">
        <f>Cours_Hist_figé!D2575/Cours_Hist_figé!D2511 - 1</f>
        <v>7.880635758737764E-3</v>
      </c>
      <c r="E2511" s="29">
        <f>Cours_Hist_figé!E2575/Cours_Hist_figé!E2511 - 1</f>
        <v>7.663787767258734E-3</v>
      </c>
    </row>
    <row r="2512" spans="1:5" x14ac:dyDescent="0.4">
      <c r="A2512" s="27">
        <v>45698</v>
      </c>
      <c r="B2512" s="29">
        <f>Cours_Hist_figé!B2576/Cours_Hist_figé!B2512 - 1</f>
        <v>7.0339002825835717E-2</v>
      </c>
      <c r="C2512" s="29">
        <f>Cours_Hist_figé!C2576/Cours_Hist_figé!C2512 - 1</f>
        <v>1.0142967979864803E-2</v>
      </c>
      <c r="D2512" s="29">
        <f>Cours_Hist_figé!D2576/Cours_Hist_figé!D2512 - 1</f>
        <v>7.838815337269267E-3</v>
      </c>
      <c r="E2512" s="29">
        <f>Cours_Hist_figé!E2576/Cours_Hist_figé!E2512 - 1</f>
        <v>7.6219784008106917E-3</v>
      </c>
    </row>
    <row r="2513" spans="1:5" x14ac:dyDescent="0.4">
      <c r="A2513" s="27">
        <v>45699</v>
      </c>
      <c r="B2513" s="29">
        <f>Cours_Hist_figé!B2577/Cours_Hist_figé!B2513 - 1</f>
        <v>9.4337831709408126E-2</v>
      </c>
      <c r="C2513" s="29">
        <f>Cours_Hist_figé!C2577/Cours_Hist_figé!C2513 - 1</f>
        <v>6.2546189761751858E-3</v>
      </c>
      <c r="D2513" s="29">
        <f>Cours_Hist_figé!D2577/Cours_Hist_figé!D2513 - 1</f>
        <v>7.8249118075499613E-3</v>
      </c>
      <c r="E2513" s="29">
        <f>Cours_Hist_figé!E2577/Cours_Hist_figé!E2513 - 1</f>
        <v>7.6080437026884162E-3</v>
      </c>
    </row>
    <row r="2514" spans="1:5" x14ac:dyDescent="0.4">
      <c r="A2514" s="27">
        <v>45700</v>
      </c>
      <c r="B2514" s="29">
        <f>Cours_Hist_figé!B2578/Cours_Hist_figé!B2514 - 1</f>
        <v>9.698444477554502E-2</v>
      </c>
      <c r="C2514" s="29">
        <f>Cours_Hist_figé!C2578/Cours_Hist_figé!C2514 - 1</f>
        <v>5.115225624396702E-3</v>
      </c>
      <c r="D2514" s="29">
        <f>Cours_Hist_figé!D2578/Cours_Hist_figé!D2514 - 1</f>
        <v>7.8110034546310381E-3</v>
      </c>
      <c r="E2514" s="29">
        <f>Cours_Hist_figé!E2578/Cours_Hist_figé!E2514 - 1</f>
        <v>7.5941396996610511E-3</v>
      </c>
    </row>
    <row r="2515" spans="1:5" x14ac:dyDescent="0.4">
      <c r="A2515" s="27">
        <v>45701</v>
      </c>
      <c r="B2515" s="29">
        <f>Cours_Hist_figé!B2579/Cours_Hist_figé!B2515 - 1</f>
        <v>9.7216172383217447E-2</v>
      </c>
      <c r="C2515" s="29">
        <f>Cours_Hist_figé!C2579/Cours_Hist_figé!C2515 - 1</f>
        <v>7.0207474752794763E-3</v>
      </c>
      <c r="D2515" s="29">
        <f>Cours_Hist_figé!D2579/Cours_Hist_figé!D2515 - 1</f>
        <v>7.7969949305698449E-3</v>
      </c>
      <c r="E2515" s="29">
        <f>Cours_Hist_figé!E2579/Cours_Hist_figé!E2515 - 1</f>
        <v>7.5801714420622446E-3</v>
      </c>
    </row>
    <row r="2516" spans="1:5" x14ac:dyDescent="0.4">
      <c r="A2516" s="27">
        <v>45702</v>
      </c>
      <c r="B2516" s="29">
        <f>Cours_Hist_figé!B2580/Cours_Hist_figé!B2516 - 1</f>
        <v>0.10303524127086261</v>
      </c>
      <c r="C2516" s="29">
        <f>Cours_Hist_figé!C2580/Cours_Hist_figé!C2516 - 1</f>
        <v>5.8483620309632833E-3</v>
      </c>
      <c r="D2516" s="29">
        <f>Cours_Hist_figé!D2580/Cours_Hist_figé!D2516 - 1</f>
        <v>7.7829888794278546E-3</v>
      </c>
      <c r="E2516" s="29">
        <f>Cours_Hist_figé!E2580/Cours_Hist_figé!E2516 - 1</f>
        <v>7.5662338109301341E-3</v>
      </c>
    </row>
    <row r="2517" spans="1:5" ht="16.5" thickBot="1" x14ac:dyDescent="0.45">
      <c r="A2517" s="28">
        <v>45705</v>
      </c>
      <c r="B2517" s="29">
        <f>Cours_Hist_figé!B2581/Cours_Hist_figé!B2517 - 1</f>
        <v>0.10894253364922557</v>
      </c>
      <c r="C2517" s="29">
        <f>Cours_Hist_figé!C2581/Cours_Hist_figé!C2517 - 1</f>
        <v>4.8690315346384683E-3</v>
      </c>
      <c r="D2517" s="29">
        <f>Cours_Hist_figé!D2581/Cours_Hist_figé!D2517 - 1</f>
        <v>7.7410737672631846E-3</v>
      </c>
      <c r="E2517" s="29">
        <f>Cours_Hist_figé!E2581/Cours_Hist_figé!E2517 - 1</f>
        <v>7.5243405650147199E-3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00E96-9928-7F40-A811-440A0185C562}">
  <sheetPr codeName="Feuil5">
    <tabColor theme="3" tint="0.89999084444715716"/>
  </sheetPr>
  <dimension ref="A1:E2581"/>
  <sheetViews>
    <sheetView workbookViewId="0">
      <selection activeCell="E34" sqref="E34"/>
    </sheetView>
  </sheetViews>
  <sheetFormatPr baseColWidth="10" defaultRowHeight="16" x14ac:dyDescent="0.4"/>
  <cols>
    <col min="1" max="1" width="10.08203125" bestFit="1" customWidth="1"/>
    <col min="2" max="2" width="15.33203125" bestFit="1" customWidth="1"/>
    <col min="3" max="3" width="15.08203125" bestFit="1" customWidth="1"/>
    <col min="4" max="4" width="14.5" bestFit="1" customWidth="1"/>
    <col min="5" max="5" width="38.5" bestFit="1" customWidth="1"/>
  </cols>
  <sheetData>
    <row r="1" spans="1:5" ht="16.5" thickBot="1" x14ac:dyDescent="0.45">
      <c r="B1" s="16" t="s">
        <v>14</v>
      </c>
      <c r="C1" s="17" t="s">
        <v>15</v>
      </c>
      <c r="D1" s="17" t="s">
        <v>16</v>
      </c>
      <c r="E1" s="18" t="s">
        <v>17</v>
      </c>
    </row>
    <row r="2" spans="1:5" x14ac:dyDescent="0.4">
      <c r="A2" s="26">
        <v>42009</v>
      </c>
      <c r="B2" s="9">
        <v>172.27610000000001</v>
      </c>
      <c r="C2" s="19">
        <v>237.21190000000001</v>
      </c>
      <c r="D2" s="19">
        <v>131.735499</v>
      </c>
      <c r="E2" s="20">
        <v>101.44554131573973</v>
      </c>
    </row>
    <row r="3" spans="1:5" x14ac:dyDescent="0.4">
      <c r="A3" s="27">
        <v>42010</v>
      </c>
      <c r="B3" s="21">
        <v>171.10730000000001</v>
      </c>
      <c r="C3">
        <v>237.8552</v>
      </c>
      <c r="D3">
        <v>131.73522299999999</v>
      </c>
      <c r="E3" s="22">
        <v>101.4453287764499</v>
      </c>
    </row>
    <row r="4" spans="1:5" x14ac:dyDescent="0.4">
      <c r="A4" s="27">
        <v>42011</v>
      </c>
      <c r="B4" s="21">
        <v>171.95150000000001</v>
      </c>
      <c r="C4">
        <v>237.40090000000001</v>
      </c>
      <c r="D4">
        <v>131.73494600000001</v>
      </c>
      <c r="E4" s="22">
        <v>101.44511546709019</v>
      </c>
    </row>
    <row r="5" spans="1:5" x14ac:dyDescent="0.4">
      <c r="A5" s="27">
        <v>42012</v>
      </c>
      <c r="B5" s="21">
        <v>176.76</v>
      </c>
      <c r="C5">
        <v>237.23070000000001</v>
      </c>
      <c r="D5">
        <v>131.73469600000001</v>
      </c>
      <c r="E5" s="22">
        <v>101.44492294961751</v>
      </c>
    </row>
    <row r="6" spans="1:5" x14ac:dyDescent="0.4">
      <c r="A6" s="27">
        <v>42013</v>
      </c>
      <c r="B6" s="21">
        <v>174.37289999999999</v>
      </c>
      <c r="C6">
        <v>237.31</v>
      </c>
      <c r="D6">
        <v>131.73444499999999</v>
      </c>
      <c r="E6" s="22">
        <v>101.44472966207493</v>
      </c>
    </row>
    <row r="7" spans="1:5" x14ac:dyDescent="0.4">
      <c r="A7" s="27">
        <v>42016</v>
      </c>
      <c r="B7" s="21">
        <v>175.36799999999999</v>
      </c>
      <c r="C7">
        <v>237.74610000000001</v>
      </c>
      <c r="D7">
        <v>131.73393200000001</v>
      </c>
      <c r="E7" s="22">
        <v>101.44433461622103</v>
      </c>
    </row>
    <row r="8" spans="1:5" x14ac:dyDescent="0.4">
      <c r="A8" s="27">
        <v>42017</v>
      </c>
      <c r="B8" s="21">
        <v>177.85390000000001</v>
      </c>
      <c r="C8">
        <v>237.8749</v>
      </c>
      <c r="D8">
        <v>131.73370800000001</v>
      </c>
      <c r="E8" s="22">
        <v>101.44416212056551</v>
      </c>
    </row>
    <row r="9" spans="1:5" x14ac:dyDescent="0.4">
      <c r="A9" s="27">
        <v>42018</v>
      </c>
      <c r="B9" s="21">
        <v>175.15649999999999</v>
      </c>
      <c r="C9">
        <v>238.49080000000001</v>
      </c>
      <c r="D9">
        <v>131.73345699999999</v>
      </c>
      <c r="E9" s="22">
        <v>101.44396883302291</v>
      </c>
    </row>
    <row r="10" spans="1:5" x14ac:dyDescent="0.4">
      <c r="A10" s="27">
        <v>42019</v>
      </c>
      <c r="B10" s="21">
        <v>179.88650000000001</v>
      </c>
      <c r="C10">
        <v>238.4871</v>
      </c>
      <c r="D10">
        <v>131.73320699999999</v>
      </c>
      <c r="E10" s="22">
        <v>101.44377631555024</v>
      </c>
    </row>
    <row r="11" spans="1:5" x14ac:dyDescent="0.4">
      <c r="A11" s="27">
        <v>42020</v>
      </c>
      <c r="B11" s="21">
        <v>182.0027</v>
      </c>
      <c r="C11">
        <v>238.8475</v>
      </c>
      <c r="D11">
        <v>131.732957</v>
      </c>
      <c r="E11" s="22">
        <v>101.44358379807758</v>
      </c>
    </row>
    <row r="12" spans="1:5" x14ac:dyDescent="0.4">
      <c r="A12" s="27">
        <v>42023</v>
      </c>
      <c r="B12" s="21">
        <v>182.34700000000001</v>
      </c>
      <c r="C12">
        <v>239.0992</v>
      </c>
      <c r="D12">
        <v>131.73207400000001</v>
      </c>
      <c r="E12" s="22">
        <v>101.4429038263641</v>
      </c>
    </row>
    <row r="13" spans="1:5" x14ac:dyDescent="0.4">
      <c r="A13" s="27">
        <v>42024</v>
      </c>
      <c r="B13" s="21">
        <v>183.80170000000001</v>
      </c>
      <c r="C13">
        <v>238.94829999999999</v>
      </c>
      <c r="D13">
        <v>131.731798</v>
      </c>
      <c r="E13" s="22">
        <v>101.44269128707425</v>
      </c>
    </row>
    <row r="14" spans="1:5" x14ac:dyDescent="0.4">
      <c r="A14" s="27">
        <v>42025</v>
      </c>
      <c r="B14" s="21">
        <v>185.00059999999999</v>
      </c>
      <c r="C14">
        <v>238.37450000000001</v>
      </c>
      <c r="D14">
        <v>131.73150799999999</v>
      </c>
      <c r="E14" s="22">
        <v>101.44246796680596</v>
      </c>
    </row>
    <row r="15" spans="1:5" x14ac:dyDescent="0.4">
      <c r="A15" s="27">
        <v>42026</v>
      </c>
      <c r="B15" s="21">
        <v>188.1069</v>
      </c>
      <c r="C15">
        <v>239.4264</v>
      </c>
      <c r="D15">
        <v>131.731257</v>
      </c>
      <c r="E15" s="22">
        <v>101.44227467926339</v>
      </c>
    </row>
    <row r="16" spans="1:5" x14ac:dyDescent="0.4">
      <c r="A16" s="27">
        <v>42027</v>
      </c>
      <c r="B16" s="21">
        <v>191.44290000000001</v>
      </c>
      <c r="C16">
        <v>240.49260000000001</v>
      </c>
      <c r="D16">
        <v>131.73112599999999</v>
      </c>
      <c r="E16" s="22">
        <v>101.44217380010771</v>
      </c>
    </row>
    <row r="17" spans="1:5" x14ac:dyDescent="0.4">
      <c r="A17" s="27">
        <v>42030</v>
      </c>
      <c r="B17" s="21">
        <v>192.50620000000001</v>
      </c>
      <c r="C17">
        <v>240.4579</v>
      </c>
      <c r="D17">
        <v>131.73091500000001</v>
      </c>
      <c r="E17" s="22">
        <v>101.44201131536079</v>
      </c>
    </row>
    <row r="18" spans="1:5" x14ac:dyDescent="0.4">
      <c r="A18" s="27">
        <v>42031</v>
      </c>
      <c r="B18" s="21">
        <v>190.60749999999999</v>
      </c>
      <c r="C18">
        <v>240.43260000000001</v>
      </c>
      <c r="D18">
        <v>131.730796</v>
      </c>
      <c r="E18" s="22">
        <v>101.44191967704378</v>
      </c>
    </row>
    <row r="19" spans="1:5" x14ac:dyDescent="0.4">
      <c r="A19" s="27">
        <v>42032</v>
      </c>
      <c r="B19" s="21">
        <v>190.83279999999999</v>
      </c>
      <c r="C19">
        <v>240.36770000000001</v>
      </c>
      <c r="D19">
        <v>131.73073099999999</v>
      </c>
      <c r="E19" s="22">
        <v>101.44186962250087</v>
      </c>
    </row>
    <row r="20" spans="1:5" x14ac:dyDescent="0.4">
      <c r="A20" s="27">
        <v>42033</v>
      </c>
      <c r="B20" s="21">
        <v>190.58750000000001</v>
      </c>
      <c r="C20">
        <v>240.20230000000001</v>
      </c>
      <c r="D20">
        <v>131.730625</v>
      </c>
      <c r="E20" s="22">
        <v>101.44178799509247</v>
      </c>
    </row>
    <row r="21" spans="1:5" x14ac:dyDescent="0.4">
      <c r="A21" s="27">
        <v>42034</v>
      </c>
      <c r="B21" s="21">
        <v>189.64699999999999</v>
      </c>
      <c r="C21">
        <v>240.8047</v>
      </c>
      <c r="D21">
        <v>131.73052000000001</v>
      </c>
      <c r="E21" s="22">
        <v>101.44170713775395</v>
      </c>
    </row>
    <row r="22" spans="1:5" x14ac:dyDescent="0.4">
      <c r="A22" s="27">
        <v>42037</v>
      </c>
      <c r="B22" s="21">
        <v>189.8689</v>
      </c>
      <c r="C22">
        <v>240.90350000000001</v>
      </c>
      <c r="D22">
        <v>131.73146800000001</v>
      </c>
      <c r="E22" s="22">
        <v>101.44243716401033</v>
      </c>
    </row>
    <row r="23" spans="1:5" x14ac:dyDescent="0.4">
      <c r="A23" s="27">
        <v>42038</v>
      </c>
      <c r="B23" s="21">
        <v>191.4391</v>
      </c>
      <c r="C23">
        <v>240.76419999999999</v>
      </c>
      <c r="D23">
        <v>131.73137600000001</v>
      </c>
      <c r="E23" s="22">
        <v>101.44236631758039</v>
      </c>
    </row>
    <row r="24" spans="1:5" x14ac:dyDescent="0.4">
      <c r="A24" s="27">
        <v>42039</v>
      </c>
      <c r="B24" s="21">
        <v>192.3458</v>
      </c>
      <c r="C24">
        <v>240.8476</v>
      </c>
      <c r="D24">
        <v>131.731257</v>
      </c>
      <c r="E24" s="22">
        <v>101.44227467926339</v>
      </c>
    </row>
    <row r="25" spans="1:5" x14ac:dyDescent="0.4">
      <c r="A25" s="27">
        <v>42040</v>
      </c>
      <c r="B25" s="21">
        <v>192.57470000000001</v>
      </c>
      <c r="C25">
        <v>240.84440000000001</v>
      </c>
      <c r="D25">
        <v>131.73112599999999</v>
      </c>
      <c r="E25" s="22">
        <v>101.44217380010771</v>
      </c>
    </row>
    <row r="26" spans="1:5" x14ac:dyDescent="0.4">
      <c r="A26" s="27">
        <v>42041</v>
      </c>
      <c r="B26" s="21">
        <v>192.99449999999999</v>
      </c>
      <c r="C26">
        <v>240.67509999999999</v>
      </c>
      <c r="D26">
        <v>131.731033</v>
      </c>
      <c r="E26" s="22">
        <v>101.44210218360787</v>
      </c>
    </row>
    <row r="27" spans="1:5" x14ac:dyDescent="0.4">
      <c r="A27" s="27">
        <v>42044</v>
      </c>
      <c r="B27" s="21">
        <v>191.64519999999999</v>
      </c>
      <c r="C27">
        <v>240.56120000000001</v>
      </c>
      <c r="D27">
        <v>131.730625</v>
      </c>
      <c r="E27" s="22">
        <v>101.44178799509247</v>
      </c>
    </row>
    <row r="28" spans="1:5" x14ac:dyDescent="0.4">
      <c r="A28" s="27">
        <v>42045</v>
      </c>
      <c r="B28" s="21">
        <v>192.76220000000001</v>
      </c>
      <c r="C28">
        <v>240.29040000000001</v>
      </c>
      <c r="D28">
        <v>131.730467</v>
      </c>
      <c r="E28" s="22">
        <v>101.44166632404973</v>
      </c>
    </row>
    <row r="29" spans="1:5" x14ac:dyDescent="0.4">
      <c r="A29" s="27">
        <v>42046</v>
      </c>
      <c r="B29" s="21">
        <v>192.27850000000001</v>
      </c>
      <c r="C29">
        <v>240.501</v>
      </c>
      <c r="D29">
        <v>131.730322</v>
      </c>
      <c r="E29" s="22">
        <v>101.4415546639156</v>
      </c>
    </row>
    <row r="30" spans="1:5" x14ac:dyDescent="0.4">
      <c r="A30" s="27">
        <v>42047</v>
      </c>
      <c r="B30" s="21">
        <v>193.6968</v>
      </c>
      <c r="C30">
        <v>240.8974</v>
      </c>
      <c r="D30">
        <v>131.73015100000001</v>
      </c>
      <c r="E30" s="22">
        <v>101.44142298196428</v>
      </c>
    </row>
    <row r="31" spans="1:5" x14ac:dyDescent="0.4">
      <c r="A31" s="27">
        <v>42048</v>
      </c>
      <c r="B31" s="21">
        <v>194.9076</v>
      </c>
      <c r="C31">
        <v>240.9546</v>
      </c>
      <c r="D31">
        <v>131.72999300000001</v>
      </c>
      <c r="E31" s="22">
        <v>101.44130131092155</v>
      </c>
    </row>
    <row r="32" spans="1:5" x14ac:dyDescent="0.4">
      <c r="A32" s="27">
        <v>42051</v>
      </c>
      <c r="B32" s="21">
        <v>194.64840000000001</v>
      </c>
      <c r="C32">
        <v>240.8716</v>
      </c>
      <c r="D32">
        <v>131.72949199999999</v>
      </c>
      <c r="E32" s="22">
        <v>101.4409155059063</v>
      </c>
    </row>
    <row r="33" spans="1:5" x14ac:dyDescent="0.4">
      <c r="A33" s="27">
        <v>42052</v>
      </c>
      <c r="B33" s="21">
        <v>194.94820000000001</v>
      </c>
      <c r="C33">
        <v>240.60740000000001</v>
      </c>
      <c r="D33">
        <v>131.729308</v>
      </c>
      <c r="E33" s="22">
        <v>101.44077381304643</v>
      </c>
    </row>
    <row r="34" spans="1:5" x14ac:dyDescent="0.4">
      <c r="A34" s="27">
        <v>42053</v>
      </c>
      <c r="B34" s="21">
        <v>196.61930000000001</v>
      </c>
      <c r="C34">
        <v>240.52260000000001</v>
      </c>
      <c r="D34">
        <v>131.729163</v>
      </c>
      <c r="E34" s="22">
        <v>101.44066215291228</v>
      </c>
    </row>
    <row r="35" spans="1:5" x14ac:dyDescent="0.4">
      <c r="A35" s="27">
        <v>42054</v>
      </c>
      <c r="B35" s="21">
        <v>197.17519999999999</v>
      </c>
      <c r="C35">
        <v>240.56540000000001</v>
      </c>
      <c r="D35">
        <v>131.729018</v>
      </c>
      <c r="E35" s="22">
        <v>101.44055049277812</v>
      </c>
    </row>
    <row r="36" spans="1:5" x14ac:dyDescent="0.4">
      <c r="A36" s="27">
        <v>42055</v>
      </c>
      <c r="B36" s="21">
        <v>197.62649999999999</v>
      </c>
      <c r="C36">
        <v>240.7638</v>
      </c>
      <c r="D36">
        <v>131.72889900000001</v>
      </c>
      <c r="E36" s="22">
        <v>101.44045885446114</v>
      </c>
    </row>
    <row r="37" spans="1:5" x14ac:dyDescent="0.4">
      <c r="A37" s="27">
        <v>42058</v>
      </c>
      <c r="B37" s="21">
        <v>199.03790000000001</v>
      </c>
      <c r="C37">
        <v>241.10480000000001</v>
      </c>
      <c r="D37">
        <v>131.72842499999999</v>
      </c>
      <c r="E37" s="22">
        <v>101.44009384133292</v>
      </c>
    </row>
    <row r="38" spans="1:5" x14ac:dyDescent="0.4">
      <c r="A38" s="27">
        <v>42059</v>
      </c>
      <c r="B38" s="21">
        <v>200.1568</v>
      </c>
      <c r="C38">
        <v>241.29</v>
      </c>
      <c r="D38">
        <v>131.72826699999999</v>
      </c>
      <c r="E38" s="22">
        <v>101.43997217029019</v>
      </c>
    </row>
    <row r="39" spans="1:5" x14ac:dyDescent="0.4">
      <c r="A39" s="27">
        <v>42060</v>
      </c>
      <c r="B39" s="21">
        <v>199.90880000000001</v>
      </c>
      <c r="C39">
        <v>241.7158</v>
      </c>
      <c r="D39">
        <v>131.72809599999999</v>
      </c>
      <c r="E39" s="22">
        <v>101.43984048833889</v>
      </c>
    </row>
    <row r="40" spans="1:5" x14ac:dyDescent="0.4">
      <c r="A40" s="27">
        <v>42061</v>
      </c>
      <c r="B40" s="21">
        <v>201.9573</v>
      </c>
      <c r="C40">
        <v>242.4589</v>
      </c>
      <c r="D40">
        <v>131.727925</v>
      </c>
      <c r="E40" s="22">
        <v>101.4397088063876</v>
      </c>
    </row>
    <row r="41" spans="1:5" x14ac:dyDescent="0.4">
      <c r="A41" s="27">
        <v>42062</v>
      </c>
      <c r="B41" s="21">
        <v>202.77500000000001</v>
      </c>
      <c r="C41">
        <v>242.31100000000001</v>
      </c>
      <c r="D41">
        <v>131.727701</v>
      </c>
      <c r="E41" s="22">
        <v>101.43953631073208</v>
      </c>
    </row>
    <row r="42" spans="1:5" x14ac:dyDescent="0.4">
      <c r="A42" s="27">
        <v>42065</v>
      </c>
      <c r="B42" s="21">
        <v>202.28880000000001</v>
      </c>
      <c r="C42">
        <v>242.04320000000001</v>
      </c>
      <c r="D42">
        <v>131.728399</v>
      </c>
      <c r="E42" s="22">
        <v>101.44007381951579</v>
      </c>
    </row>
    <row r="43" spans="1:5" x14ac:dyDescent="0.4">
      <c r="A43" s="27">
        <v>42066</v>
      </c>
      <c r="B43" s="21">
        <v>200.5085</v>
      </c>
      <c r="C43">
        <v>241.75800000000001</v>
      </c>
      <c r="D43">
        <v>131.72820100000001</v>
      </c>
      <c r="E43" s="22">
        <v>101.43992134567743</v>
      </c>
    </row>
    <row r="44" spans="1:5" x14ac:dyDescent="0.4">
      <c r="A44" s="27">
        <v>42067</v>
      </c>
      <c r="B44" s="21">
        <v>202.066</v>
      </c>
      <c r="C44">
        <v>241.6583</v>
      </c>
      <c r="D44">
        <v>131.72797700000001</v>
      </c>
      <c r="E44" s="22">
        <v>101.43974885002191</v>
      </c>
    </row>
    <row r="45" spans="1:5" x14ac:dyDescent="0.4">
      <c r="A45" s="27">
        <v>42068</v>
      </c>
      <c r="B45" s="21">
        <v>203.8372</v>
      </c>
      <c r="C45">
        <v>242.08439999999999</v>
      </c>
      <c r="D45">
        <v>131.72775300000001</v>
      </c>
      <c r="E45" s="22">
        <v>101.43957635436639</v>
      </c>
    </row>
    <row r="46" spans="1:5" x14ac:dyDescent="0.4">
      <c r="A46" s="27">
        <v>42069</v>
      </c>
      <c r="B46" s="21">
        <v>204.00919999999999</v>
      </c>
      <c r="C46">
        <v>241.90690000000001</v>
      </c>
      <c r="D46">
        <v>131.727543</v>
      </c>
      <c r="E46" s="22">
        <v>101.43941463968935</v>
      </c>
    </row>
    <row r="47" spans="1:5" x14ac:dyDescent="0.4">
      <c r="A47" s="27">
        <v>42072</v>
      </c>
      <c r="B47" s="21">
        <v>203.52600000000001</v>
      </c>
      <c r="C47">
        <v>242.80240000000001</v>
      </c>
      <c r="D47">
        <v>131.726845</v>
      </c>
      <c r="E47" s="22">
        <v>101.43887713090565</v>
      </c>
    </row>
    <row r="48" spans="1:5" x14ac:dyDescent="0.4">
      <c r="A48" s="27">
        <v>42073</v>
      </c>
      <c r="B48" s="21">
        <v>201.5992</v>
      </c>
      <c r="C48">
        <v>243.9607</v>
      </c>
      <c r="D48">
        <v>131.726607</v>
      </c>
      <c r="E48" s="22">
        <v>101.43869385427166</v>
      </c>
    </row>
    <row r="49" spans="1:5" x14ac:dyDescent="0.4">
      <c r="A49" s="27">
        <v>42074</v>
      </c>
      <c r="B49" s="21">
        <v>204.6388</v>
      </c>
      <c r="C49">
        <v>244.87430000000001</v>
      </c>
      <c r="D49">
        <v>131.72637</v>
      </c>
      <c r="E49" s="22">
        <v>101.43851134770756</v>
      </c>
    </row>
    <row r="50" spans="1:5" x14ac:dyDescent="0.4">
      <c r="A50" s="27">
        <v>42075</v>
      </c>
      <c r="B50" s="21">
        <v>204.6327</v>
      </c>
      <c r="C50">
        <v>244.52330000000001</v>
      </c>
      <c r="D50">
        <v>131.72617299999999</v>
      </c>
      <c r="E50" s="22">
        <v>101.43835964393908</v>
      </c>
    </row>
    <row r="51" spans="1:5" x14ac:dyDescent="0.4">
      <c r="A51" s="27">
        <v>42076</v>
      </c>
      <c r="B51" s="21">
        <v>205.22540000000001</v>
      </c>
      <c r="C51">
        <v>244.4264</v>
      </c>
      <c r="D51">
        <v>131.72597500000001</v>
      </c>
      <c r="E51" s="22">
        <v>101.43820717010075</v>
      </c>
    </row>
    <row r="52" spans="1:5" x14ac:dyDescent="0.4">
      <c r="A52" s="27">
        <v>42079</v>
      </c>
      <c r="B52" s="21">
        <v>207.143</v>
      </c>
      <c r="C52">
        <v>244.43450000000001</v>
      </c>
      <c r="D52">
        <v>131.72554</v>
      </c>
      <c r="E52" s="22">
        <v>101.43787218969828</v>
      </c>
    </row>
    <row r="53" spans="1:5" x14ac:dyDescent="0.4">
      <c r="A53" s="27">
        <v>42080</v>
      </c>
      <c r="B53" s="21">
        <v>205.75299999999999</v>
      </c>
      <c r="C53">
        <v>243.80240000000001</v>
      </c>
      <c r="D53">
        <v>131.72533000000001</v>
      </c>
      <c r="E53" s="22">
        <v>101.43771047502126</v>
      </c>
    </row>
    <row r="54" spans="1:5" x14ac:dyDescent="0.4">
      <c r="A54" s="27">
        <v>42081</v>
      </c>
      <c r="B54" s="21">
        <v>206.48</v>
      </c>
      <c r="C54">
        <v>244.0438</v>
      </c>
      <c r="D54">
        <v>131.72518500000001</v>
      </c>
      <c r="E54" s="22">
        <v>101.4375988148871</v>
      </c>
    </row>
    <row r="55" spans="1:5" x14ac:dyDescent="0.4">
      <c r="A55" s="27">
        <v>42082</v>
      </c>
      <c r="B55" s="21">
        <v>207.70930000000001</v>
      </c>
      <c r="C55">
        <v>244.27799999999999</v>
      </c>
      <c r="D55">
        <v>131.724974</v>
      </c>
      <c r="E55" s="22">
        <v>101.43743633014014</v>
      </c>
    </row>
    <row r="56" spans="1:5" x14ac:dyDescent="0.4">
      <c r="A56" s="27">
        <v>42083</v>
      </c>
      <c r="B56" s="21">
        <v>209.5009</v>
      </c>
      <c r="C56">
        <v>244.49160000000001</v>
      </c>
      <c r="D56">
        <v>131.724829</v>
      </c>
      <c r="E56" s="22">
        <v>101.43732467000599</v>
      </c>
    </row>
    <row r="57" spans="1:5" x14ac:dyDescent="0.4">
      <c r="A57" s="27">
        <v>42086</v>
      </c>
      <c r="B57" s="21">
        <v>208.13040000000001</v>
      </c>
      <c r="C57">
        <v>243.86879999999999</v>
      </c>
      <c r="D57">
        <v>131.72422299999999</v>
      </c>
      <c r="E57" s="22">
        <v>101.43685800765223</v>
      </c>
    </row>
    <row r="58" spans="1:5" x14ac:dyDescent="0.4">
      <c r="A58" s="27">
        <v>42087</v>
      </c>
      <c r="B58" s="21">
        <v>208.7045</v>
      </c>
      <c r="C58">
        <v>243.5949</v>
      </c>
      <c r="D58">
        <v>131.724052</v>
      </c>
      <c r="E58" s="22">
        <v>101.43672632570093</v>
      </c>
    </row>
    <row r="59" spans="1:5" x14ac:dyDescent="0.4">
      <c r="A59" s="27">
        <v>42088</v>
      </c>
      <c r="B59" s="21">
        <v>206.3777</v>
      </c>
      <c r="C59">
        <v>243.71440000000001</v>
      </c>
      <c r="D59">
        <v>131.72384099999999</v>
      </c>
      <c r="E59" s="22">
        <v>101.43656384095398</v>
      </c>
    </row>
    <row r="60" spans="1:5" x14ac:dyDescent="0.4">
      <c r="A60" s="27">
        <v>42089</v>
      </c>
      <c r="B60" s="21">
        <v>204.74510000000001</v>
      </c>
      <c r="C60">
        <v>243.79949999999999</v>
      </c>
      <c r="D60">
        <v>131.72361699999999</v>
      </c>
      <c r="E60" s="22">
        <v>101.43639134529847</v>
      </c>
    </row>
    <row r="61" spans="1:5" x14ac:dyDescent="0.4">
      <c r="A61" s="27">
        <v>42090</v>
      </c>
      <c r="B61" s="21">
        <v>205.29400000000001</v>
      </c>
      <c r="C61">
        <v>243.81780000000001</v>
      </c>
      <c r="D61">
        <v>131.72340600000001</v>
      </c>
      <c r="E61" s="22">
        <v>101.43622886055155</v>
      </c>
    </row>
    <row r="62" spans="1:5" x14ac:dyDescent="0.4">
      <c r="A62" s="27">
        <v>42093</v>
      </c>
      <c r="B62" s="21">
        <v>207.55279999999999</v>
      </c>
      <c r="C62">
        <v>243.9298</v>
      </c>
      <c r="D62">
        <v>131.722827</v>
      </c>
      <c r="E62" s="22">
        <v>101.43578299008482</v>
      </c>
    </row>
    <row r="63" spans="1:5" x14ac:dyDescent="0.4">
      <c r="A63" s="27">
        <v>42094</v>
      </c>
      <c r="B63" s="21">
        <v>206.14599999999999</v>
      </c>
      <c r="C63">
        <v>244.43610000000001</v>
      </c>
      <c r="D63">
        <v>131.72264200000001</v>
      </c>
      <c r="E63" s="22">
        <v>101.43564052715506</v>
      </c>
    </row>
    <row r="64" spans="1:5" x14ac:dyDescent="0.4">
      <c r="A64" s="27">
        <v>42095</v>
      </c>
      <c r="B64" s="21">
        <v>206.82480000000001</v>
      </c>
      <c r="C64">
        <v>244.50829999999999</v>
      </c>
      <c r="D64">
        <v>131.722827</v>
      </c>
      <c r="E64" s="22">
        <v>101.43578299008482</v>
      </c>
    </row>
    <row r="65" spans="1:5" x14ac:dyDescent="0.4">
      <c r="A65" s="27">
        <v>42096</v>
      </c>
      <c r="B65" s="21">
        <v>206.48859999999999</v>
      </c>
      <c r="C65">
        <v>244.22730000000001</v>
      </c>
      <c r="D65">
        <v>131.722577</v>
      </c>
      <c r="E65" s="22">
        <v>101.43559047261215</v>
      </c>
    </row>
    <row r="66" spans="1:5" x14ac:dyDescent="0.4">
      <c r="A66" s="27">
        <v>42101</v>
      </c>
      <c r="B66" s="21">
        <v>210.01499999999999</v>
      </c>
      <c r="C66">
        <v>244.45240000000001</v>
      </c>
      <c r="D66">
        <v>131.72112799999999</v>
      </c>
      <c r="E66" s="22">
        <v>101.43447464134053</v>
      </c>
    </row>
    <row r="67" spans="1:5" x14ac:dyDescent="0.4">
      <c r="A67" s="27">
        <v>42102</v>
      </c>
      <c r="B67" s="21">
        <v>209.97040000000001</v>
      </c>
      <c r="C67">
        <v>244.60579999999999</v>
      </c>
      <c r="D67">
        <v>131.72083799999999</v>
      </c>
      <c r="E67" s="22">
        <v>101.43425132107222</v>
      </c>
    </row>
    <row r="68" spans="1:5" x14ac:dyDescent="0.4">
      <c r="A68" s="27">
        <v>42103</v>
      </c>
      <c r="B68" s="21">
        <v>212.3039</v>
      </c>
      <c r="C68">
        <v>244.47030000000001</v>
      </c>
      <c r="D68">
        <v>131.720561</v>
      </c>
      <c r="E68" s="22">
        <v>101.43403801171252</v>
      </c>
    </row>
    <row r="69" spans="1:5" x14ac:dyDescent="0.4">
      <c r="A69" s="27">
        <v>42104</v>
      </c>
      <c r="B69" s="21">
        <v>214.29669999999999</v>
      </c>
      <c r="C69">
        <v>244.65770000000001</v>
      </c>
      <c r="D69">
        <v>131.72035099999999</v>
      </c>
      <c r="E69" s="22">
        <v>101.43387629703547</v>
      </c>
    </row>
    <row r="70" spans="1:5" x14ac:dyDescent="0.4">
      <c r="A70" s="27">
        <v>42107</v>
      </c>
      <c r="B70" s="21">
        <v>214.64699999999999</v>
      </c>
      <c r="C70">
        <v>244.6927</v>
      </c>
      <c r="D70">
        <v>131.71958699999999</v>
      </c>
      <c r="E70" s="22">
        <v>101.43328796363895</v>
      </c>
    </row>
    <row r="71" spans="1:5" x14ac:dyDescent="0.4">
      <c r="A71" s="27">
        <v>42108</v>
      </c>
      <c r="B71" s="21">
        <v>213.72720000000001</v>
      </c>
      <c r="C71">
        <v>244.7919</v>
      </c>
      <c r="D71">
        <v>131.719323</v>
      </c>
      <c r="E71" s="22">
        <v>101.43308466518783</v>
      </c>
    </row>
    <row r="72" spans="1:5" x14ac:dyDescent="0.4">
      <c r="A72" s="27">
        <v>42109</v>
      </c>
      <c r="B72" s="21">
        <v>215.0652</v>
      </c>
      <c r="C72">
        <v>245.2672</v>
      </c>
      <c r="D72">
        <v>131.71899400000001</v>
      </c>
      <c r="E72" s="22">
        <v>101.4328313121938</v>
      </c>
    </row>
    <row r="73" spans="1:5" x14ac:dyDescent="0.4">
      <c r="A73" s="27">
        <v>42110</v>
      </c>
      <c r="B73" s="21">
        <v>213.54570000000001</v>
      </c>
      <c r="C73">
        <v>245.00540000000001</v>
      </c>
      <c r="D73">
        <v>131.718717</v>
      </c>
      <c r="E73" s="22">
        <v>101.43261800283408</v>
      </c>
    </row>
    <row r="74" spans="1:5" x14ac:dyDescent="0.4">
      <c r="A74" s="27">
        <v>42111</v>
      </c>
      <c r="B74" s="21">
        <v>209.83029999999999</v>
      </c>
      <c r="C74">
        <v>244.69800000000001</v>
      </c>
      <c r="D74">
        <v>131.71837500000001</v>
      </c>
      <c r="E74" s="22">
        <v>101.43235463893146</v>
      </c>
    </row>
    <row r="75" spans="1:5" x14ac:dyDescent="0.4">
      <c r="A75" s="27">
        <v>42114</v>
      </c>
      <c r="B75" s="21">
        <v>211.6223</v>
      </c>
      <c r="C75">
        <v>244.74459999999999</v>
      </c>
      <c r="D75">
        <v>131.71757099999999</v>
      </c>
      <c r="E75" s="22">
        <v>101.43173550273931</v>
      </c>
    </row>
    <row r="76" spans="1:5" x14ac:dyDescent="0.4">
      <c r="A76" s="27">
        <v>42115</v>
      </c>
      <c r="B76" s="21">
        <v>212.7501</v>
      </c>
      <c r="C76">
        <v>244.46129999999999</v>
      </c>
      <c r="D76">
        <v>131.71728100000001</v>
      </c>
      <c r="E76" s="22">
        <v>101.43151218247104</v>
      </c>
    </row>
    <row r="77" spans="1:5" x14ac:dyDescent="0.4">
      <c r="A77" s="27">
        <v>42116</v>
      </c>
      <c r="B77" s="21">
        <v>212.69589999999999</v>
      </c>
      <c r="C77">
        <v>244.256</v>
      </c>
      <c r="D77">
        <v>131.71697900000001</v>
      </c>
      <c r="E77" s="22">
        <v>101.43127962136404</v>
      </c>
    </row>
    <row r="78" spans="1:5" x14ac:dyDescent="0.4">
      <c r="A78" s="27">
        <v>42117</v>
      </c>
      <c r="B78" s="21">
        <v>211.91380000000001</v>
      </c>
      <c r="C78">
        <v>244.25470000000001</v>
      </c>
      <c r="D78">
        <v>131.716702</v>
      </c>
      <c r="E78" s="22">
        <v>101.43106631200432</v>
      </c>
    </row>
    <row r="79" spans="1:5" x14ac:dyDescent="0.4">
      <c r="A79" s="27">
        <v>42118</v>
      </c>
      <c r="B79" s="21">
        <v>212.5693</v>
      </c>
      <c r="C79">
        <v>244.13339999999999</v>
      </c>
      <c r="D79">
        <v>131.71641199999999</v>
      </c>
      <c r="E79" s="22">
        <v>101.43084299173599</v>
      </c>
    </row>
    <row r="80" spans="1:5" x14ac:dyDescent="0.4">
      <c r="A80" s="27">
        <v>42121</v>
      </c>
      <c r="B80" s="21">
        <v>214.69929999999999</v>
      </c>
      <c r="C80">
        <v>244.2861</v>
      </c>
      <c r="D80">
        <v>131.71553</v>
      </c>
      <c r="E80" s="22">
        <v>101.43016379009242</v>
      </c>
    </row>
    <row r="81" spans="1:5" x14ac:dyDescent="0.4">
      <c r="A81" s="27">
        <v>42122</v>
      </c>
      <c r="B81" s="21">
        <v>211.48740000000001</v>
      </c>
      <c r="C81">
        <v>244.33619999999999</v>
      </c>
      <c r="D81">
        <v>131.71523999999999</v>
      </c>
      <c r="E81" s="22">
        <v>101.42994046982412</v>
      </c>
    </row>
    <row r="82" spans="1:5" x14ac:dyDescent="0.4">
      <c r="A82" s="27">
        <v>42123</v>
      </c>
      <c r="B82" s="21">
        <v>206.8355</v>
      </c>
      <c r="C82">
        <v>242.5411</v>
      </c>
      <c r="D82">
        <v>131.71494999999999</v>
      </c>
      <c r="E82" s="22">
        <v>101.4297171495558</v>
      </c>
    </row>
    <row r="83" spans="1:5" x14ac:dyDescent="0.4">
      <c r="A83" s="27">
        <v>42124</v>
      </c>
      <c r="B83" s="21">
        <v>206.16</v>
      </c>
      <c r="C83">
        <v>241.84719999999999</v>
      </c>
      <c r="D83">
        <v>131.714687</v>
      </c>
      <c r="E83" s="22">
        <v>101.42951462117455</v>
      </c>
    </row>
    <row r="84" spans="1:5" x14ac:dyDescent="0.4">
      <c r="A84" s="27">
        <v>42125</v>
      </c>
      <c r="B84" s="21">
        <v>205.56460000000001</v>
      </c>
      <c r="C84">
        <v>241.86519999999999</v>
      </c>
      <c r="D84">
        <v>131.714292</v>
      </c>
      <c r="E84" s="22">
        <v>101.42921044356774</v>
      </c>
    </row>
    <row r="85" spans="1:5" x14ac:dyDescent="0.4">
      <c r="A85" s="27">
        <v>42129</v>
      </c>
      <c r="B85" s="21">
        <v>203.9307</v>
      </c>
      <c r="C85">
        <v>239.20359999999999</v>
      </c>
      <c r="D85">
        <v>131.713989</v>
      </c>
      <c r="E85" s="22">
        <v>101.42897711239085</v>
      </c>
    </row>
    <row r="86" spans="1:5" x14ac:dyDescent="0.4">
      <c r="A86" s="27">
        <v>42130</v>
      </c>
      <c r="B86" s="21">
        <v>202.77279999999999</v>
      </c>
      <c r="C86">
        <v>238.005</v>
      </c>
      <c r="D86">
        <v>131.713672</v>
      </c>
      <c r="E86" s="22">
        <v>101.4287330002355</v>
      </c>
    </row>
    <row r="87" spans="1:5" x14ac:dyDescent="0.4">
      <c r="A87" s="27">
        <v>42131</v>
      </c>
      <c r="B87" s="21">
        <v>202.8931</v>
      </c>
      <c r="C87">
        <v>238.5368</v>
      </c>
      <c r="D87">
        <v>131.713356</v>
      </c>
      <c r="E87" s="22">
        <v>101.42848965815006</v>
      </c>
    </row>
    <row r="88" spans="1:5" x14ac:dyDescent="0.4">
      <c r="A88" s="27">
        <v>42132</v>
      </c>
      <c r="B88" s="21">
        <v>208.703</v>
      </c>
      <c r="C88">
        <v>239.37729999999999</v>
      </c>
      <c r="D88">
        <v>131.71302700000001</v>
      </c>
      <c r="E88" s="22">
        <v>101.42823630515601</v>
      </c>
    </row>
    <row r="89" spans="1:5" x14ac:dyDescent="0.4">
      <c r="A89" s="27">
        <v>42135</v>
      </c>
      <c r="B89" s="21">
        <v>209.4924</v>
      </c>
      <c r="C89">
        <v>238.76439999999999</v>
      </c>
      <c r="D89">
        <v>131.71207899999999</v>
      </c>
      <c r="E89" s="22">
        <v>101.4275062788996</v>
      </c>
    </row>
    <row r="90" spans="1:5" x14ac:dyDescent="0.4">
      <c r="A90" s="27">
        <v>42136</v>
      </c>
      <c r="B90" s="21">
        <v>206.82339999999999</v>
      </c>
      <c r="C90">
        <v>237.57730000000001</v>
      </c>
      <c r="D90">
        <v>131.711749</v>
      </c>
      <c r="E90" s="22">
        <v>101.4272521558357</v>
      </c>
    </row>
    <row r="91" spans="1:5" x14ac:dyDescent="0.4">
      <c r="A91" s="27">
        <v>42137</v>
      </c>
      <c r="B91" s="21">
        <v>206.43029999999999</v>
      </c>
      <c r="C91">
        <v>237.1747</v>
      </c>
      <c r="D91">
        <v>131.71142</v>
      </c>
      <c r="E91" s="22">
        <v>101.42699880284165</v>
      </c>
    </row>
    <row r="92" spans="1:5" x14ac:dyDescent="0.4">
      <c r="A92" s="27">
        <v>42138</v>
      </c>
      <c r="B92" s="21">
        <v>207.86920000000001</v>
      </c>
      <c r="C92">
        <v>237.13759999999999</v>
      </c>
      <c r="D92">
        <v>131.71091999999999</v>
      </c>
      <c r="E92" s="22">
        <v>101.4266137678963</v>
      </c>
    </row>
    <row r="93" spans="1:5" x14ac:dyDescent="0.4">
      <c r="A93" s="27">
        <v>42139</v>
      </c>
      <c r="B93" s="21">
        <v>206.93039999999999</v>
      </c>
      <c r="C93">
        <v>238.0565</v>
      </c>
      <c r="D93">
        <v>131.71039300000001</v>
      </c>
      <c r="E93" s="22">
        <v>101.42620794106392</v>
      </c>
    </row>
    <row r="94" spans="1:5" x14ac:dyDescent="0.4">
      <c r="A94" s="27">
        <v>42142</v>
      </c>
      <c r="B94" s="21">
        <v>207.93340000000001</v>
      </c>
      <c r="C94">
        <v>237.6301</v>
      </c>
      <c r="D94">
        <v>131.709181</v>
      </c>
      <c r="E94" s="22">
        <v>101.42527461635638</v>
      </c>
    </row>
    <row r="95" spans="1:5" x14ac:dyDescent="0.4">
      <c r="A95" s="27">
        <v>42143</v>
      </c>
      <c r="B95" s="21">
        <v>211.36349999999999</v>
      </c>
      <c r="C95">
        <v>238.30719999999999</v>
      </c>
      <c r="D95">
        <v>131.708799</v>
      </c>
      <c r="E95" s="22">
        <v>101.42498044965814</v>
      </c>
    </row>
    <row r="96" spans="1:5" x14ac:dyDescent="0.4">
      <c r="A96" s="27">
        <v>42144</v>
      </c>
      <c r="B96" s="21">
        <v>212.3031</v>
      </c>
      <c r="C96">
        <v>238.16030000000001</v>
      </c>
      <c r="D96">
        <v>131.708417</v>
      </c>
      <c r="E96" s="22">
        <v>101.42468628295988</v>
      </c>
    </row>
    <row r="97" spans="1:5" x14ac:dyDescent="0.4">
      <c r="A97" s="27">
        <v>42145</v>
      </c>
      <c r="B97" s="21">
        <v>213.19040000000001</v>
      </c>
      <c r="C97">
        <v>238.0154</v>
      </c>
      <c r="D97">
        <v>131.708035</v>
      </c>
      <c r="E97" s="22">
        <v>101.42439211626164</v>
      </c>
    </row>
    <row r="98" spans="1:5" x14ac:dyDescent="0.4">
      <c r="A98" s="27">
        <v>42146</v>
      </c>
      <c r="B98" s="21">
        <v>213.17449999999999</v>
      </c>
      <c r="C98">
        <v>238.27430000000001</v>
      </c>
      <c r="D98">
        <v>131.70765299999999</v>
      </c>
      <c r="E98" s="22">
        <v>101.42409794956339</v>
      </c>
    </row>
    <row r="99" spans="1:5" x14ac:dyDescent="0.4">
      <c r="A99" s="27">
        <v>42150</v>
      </c>
      <c r="B99" s="21">
        <v>210.9512</v>
      </c>
      <c r="C99">
        <v>238.46109999999999</v>
      </c>
      <c r="D99">
        <v>131.70558500000001</v>
      </c>
      <c r="E99" s="22">
        <v>101.42250544502944</v>
      </c>
    </row>
    <row r="100" spans="1:5" x14ac:dyDescent="0.4">
      <c r="A100" s="27">
        <v>42151</v>
      </c>
      <c r="B100" s="21">
        <v>213.7577</v>
      </c>
      <c r="C100">
        <v>238.68770000000001</v>
      </c>
      <c r="D100">
        <v>131.70518999999999</v>
      </c>
      <c r="E100" s="22">
        <v>101.42220126742261</v>
      </c>
    </row>
    <row r="101" spans="1:5" x14ac:dyDescent="0.4">
      <c r="A101" s="27">
        <v>42152</v>
      </c>
      <c r="B101" s="21">
        <v>212.7569</v>
      </c>
      <c r="C101">
        <v>238.67150000000001</v>
      </c>
      <c r="D101">
        <v>131.704769</v>
      </c>
      <c r="E101" s="22">
        <v>101.42187706799864</v>
      </c>
    </row>
    <row r="102" spans="1:5" x14ac:dyDescent="0.4">
      <c r="A102" s="27">
        <v>42153</v>
      </c>
      <c r="B102" s="21">
        <v>209.08699999999999</v>
      </c>
      <c r="C102">
        <v>239.07409999999999</v>
      </c>
      <c r="D102">
        <v>131.704387</v>
      </c>
      <c r="E102" s="22">
        <v>101.42158290130038</v>
      </c>
    </row>
    <row r="103" spans="1:5" x14ac:dyDescent="0.4">
      <c r="A103" s="27">
        <v>42156</v>
      </c>
      <c r="B103" s="21">
        <v>209.3732</v>
      </c>
      <c r="C103">
        <v>238.72669999999999</v>
      </c>
      <c r="D103">
        <v>131.70350500000001</v>
      </c>
      <c r="E103" s="22">
        <v>101.42090369965679</v>
      </c>
    </row>
    <row r="104" spans="1:5" x14ac:dyDescent="0.4">
      <c r="A104" s="27">
        <v>42157</v>
      </c>
      <c r="B104" s="21">
        <v>207.2414</v>
      </c>
      <c r="C104">
        <v>236.82730000000001</v>
      </c>
      <c r="D104">
        <v>131.70312300000001</v>
      </c>
      <c r="E104" s="22">
        <v>101.42060953295855</v>
      </c>
    </row>
    <row r="105" spans="1:5" x14ac:dyDescent="0.4">
      <c r="A105" s="27">
        <v>42158</v>
      </c>
      <c r="B105" s="21">
        <v>206.982</v>
      </c>
      <c r="C105">
        <v>235.20099999999999</v>
      </c>
      <c r="D105">
        <v>131.702675</v>
      </c>
      <c r="E105" s="22">
        <v>101.42026454164753</v>
      </c>
    </row>
    <row r="106" spans="1:5" x14ac:dyDescent="0.4">
      <c r="A106" s="27">
        <v>42159</v>
      </c>
      <c r="B106" s="21">
        <v>205.29490000000001</v>
      </c>
      <c r="C106">
        <v>235.30410000000001</v>
      </c>
      <c r="D106">
        <v>131.70214799999999</v>
      </c>
      <c r="E106" s="22">
        <v>101.41985871481512</v>
      </c>
    </row>
    <row r="107" spans="1:5" x14ac:dyDescent="0.4">
      <c r="A107" s="27">
        <v>42160</v>
      </c>
      <c r="B107" s="21">
        <v>203.4487</v>
      </c>
      <c r="C107">
        <v>234.77029999999999</v>
      </c>
      <c r="D107">
        <v>131.70164800000001</v>
      </c>
      <c r="E107" s="22">
        <v>101.41947367986977</v>
      </c>
    </row>
    <row r="108" spans="1:5" x14ac:dyDescent="0.4">
      <c r="A108" s="27">
        <v>42163</v>
      </c>
      <c r="B108" s="21">
        <v>201.6009</v>
      </c>
      <c r="C108">
        <v>234.25649999999999</v>
      </c>
      <c r="D108">
        <v>131.70038299999999</v>
      </c>
      <c r="E108" s="22">
        <v>101.41849954145803</v>
      </c>
    </row>
    <row r="109" spans="1:5" x14ac:dyDescent="0.4">
      <c r="A109" s="27">
        <v>42164</v>
      </c>
      <c r="B109" s="21">
        <v>200.768</v>
      </c>
      <c r="C109">
        <v>233.3528</v>
      </c>
      <c r="D109">
        <v>131.69992199999999</v>
      </c>
      <c r="E109" s="22">
        <v>101.41814453923841</v>
      </c>
    </row>
    <row r="110" spans="1:5" x14ac:dyDescent="0.4">
      <c r="A110" s="27">
        <v>42165</v>
      </c>
      <c r="B110" s="21">
        <v>204.44540000000001</v>
      </c>
      <c r="C110">
        <v>232.86279999999999</v>
      </c>
      <c r="D110">
        <v>131.69946100000001</v>
      </c>
      <c r="E110" s="22">
        <v>101.41778953701883</v>
      </c>
    </row>
    <row r="111" spans="1:5" x14ac:dyDescent="0.4">
      <c r="A111" s="27">
        <v>42166</v>
      </c>
      <c r="B111" s="21">
        <v>205.63390000000001</v>
      </c>
      <c r="C111">
        <v>234.12289999999999</v>
      </c>
      <c r="D111">
        <v>131.69904</v>
      </c>
      <c r="E111" s="22">
        <v>101.41746533759483</v>
      </c>
    </row>
    <row r="112" spans="1:5" x14ac:dyDescent="0.4">
      <c r="A112" s="27">
        <v>42167</v>
      </c>
      <c r="B112" s="21">
        <v>203.73009999999999</v>
      </c>
      <c r="C112">
        <v>233.9494</v>
      </c>
      <c r="D112">
        <v>131.69860499999999</v>
      </c>
      <c r="E112" s="22">
        <v>101.41713035719238</v>
      </c>
    </row>
    <row r="113" spans="1:5" x14ac:dyDescent="0.4">
      <c r="A113" s="27">
        <v>42170</v>
      </c>
      <c r="B113" s="21">
        <v>200.4443</v>
      </c>
      <c r="C113">
        <v>233.40309999999999</v>
      </c>
      <c r="D113">
        <v>131.697236</v>
      </c>
      <c r="E113" s="22">
        <v>101.41607613151203</v>
      </c>
    </row>
    <row r="114" spans="1:5" x14ac:dyDescent="0.4">
      <c r="A114" s="27">
        <v>42171</v>
      </c>
      <c r="B114" s="21">
        <v>201.7199</v>
      </c>
      <c r="C114">
        <v>233.541</v>
      </c>
      <c r="D114">
        <v>131.69680099999999</v>
      </c>
      <c r="E114" s="22">
        <v>101.41574115110956</v>
      </c>
    </row>
    <row r="115" spans="1:5" x14ac:dyDescent="0.4">
      <c r="A115" s="27">
        <v>42172</v>
      </c>
      <c r="B115" s="21">
        <v>200.8168</v>
      </c>
      <c r="C115">
        <v>233.70689999999999</v>
      </c>
      <c r="D115">
        <v>131.69633999999999</v>
      </c>
      <c r="E115" s="22">
        <v>101.41538614888994</v>
      </c>
    </row>
    <row r="116" spans="1:5" x14ac:dyDescent="0.4">
      <c r="A116" s="27">
        <v>42173</v>
      </c>
      <c r="B116" s="21">
        <v>201.12569999999999</v>
      </c>
      <c r="C116">
        <v>233.8306</v>
      </c>
      <c r="D116">
        <v>131.695932</v>
      </c>
      <c r="E116" s="22">
        <v>101.41507196037456</v>
      </c>
    </row>
    <row r="117" spans="1:5" x14ac:dyDescent="0.4">
      <c r="A117" s="27">
        <v>42174</v>
      </c>
      <c r="B117" s="21">
        <v>201.81299999999999</v>
      </c>
      <c r="C117">
        <v>234.1259</v>
      </c>
      <c r="D117">
        <v>131.69549699999999</v>
      </c>
      <c r="E117" s="22">
        <v>101.4147369799721</v>
      </c>
    </row>
    <row r="118" spans="1:5" x14ac:dyDescent="0.4">
      <c r="A118" s="27">
        <v>42177</v>
      </c>
      <c r="B118" s="21">
        <v>206.44139999999999</v>
      </c>
      <c r="C118">
        <v>233.8476</v>
      </c>
      <c r="D118">
        <v>131.69417999999999</v>
      </c>
      <c r="E118" s="22">
        <v>101.41372279792604</v>
      </c>
    </row>
    <row r="119" spans="1:5" x14ac:dyDescent="0.4">
      <c r="A119" s="27">
        <v>42178</v>
      </c>
      <c r="B119" s="21">
        <v>208.7911</v>
      </c>
      <c r="C119">
        <v>234.09819999999999</v>
      </c>
      <c r="D119">
        <v>131.69371899999999</v>
      </c>
      <c r="E119" s="22">
        <v>101.41336779570642</v>
      </c>
    </row>
    <row r="120" spans="1:5" x14ac:dyDescent="0.4">
      <c r="A120" s="27">
        <v>42179</v>
      </c>
      <c r="B120" s="21">
        <v>208.05799999999999</v>
      </c>
      <c r="C120">
        <v>234.1113</v>
      </c>
      <c r="D120">
        <v>131.69327200000001</v>
      </c>
      <c r="E120" s="22">
        <v>101.41302357446531</v>
      </c>
    </row>
    <row r="121" spans="1:5" x14ac:dyDescent="0.4">
      <c r="A121" s="27">
        <v>42180</v>
      </c>
      <c r="B121" s="21">
        <v>207.49029999999999</v>
      </c>
      <c r="C121">
        <v>233.97489999999999</v>
      </c>
      <c r="D121">
        <v>131.69286299999999</v>
      </c>
      <c r="E121" s="22">
        <v>101.41270861587999</v>
      </c>
    </row>
    <row r="122" spans="1:5" x14ac:dyDescent="0.4">
      <c r="A122" s="27">
        <v>42181</v>
      </c>
      <c r="B122" s="21">
        <v>207.73050000000001</v>
      </c>
      <c r="C122">
        <v>233.51230000000001</v>
      </c>
      <c r="D122">
        <v>131.692442</v>
      </c>
      <c r="E122" s="22">
        <v>101.41238441645601</v>
      </c>
    </row>
    <row r="123" spans="1:5" x14ac:dyDescent="0.4">
      <c r="A123" s="27">
        <v>42184</v>
      </c>
      <c r="B123" s="21">
        <v>202.1138</v>
      </c>
      <c r="C123">
        <v>233.4239</v>
      </c>
      <c r="D123">
        <v>131.69109900000001</v>
      </c>
      <c r="E123" s="22">
        <v>101.41135021259282</v>
      </c>
    </row>
    <row r="124" spans="1:5" x14ac:dyDescent="0.4">
      <c r="A124" s="27">
        <v>42185</v>
      </c>
      <c r="B124" s="21">
        <v>199.416</v>
      </c>
      <c r="C124">
        <v>233.8152</v>
      </c>
      <c r="D124">
        <v>131.690664</v>
      </c>
      <c r="E124" s="22">
        <v>101.41101523219037</v>
      </c>
    </row>
    <row r="125" spans="1:5" x14ac:dyDescent="0.4">
      <c r="A125" s="27">
        <v>42186</v>
      </c>
      <c r="B125" s="21">
        <v>202.39599999999999</v>
      </c>
      <c r="C125">
        <v>233.59479999999999</v>
      </c>
      <c r="D125">
        <v>131.69044</v>
      </c>
      <c r="E125" s="22">
        <v>101.41084273653485</v>
      </c>
    </row>
    <row r="126" spans="1:5" x14ac:dyDescent="0.4">
      <c r="A126" s="27">
        <v>42187</v>
      </c>
      <c r="B126" s="21">
        <v>201.63849999999999</v>
      </c>
      <c r="C126">
        <v>232.98599999999999</v>
      </c>
      <c r="D126">
        <v>131.68999199999999</v>
      </c>
      <c r="E126" s="22">
        <v>101.41049774522382</v>
      </c>
    </row>
    <row r="127" spans="1:5" x14ac:dyDescent="0.4">
      <c r="A127" s="27">
        <v>42188</v>
      </c>
      <c r="B127" s="21">
        <v>200.56890000000001</v>
      </c>
      <c r="C127">
        <v>233.7236</v>
      </c>
      <c r="D127">
        <v>131.68954500000001</v>
      </c>
      <c r="E127" s="22">
        <v>101.41015352398269</v>
      </c>
    </row>
    <row r="128" spans="1:5" x14ac:dyDescent="0.4">
      <c r="A128" s="27">
        <v>42191</v>
      </c>
      <c r="B128" s="21">
        <v>198.07859999999999</v>
      </c>
      <c r="C128">
        <v>233.4949</v>
      </c>
      <c r="D128">
        <v>131.688267</v>
      </c>
      <c r="E128" s="22">
        <v>101.40916937466235</v>
      </c>
    </row>
    <row r="129" spans="1:5" x14ac:dyDescent="0.4">
      <c r="A129" s="27">
        <v>42192</v>
      </c>
      <c r="B129" s="21">
        <v>194.9444</v>
      </c>
      <c r="C129">
        <v>234.81890000000001</v>
      </c>
      <c r="D129">
        <v>131.68781999999999</v>
      </c>
      <c r="E129" s="22">
        <v>101.40882515342122</v>
      </c>
    </row>
    <row r="130" spans="1:5" x14ac:dyDescent="0.4">
      <c r="A130" s="27">
        <v>42193</v>
      </c>
      <c r="B130" s="21">
        <v>195.1866</v>
      </c>
      <c r="C130">
        <v>234.86689999999999</v>
      </c>
      <c r="D130">
        <v>131.68738500000001</v>
      </c>
      <c r="E130" s="22">
        <v>101.40849017301878</v>
      </c>
    </row>
    <row r="131" spans="1:5" x14ac:dyDescent="0.4">
      <c r="A131" s="27">
        <v>42194</v>
      </c>
      <c r="B131" s="21">
        <v>199.47649999999999</v>
      </c>
      <c r="C131">
        <v>234.67679999999999</v>
      </c>
      <c r="D131">
        <v>131.68695</v>
      </c>
      <c r="E131" s="22">
        <v>101.40815519261632</v>
      </c>
    </row>
    <row r="132" spans="1:5" x14ac:dyDescent="0.4">
      <c r="A132" s="27">
        <v>42195</v>
      </c>
      <c r="B132" s="21">
        <v>203.53890000000001</v>
      </c>
      <c r="C132">
        <v>233.66120000000001</v>
      </c>
      <c r="D132">
        <v>131.68650299999999</v>
      </c>
      <c r="E132" s="22">
        <v>101.40781097137517</v>
      </c>
    </row>
    <row r="133" spans="1:5" x14ac:dyDescent="0.4">
      <c r="A133" s="27">
        <v>42198</v>
      </c>
      <c r="B133" s="21">
        <v>207.4881</v>
      </c>
      <c r="C133">
        <v>233.99270000000001</v>
      </c>
      <c r="D133">
        <v>131.68518599999999</v>
      </c>
      <c r="E133" s="22">
        <v>101.40679678932911</v>
      </c>
    </row>
    <row r="134" spans="1:5" x14ac:dyDescent="0.4">
      <c r="A134" s="27">
        <v>42199</v>
      </c>
      <c r="B134" s="21">
        <v>208.5316</v>
      </c>
      <c r="C134">
        <v>234.32910000000001</v>
      </c>
      <c r="D134">
        <v>131.68475100000001</v>
      </c>
      <c r="E134" s="22">
        <v>101.40646180892668</v>
      </c>
    </row>
    <row r="135" spans="1:5" x14ac:dyDescent="0.4">
      <c r="A135" s="27">
        <v>42200</v>
      </c>
      <c r="B135" s="21">
        <v>209.35480000000001</v>
      </c>
      <c r="C135">
        <v>235.18860000000001</v>
      </c>
      <c r="D135">
        <v>131.68434300000001</v>
      </c>
      <c r="E135" s="22">
        <v>101.40614762041129</v>
      </c>
    </row>
    <row r="136" spans="1:5" x14ac:dyDescent="0.4">
      <c r="A136" s="27">
        <v>42201</v>
      </c>
      <c r="B136" s="21">
        <v>212.20920000000001</v>
      </c>
      <c r="C136">
        <v>235.29990000000001</v>
      </c>
      <c r="D136">
        <v>131.68389500000001</v>
      </c>
      <c r="E136" s="22">
        <v>101.40580262910024</v>
      </c>
    </row>
    <row r="137" spans="1:5" x14ac:dyDescent="0.4">
      <c r="A137" s="27">
        <v>42202</v>
      </c>
      <c r="B137" s="21">
        <v>212.27250000000001</v>
      </c>
      <c r="C137">
        <v>236.0669</v>
      </c>
      <c r="D137">
        <v>131.683448</v>
      </c>
      <c r="E137" s="22">
        <v>101.4054584078591</v>
      </c>
    </row>
    <row r="138" spans="1:5" x14ac:dyDescent="0.4">
      <c r="A138" s="27">
        <v>42205</v>
      </c>
      <c r="B138" s="21">
        <v>212.8536</v>
      </c>
      <c r="C138">
        <v>236.50919999999999</v>
      </c>
      <c r="D138">
        <v>131.68210400000001</v>
      </c>
      <c r="E138" s="22">
        <v>101.40442343392601</v>
      </c>
    </row>
    <row r="139" spans="1:5" x14ac:dyDescent="0.4">
      <c r="A139" s="27">
        <v>42206</v>
      </c>
      <c r="B139" s="21">
        <v>210.71459999999999</v>
      </c>
      <c r="C139">
        <v>236.1181</v>
      </c>
      <c r="D139">
        <v>131.68168299999999</v>
      </c>
      <c r="E139" s="22">
        <v>101.40409923450203</v>
      </c>
    </row>
    <row r="140" spans="1:5" x14ac:dyDescent="0.4">
      <c r="A140" s="27">
        <v>42207</v>
      </c>
      <c r="B140" s="21">
        <v>209.37950000000001</v>
      </c>
      <c r="C140">
        <v>236.52160000000001</v>
      </c>
      <c r="D140">
        <v>131.68123499999999</v>
      </c>
      <c r="E140" s="22">
        <v>101.40375424319097</v>
      </c>
    </row>
    <row r="141" spans="1:5" x14ac:dyDescent="0.4">
      <c r="A141" s="27">
        <v>42208</v>
      </c>
      <c r="B141" s="21">
        <v>208.27930000000001</v>
      </c>
      <c r="C141">
        <v>236.61529999999999</v>
      </c>
      <c r="D141">
        <v>131.680801</v>
      </c>
      <c r="E141" s="22">
        <v>101.40342003285842</v>
      </c>
    </row>
    <row r="142" spans="1:5" x14ac:dyDescent="0.4">
      <c r="A142" s="27">
        <v>42209</v>
      </c>
      <c r="B142" s="21">
        <v>206.41290000000001</v>
      </c>
      <c r="C142">
        <v>237.3108</v>
      </c>
      <c r="D142">
        <v>131.68037899999999</v>
      </c>
      <c r="E142" s="22">
        <v>101.40309506336453</v>
      </c>
    </row>
    <row r="143" spans="1:5" x14ac:dyDescent="0.4">
      <c r="A143" s="27">
        <v>42212</v>
      </c>
      <c r="B143" s="21">
        <v>201.89490000000001</v>
      </c>
      <c r="C143">
        <v>237.2782</v>
      </c>
      <c r="D143">
        <v>131.67912799999999</v>
      </c>
      <c r="E143" s="22">
        <v>101.40213170593128</v>
      </c>
    </row>
    <row r="144" spans="1:5" x14ac:dyDescent="0.4">
      <c r="A144" s="27">
        <v>42213</v>
      </c>
      <c r="B144" s="21">
        <v>204.00970000000001</v>
      </c>
      <c r="C144">
        <v>237.28200000000001</v>
      </c>
      <c r="D144">
        <v>131.678707</v>
      </c>
      <c r="E144" s="22">
        <v>101.40180750650731</v>
      </c>
    </row>
    <row r="145" spans="1:5" x14ac:dyDescent="0.4">
      <c r="A145" s="27">
        <v>42214</v>
      </c>
      <c r="B145" s="21">
        <v>206.09030000000001</v>
      </c>
      <c r="C145">
        <v>237.07660000000001</v>
      </c>
      <c r="D145">
        <v>131.67828600000001</v>
      </c>
      <c r="E145" s="22">
        <v>101.40148330708334</v>
      </c>
    </row>
    <row r="146" spans="1:5" x14ac:dyDescent="0.4">
      <c r="A146" s="27">
        <v>42215</v>
      </c>
      <c r="B146" s="21">
        <v>207.375</v>
      </c>
      <c r="C146">
        <v>237.77610000000001</v>
      </c>
      <c r="D146">
        <v>131.677877</v>
      </c>
      <c r="E146" s="22">
        <v>101.40116834849803</v>
      </c>
    </row>
    <row r="147" spans="1:5" x14ac:dyDescent="0.4">
      <c r="A147" s="27">
        <v>42216</v>
      </c>
      <c r="B147" s="21">
        <v>207.38499999999999</v>
      </c>
      <c r="C147">
        <v>238.06819999999999</v>
      </c>
      <c r="D147">
        <v>131.67745600000001</v>
      </c>
      <c r="E147" s="22">
        <v>101.40084414907405</v>
      </c>
    </row>
    <row r="148" spans="1:5" x14ac:dyDescent="0.4">
      <c r="A148" s="27">
        <v>42219</v>
      </c>
      <c r="B148" s="21">
        <v>209.01779999999999</v>
      </c>
      <c r="C148">
        <v>238.09889999999999</v>
      </c>
      <c r="D148">
        <v>131.67633699999999</v>
      </c>
      <c r="E148" s="22">
        <v>101.39998244086634</v>
      </c>
    </row>
    <row r="149" spans="1:5" x14ac:dyDescent="0.4">
      <c r="A149" s="27">
        <v>42220</v>
      </c>
      <c r="B149" s="21">
        <v>208.62649999999999</v>
      </c>
      <c r="C149">
        <v>238.02869999999999</v>
      </c>
      <c r="D149">
        <v>131.67594199999999</v>
      </c>
      <c r="E149" s="22">
        <v>101.39967826325953</v>
      </c>
    </row>
    <row r="150" spans="1:5" x14ac:dyDescent="0.4">
      <c r="A150" s="27">
        <v>42221</v>
      </c>
      <c r="B150" s="21">
        <v>211.41810000000001</v>
      </c>
      <c r="C150">
        <v>236.8289</v>
      </c>
      <c r="D150">
        <v>131.675534</v>
      </c>
      <c r="E150" s="22">
        <v>101.39936407474413</v>
      </c>
    </row>
    <row r="151" spans="1:5" x14ac:dyDescent="0.4">
      <c r="A151" s="27">
        <v>42222</v>
      </c>
      <c r="B151" s="21">
        <v>209.86660000000001</v>
      </c>
      <c r="C151">
        <v>237.14859999999999</v>
      </c>
      <c r="D151">
        <v>131.675139</v>
      </c>
      <c r="E151" s="22">
        <v>101.39905989713731</v>
      </c>
    </row>
    <row r="152" spans="1:5" x14ac:dyDescent="0.4">
      <c r="A152" s="27">
        <v>42223</v>
      </c>
      <c r="B152" s="21">
        <v>208.0523</v>
      </c>
      <c r="C152">
        <v>237.6917</v>
      </c>
      <c r="D152">
        <v>131.67471699999999</v>
      </c>
      <c r="E152" s="22">
        <v>101.39873492764342</v>
      </c>
    </row>
    <row r="153" spans="1:5" x14ac:dyDescent="0.4">
      <c r="A153" s="27">
        <v>42226</v>
      </c>
      <c r="B153" s="21">
        <v>209.47130000000001</v>
      </c>
      <c r="C153">
        <v>237.4752</v>
      </c>
      <c r="D153">
        <v>131.67341400000001</v>
      </c>
      <c r="E153" s="22">
        <v>101.39773152657585</v>
      </c>
    </row>
    <row r="154" spans="1:5" x14ac:dyDescent="0.4">
      <c r="A154" s="27">
        <v>42227</v>
      </c>
      <c r="B154" s="21">
        <v>206.10470000000001</v>
      </c>
      <c r="C154">
        <v>238.46459999999999</v>
      </c>
      <c r="D154">
        <v>131.67294000000001</v>
      </c>
      <c r="E154" s="22">
        <v>101.39736651344768</v>
      </c>
    </row>
    <row r="155" spans="1:5" x14ac:dyDescent="0.4">
      <c r="A155" s="27">
        <v>42228</v>
      </c>
      <c r="B155" s="21">
        <v>200.5496</v>
      </c>
      <c r="C155">
        <v>238.48179999999999</v>
      </c>
      <c r="D155">
        <v>131.672518</v>
      </c>
      <c r="E155" s="22">
        <v>101.39704154395379</v>
      </c>
    </row>
    <row r="156" spans="1:5" x14ac:dyDescent="0.4">
      <c r="A156" s="27">
        <v>42229</v>
      </c>
      <c r="B156" s="21">
        <v>202.6962</v>
      </c>
      <c r="C156">
        <v>238.15819999999999</v>
      </c>
      <c r="D156">
        <v>131.67207099999999</v>
      </c>
      <c r="E156" s="22">
        <v>101.39669732271264</v>
      </c>
    </row>
    <row r="157" spans="1:5" x14ac:dyDescent="0.4">
      <c r="A157" s="27">
        <v>42230</v>
      </c>
      <c r="B157" s="21">
        <v>202.36369999999999</v>
      </c>
      <c r="C157">
        <v>237.9075</v>
      </c>
      <c r="D157">
        <v>131.67159699999999</v>
      </c>
      <c r="E157" s="22">
        <v>101.39633230958445</v>
      </c>
    </row>
    <row r="158" spans="1:5" x14ac:dyDescent="0.4">
      <c r="A158" s="27">
        <v>42233</v>
      </c>
      <c r="B158" s="21">
        <v>202.88300000000001</v>
      </c>
      <c r="C158">
        <v>238.3117</v>
      </c>
      <c r="D158">
        <v>131.670174</v>
      </c>
      <c r="E158" s="22">
        <v>101.39523650013001</v>
      </c>
    </row>
    <row r="159" spans="1:5" x14ac:dyDescent="0.4">
      <c r="A159" s="27">
        <v>42234</v>
      </c>
      <c r="B159" s="21">
        <v>203.24119999999999</v>
      </c>
      <c r="C159">
        <v>237.9547</v>
      </c>
      <c r="D159">
        <v>131.66972699999999</v>
      </c>
      <c r="E159" s="22">
        <v>101.39489227888885</v>
      </c>
    </row>
    <row r="160" spans="1:5" x14ac:dyDescent="0.4">
      <c r="A160" s="27">
        <v>42235</v>
      </c>
      <c r="B160" s="21">
        <v>199.59289999999999</v>
      </c>
      <c r="C160">
        <v>237.9289</v>
      </c>
      <c r="D160">
        <v>131.66926599999999</v>
      </c>
      <c r="E160" s="22">
        <v>101.39453727666925</v>
      </c>
    </row>
    <row r="161" spans="1:5" x14ac:dyDescent="0.4">
      <c r="A161" s="27">
        <v>42236</v>
      </c>
      <c r="B161" s="21">
        <v>195.62379999999999</v>
      </c>
      <c r="C161">
        <v>238.2552</v>
      </c>
      <c r="D161">
        <v>131.66883100000001</v>
      </c>
      <c r="E161" s="22">
        <v>101.39420229626681</v>
      </c>
    </row>
    <row r="162" spans="1:5" x14ac:dyDescent="0.4">
      <c r="A162" s="27">
        <v>42237</v>
      </c>
      <c r="B162" s="21">
        <v>189.2371</v>
      </c>
      <c r="C162">
        <v>238.11670000000001</v>
      </c>
      <c r="D162">
        <v>131.668397</v>
      </c>
      <c r="E162" s="22">
        <v>101.39386808593423</v>
      </c>
    </row>
    <row r="163" spans="1:5" x14ac:dyDescent="0.4">
      <c r="A163" s="27">
        <v>42240</v>
      </c>
      <c r="B163" s="21">
        <v>179.0812</v>
      </c>
      <c r="C163">
        <v>237.8758</v>
      </c>
      <c r="D163">
        <v>131.66709299999999</v>
      </c>
      <c r="E163" s="22">
        <v>101.39286391479676</v>
      </c>
    </row>
    <row r="164" spans="1:5" x14ac:dyDescent="0.4">
      <c r="A164" s="27">
        <v>42241</v>
      </c>
      <c r="B164" s="21">
        <v>186.5299</v>
      </c>
      <c r="C164">
        <v>236.19890000000001</v>
      </c>
      <c r="D164">
        <v>131.66663299999999</v>
      </c>
      <c r="E164" s="22">
        <v>101.39250968264703</v>
      </c>
    </row>
    <row r="165" spans="1:5" x14ac:dyDescent="0.4">
      <c r="A165" s="27">
        <v>42242</v>
      </c>
      <c r="B165" s="21">
        <v>183.1567</v>
      </c>
      <c r="C165">
        <v>236.61</v>
      </c>
      <c r="D165">
        <v>131.666145</v>
      </c>
      <c r="E165" s="22">
        <v>101.39213388854039</v>
      </c>
    </row>
    <row r="166" spans="1:5" x14ac:dyDescent="0.4">
      <c r="A166" s="27">
        <v>42243</v>
      </c>
      <c r="B166" s="21">
        <v>189.6157</v>
      </c>
      <c r="C166">
        <v>236.4563</v>
      </c>
      <c r="D166">
        <v>131.665671</v>
      </c>
      <c r="E166" s="22">
        <v>101.3917688754122</v>
      </c>
    </row>
    <row r="167" spans="1:5" x14ac:dyDescent="0.4">
      <c r="A167" s="27">
        <v>42244</v>
      </c>
      <c r="B167" s="21">
        <v>190.20050000000001</v>
      </c>
      <c r="C167">
        <v>236.56229999999999</v>
      </c>
      <c r="D167">
        <v>131.665211</v>
      </c>
      <c r="E167" s="22">
        <v>101.39141464326246</v>
      </c>
    </row>
    <row r="168" spans="1:5" x14ac:dyDescent="0.4">
      <c r="A168" s="27">
        <v>42247</v>
      </c>
      <c r="B168" s="21">
        <v>189.92699999999999</v>
      </c>
      <c r="C168">
        <v>236.0581</v>
      </c>
      <c r="D168">
        <v>131.663828</v>
      </c>
      <c r="E168" s="22">
        <v>101.39034963660363</v>
      </c>
    </row>
    <row r="169" spans="1:5" x14ac:dyDescent="0.4">
      <c r="A169" s="27">
        <v>42248</v>
      </c>
      <c r="B169" s="21">
        <v>184.63890000000001</v>
      </c>
      <c r="C169">
        <v>235.6977</v>
      </c>
      <c r="D169">
        <v>131.66342</v>
      </c>
      <c r="E169" s="22">
        <v>101.39003544808824</v>
      </c>
    </row>
    <row r="170" spans="1:5" x14ac:dyDescent="0.4">
      <c r="A170" s="27">
        <v>42249</v>
      </c>
      <c r="B170" s="21">
        <v>185.09200000000001</v>
      </c>
      <c r="C170">
        <v>235.8015</v>
      </c>
      <c r="D170">
        <v>131.662959</v>
      </c>
      <c r="E170" s="22">
        <v>101.38968044586862</v>
      </c>
    </row>
    <row r="171" spans="1:5" x14ac:dyDescent="0.4">
      <c r="A171" s="27">
        <v>42250</v>
      </c>
      <c r="B171" s="21">
        <v>189.4873</v>
      </c>
      <c r="C171">
        <v>236.52379999999999</v>
      </c>
      <c r="D171">
        <v>131.662498</v>
      </c>
      <c r="E171" s="22">
        <v>101.389325443649</v>
      </c>
    </row>
    <row r="172" spans="1:5" x14ac:dyDescent="0.4">
      <c r="A172" s="27">
        <v>42251</v>
      </c>
      <c r="B172" s="21">
        <v>184.62459999999999</v>
      </c>
      <c r="C172">
        <v>237.21250000000001</v>
      </c>
      <c r="D172">
        <v>131.66205099999999</v>
      </c>
      <c r="E172" s="22">
        <v>101.38898122240786</v>
      </c>
    </row>
    <row r="173" spans="1:5" x14ac:dyDescent="0.4">
      <c r="A173" s="27">
        <v>42254</v>
      </c>
      <c r="B173" s="21">
        <v>185.5102</v>
      </c>
      <c r="C173">
        <v>236.94730000000001</v>
      </c>
      <c r="D173">
        <v>131.66058899999999</v>
      </c>
      <c r="E173" s="22">
        <v>101.38785538022768</v>
      </c>
    </row>
    <row r="174" spans="1:5" x14ac:dyDescent="0.4">
      <c r="A174" s="27">
        <v>42255</v>
      </c>
      <c r="B174" s="21">
        <v>187.70779999999999</v>
      </c>
      <c r="C174">
        <v>237.0564</v>
      </c>
      <c r="D174">
        <v>131.660089</v>
      </c>
      <c r="E174" s="22">
        <v>101.38747034528232</v>
      </c>
    </row>
    <row r="175" spans="1:5" x14ac:dyDescent="0.4">
      <c r="A175" s="27">
        <v>42256</v>
      </c>
      <c r="B175" s="21">
        <v>190.23920000000001</v>
      </c>
      <c r="C175">
        <v>236.96469999999999</v>
      </c>
      <c r="D175">
        <v>131.65960200000001</v>
      </c>
      <c r="E175" s="22">
        <v>101.38709532124557</v>
      </c>
    </row>
    <row r="176" spans="1:5" x14ac:dyDescent="0.4">
      <c r="A176" s="27">
        <v>42257</v>
      </c>
      <c r="B176" s="21">
        <v>187.8965</v>
      </c>
      <c r="C176">
        <v>237.01220000000001</v>
      </c>
      <c r="D176">
        <v>131.65912800000001</v>
      </c>
      <c r="E176" s="22">
        <v>101.38673030811738</v>
      </c>
    </row>
    <row r="177" spans="1:5" x14ac:dyDescent="0.4">
      <c r="A177" s="27">
        <v>42258</v>
      </c>
      <c r="B177" s="21">
        <v>185.9924</v>
      </c>
      <c r="C177">
        <v>237.2089</v>
      </c>
      <c r="D177">
        <v>131.65864099999999</v>
      </c>
      <c r="E177" s="22">
        <v>101.38635528408059</v>
      </c>
    </row>
    <row r="178" spans="1:5" x14ac:dyDescent="0.4">
      <c r="A178" s="27">
        <v>42261</v>
      </c>
      <c r="B178" s="21">
        <v>184.8783</v>
      </c>
      <c r="C178">
        <v>237.16</v>
      </c>
      <c r="D178">
        <v>131.657219</v>
      </c>
      <c r="E178" s="22">
        <v>101.38526024469603</v>
      </c>
    </row>
    <row r="179" spans="1:5" x14ac:dyDescent="0.4">
      <c r="A179" s="27">
        <v>42262</v>
      </c>
      <c r="B179" s="21">
        <v>186.40719999999999</v>
      </c>
      <c r="C179">
        <v>236.3886</v>
      </c>
      <c r="D179">
        <v>131.65670499999999</v>
      </c>
      <c r="E179" s="22">
        <v>101.38486442877219</v>
      </c>
    </row>
    <row r="180" spans="1:5" x14ac:dyDescent="0.4">
      <c r="A180" s="27">
        <v>42263</v>
      </c>
      <c r="B180" s="21">
        <v>189.33580000000001</v>
      </c>
      <c r="C180">
        <v>236.07910000000001</v>
      </c>
      <c r="D180">
        <v>131.656192</v>
      </c>
      <c r="E180" s="22">
        <v>101.3844693829183</v>
      </c>
    </row>
    <row r="181" spans="1:5" x14ac:dyDescent="0.4">
      <c r="A181" s="27">
        <v>42264</v>
      </c>
      <c r="B181" s="21">
        <v>188.94880000000001</v>
      </c>
      <c r="C181">
        <v>236.03620000000001</v>
      </c>
      <c r="D181">
        <v>131.65569199999999</v>
      </c>
      <c r="E181" s="22">
        <v>101.38408434797293</v>
      </c>
    </row>
    <row r="182" spans="1:5" x14ac:dyDescent="0.4">
      <c r="A182" s="27">
        <v>42265</v>
      </c>
      <c r="B182" s="21">
        <v>185.43969999999999</v>
      </c>
      <c r="C182">
        <v>237.48310000000001</v>
      </c>
      <c r="D182">
        <v>131.655191</v>
      </c>
      <c r="E182" s="22">
        <v>101.3836985429577</v>
      </c>
    </row>
    <row r="183" spans="1:5" x14ac:dyDescent="0.4">
      <c r="A183" s="27">
        <v>42268</v>
      </c>
      <c r="B183" s="21">
        <v>187.02279999999999</v>
      </c>
      <c r="C183">
        <v>237.1568</v>
      </c>
      <c r="D183">
        <v>131.653651</v>
      </c>
      <c r="E183" s="22">
        <v>101.38251263532602</v>
      </c>
    </row>
    <row r="184" spans="1:5" x14ac:dyDescent="0.4">
      <c r="A184" s="27">
        <v>42269</v>
      </c>
      <c r="B184" s="21">
        <v>181.10409999999999</v>
      </c>
      <c r="C184">
        <v>237.9631</v>
      </c>
      <c r="D184">
        <v>131.65312399999999</v>
      </c>
      <c r="E184" s="22">
        <v>101.38210680849362</v>
      </c>
    </row>
    <row r="185" spans="1:5" x14ac:dyDescent="0.4">
      <c r="A185" s="27">
        <v>42270</v>
      </c>
      <c r="B185" s="21">
        <v>181.25620000000001</v>
      </c>
      <c r="C185">
        <v>237.84719999999999</v>
      </c>
      <c r="D185">
        <v>131.65261100000001</v>
      </c>
      <c r="E185" s="22">
        <v>101.3817117626397</v>
      </c>
    </row>
    <row r="186" spans="1:5" x14ac:dyDescent="0.4">
      <c r="A186" s="27">
        <v>42271</v>
      </c>
      <c r="B186" s="21">
        <v>177.3629</v>
      </c>
      <c r="C186">
        <v>237.92259999999999</v>
      </c>
      <c r="D186">
        <v>131.652084</v>
      </c>
      <c r="E186" s="22">
        <v>101.38130593580729</v>
      </c>
    </row>
    <row r="187" spans="1:5" x14ac:dyDescent="0.4">
      <c r="A187" s="27">
        <v>42272</v>
      </c>
      <c r="B187" s="21">
        <v>182.44200000000001</v>
      </c>
      <c r="C187">
        <v>237.21729999999999</v>
      </c>
      <c r="D187">
        <v>131.65155799999999</v>
      </c>
      <c r="E187" s="22">
        <v>101.38090087904479</v>
      </c>
    </row>
    <row r="188" spans="1:5" x14ac:dyDescent="0.4">
      <c r="A188" s="27">
        <v>42275</v>
      </c>
      <c r="B188" s="21">
        <v>178.32300000000001</v>
      </c>
      <c r="C188">
        <v>237.59909999999999</v>
      </c>
      <c r="D188">
        <v>131.649991</v>
      </c>
      <c r="E188" s="22">
        <v>101.37969417952608</v>
      </c>
    </row>
    <row r="189" spans="1:5" x14ac:dyDescent="0.4">
      <c r="A189" s="27">
        <v>42276</v>
      </c>
      <c r="B189" s="21">
        <v>177.20689999999999</v>
      </c>
      <c r="C189">
        <v>237.65479999999999</v>
      </c>
      <c r="D189">
        <v>131.649451</v>
      </c>
      <c r="E189" s="22">
        <v>101.37927834178511</v>
      </c>
    </row>
    <row r="190" spans="1:5" x14ac:dyDescent="0.4">
      <c r="A190" s="27">
        <v>42277</v>
      </c>
      <c r="B190" s="21">
        <v>181.75</v>
      </c>
      <c r="C190">
        <v>237.7758</v>
      </c>
      <c r="D190">
        <v>131.64896400000001</v>
      </c>
      <c r="E190" s="22">
        <v>101.37890331774835</v>
      </c>
    </row>
    <row r="191" spans="1:5" x14ac:dyDescent="0.4">
      <c r="A191" s="27">
        <v>42278</v>
      </c>
      <c r="B191" s="21">
        <v>180.94890000000001</v>
      </c>
      <c r="C191">
        <v>238.2747</v>
      </c>
      <c r="D191">
        <v>131.648516</v>
      </c>
      <c r="E191" s="22">
        <v>101.3785583264373</v>
      </c>
    </row>
    <row r="192" spans="1:5" x14ac:dyDescent="0.4">
      <c r="A192" s="27">
        <v>42279</v>
      </c>
      <c r="B192" s="21">
        <v>181.84180000000001</v>
      </c>
      <c r="C192">
        <v>238.8022</v>
      </c>
      <c r="D192">
        <v>131.64800299999999</v>
      </c>
      <c r="E192" s="22">
        <v>101.37816328058335</v>
      </c>
    </row>
    <row r="193" spans="1:5" x14ac:dyDescent="0.4">
      <c r="A193" s="27">
        <v>42282</v>
      </c>
      <c r="B193" s="21">
        <v>187.4606</v>
      </c>
      <c r="C193">
        <v>238.3116</v>
      </c>
      <c r="D193">
        <v>131.64647600000001</v>
      </c>
      <c r="E193" s="22">
        <v>101.3769873838603</v>
      </c>
    </row>
    <row r="194" spans="1:5" x14ac:dyDescent="0.4">
      <c r="A194" s="27">
        <v>42283</v>
      </c>
      <c r="B194" s="21">
        <v>188.65610000000001</v>
      </c>
      <c r="C194">
        <v>238.01159999999999</v>
      </c>
      <c r="D194">
        <v>131.645949</v>
      </c>
      <c r="E194" s="22">
        <v>101.37658155702789</v>
      </c>
    </row>
    <row r="195" spans="1:5" x14ac:dyDescent="0.4">
      <c r="A195" s="27">
        <v>42284</v>
      </c>
      <c r="B195" s="21">
        <v>189.14089999999999</v>
      </c>
      <c r="C195">
        <v>238.059</v>
      </c>
      <c r="D195">
        <v>131.64546200000001</v>
      </c>
      <c r="E195" s="22">
        <v>101.37620653299113</v>
      </c>
    </row>
    <row r="196" spans="1:5" x14ac:dyDescent="0.4">
      <c r="A196" s="27">
        <v>42285</v>
      </c>
      <c r="B196" s="21">
        <v>189.53960000000001</v>
      </c>
      <c r="C196">
        <v>238.267</v>
      </c>
      <c r="D196">
        <v>131.644949</v>
      </c>
      <c r="E196" s="22">
        <v>101.37581148713718</v>
      </c>
    </row>
    <row r="197" spans="1:5" x14ac:dyDescent="0.4">
      <c r="A197" s="27">
        <v>42286</v>
      </c>
      <c r="B197" s="21">
        <v>190.30080000000001</v>
      </c>
      <c r="C197">
        <v>238.08680000000001</v>
      </c>
      <c r="D197">
        <v>131.64444900000001</v>
      </c>
      <c r="E197" s="22">
        <v>101.37542645219185</v>
      </c>
    </row>
    <row r="198" spans="1:5" x14ac:dyDescent="0.4">
      <c r="A198" s="27">
        <v>42289</v>
      </c>
      <c r="B198" s="21">
        <v>189.7731</v>
      </c>
      <c r="C198">
        <v>238.54650000000001</v>
      </c>
      <c r="D198">
        <v>131.64289500000001</v>
      </c>
      <c r="E198" s="22">
        <v>101.3742297635817</v>
      </c>
    </row>
    <row r="199" spans="1:5" x14ac:dyDescent="0.4">
      <c r="A199" s="27">
        <v>42290</v>
      </c>
      <c r="B199" s="21">
        <v>188.01580000000001</v>
      </c>
      <c r="C199">
        <v>238.37219999999999</v>
      </c>
      <c r="D199">
        <v>131.64240799999999</v>
      </c>
      <c r="E199" s="22">
        <v>101.37385473954492</v>
      </c>
    </row>
    <row r="200" spans="1:5" x14ac:dyDescent="0.4">
      <c r="A200" s="27">
        <v>42291</v>
      </c>
      <c r="B200" s="21">
        <v>186.59729999999999</v>
      </c>
      <c r="C200">
        <v>238.88900000000001</v>
      </c>
      <c r="D200">
        <v>131.641908</v>
      </c>
      <c r="E200" s="22">
        <v>101.37346970459957</v>
      </c>
    </row>
    <row r="201" spans="1:5" x14ac:dyDescent="0.4">
      <c r="A201" s="27">
        <v>42292</v>
      </c>
      <c r="B201" s="21">
        <v>189.28559999999999</v>
      </c>
      <c r="C201">
        <v>238.6926</v>
      </c>
      <c r="D201">
        <v>131.64142100000001</v>
      </c>
      <c r="E201" s="22">
        <v>101.37309468056282</v>
      </c>
    </row>
    <row r="202" spans="1:5" x14ac:dyDescent="0.4">
      <c r="A202" s="27">
        <v>42293</v>
      </c>
      <c r="B202" s="21">
        <v>190.4298</v>
      </c>
      <c r="C202">
        <v>238.946</v>
      </c>
      <c r="D202">
        <v>131.640894</v>
      </c>
      <c r="E202" s="22">
        <v>101.37268885373041</v>
      </c>
    </row>
    <row r="203" spans="1:5" x14ac:dyDescent="0.4">
      <c r="A203" s="27">
        <v>42296</v>
      </c>
      <c r="B203" s="21">
        <v>190.92509999999999</v>
      </c>
      <c r="C203">
        <v>238.839</v>
      </c>
      <c r="D203">
        <v>131.639341</v>
      </c>
      <c r="E203" s="22">
        <v>101.37149293519016</v>
      </c>
    </row>
    <row r="204" spans="1:5" x14ac:dyDescent="0.4">
      <c r="A204" s="27">
        <v>42297</v>
      </c>
      <c r="B204" s="21">
        <v>190.03270000000001</v>
      </c>
      <c r="C204">
        <v>238.1737</v>
      </c>
      <c r="D204">
        <v>131.63882699999999</v>
      </c>
      <c r="E204" s="22">
        <v>101.37109711926632</v>
      </c>
    </row>
    <row r="205" spans="1:5" x14ac:dyDescent="0.4">
      <c r="A205" s="27">
        <v>42298</v>
      </c>
      <c r="B205" s="21">
        <v>190.00069999999999</v>
      </c>
      <c r="C205">
        <v>238.84039999999999</v>
      </c>
      <c r="D205">
        <v>131.63831400000001</v>
      </c>
      <c r="E205" s="22">
        <v>101.37070207341243</v>
      </c>
    </row>
    <row r="206" spans="1:5" x14ac:dyDescent="0.4">
      <c r="A206" s="27">
        <v>42299</v>
      </c>
      <c r="B206" s="21">
        <v>194.035</v>
      </c>
      <c r="C206">
        <v>239.99549999999999</v>
      </c>
      <c r="D206">
        <v>131.63781399999999</v>
      </c>
      <c r="E206" s="22">
        <v>101.37031703846706</v>
      </c>
    </row>
    <row r="207" spans="1:5" x14ac:dyDescent="0.4">
      <c r="A207" s="27">
        <v>42300</v>
      </c>
      <c r="B207" s="21">
        <v>197.84389999999999</v>
      </c>
      <c r="C207">
        <v>240.0497</v>
      </c>
      <c r="D207">
        <v>131.63730000000001</v>
      </c>
      <c r="E207" s="22">
        <v>101.36992122254327</v>
      </c>
    </row>
    <row r="208" spans="1:5" x14ac:dyDescent="0.4">
      <c r="A208" s="27">
        <v>42303</v>
      </c>
      <c r="B208" s="21">
        <v>197.077</v>
      </c>
      <c r="C208">
        <v>240.2775</v>
      </c>
      <c r="D208">
        <v>131.63582600000001</v>
      </c>
      <c r="E208" s="22">
        <v>101.36878613952437</v>
      </c>
    </row>
    <row r="209" spans="1:5" x14ac:dyDescent="0.4">
      <c r="A209" s="27">
        <v>42304</v>
      </c>
      <c r="B209" s="21">
        <v>194.96530000000001</v>
      </c>
      <c r="C209">
        <v>240.94890000000001</v>
      </c>
      <c r="D209">
        <v>131.6353</v>
      </c>
      <c r="E209" s="22">
        <v>101.36838108276184</v>
      </c>
    </row>
    <row r="210" spans="1:5" x14ac:dyDescent="0.4">
      <c r="A210" s="27">
        <v>42305</v>
      </c>
      <c r="B210" s="21">
        <v>197.06729999999999</v>
      </c>
      <c r="C210">
        <v>241.185</v>
      </c>
      <c r="D210">
        <v>131.63479899999999</v>
      </c>
      <c r="E210" s="22">
        <v>101.3679952777466</v>
      </c>
    </row>
    <row r="211" spans="1:5" x14ac:dyDescent="0.4">
      <c r="A211" s="27">
        <v>42306</v>
      </c>
      <c r="B211" s="21">
        <v>196.9787</v>
      </c>
      <c r="C211">
        <v>240.07919999999999</v>
      </c>
      <c r="D211">
        <v>131.63427300000001</v>
      </c>
      <c r="E211" s="22">
        <v>101.36759022098411</v>
      </c>
    </row>
    <row r="212" spans="1:5" x14ac:dyDescent="0.4">
      <c r="A212" s="27">
        <v>42307</v>
      </c>
      <c r="B212" s="21">
        <v>196.809</v>
      </c>
      <c r="C212">
        <v>240.1096</v>
      </c>
      <c r="D212">
        <v>131.633746</v>
      </c>
      <c r="E212" s="22">
        <v>101.36718439415171</v>
      </c>
    </row>
    <row r="213" spans="1:5" x14ac:dyDescent="0.4">
      <c r="A213" s="27">
        <v>42310</v>
      </c>
      <c r="B213" s="21">
        <v>197.47470000000001</v>
      </c>
      <c r="C213">
        <v>239.41130000000001</v>
      </c>
      <c r="D213">
        <v>131.632338</v>
      </c>
      <c r="E213" s="22">
        <v>101.36610013574563</v>
      </c>
    </row>
    <row r="214" spans="1:5" x14ac:dyDescent="0.4">
      <c r="A214" s="27">
        <v>42311</v>
      </c>
      <c r="B214" s="21">
        <v>198.39949999999999</v>
      </c>
      <c r="C214">
        <v>239.4246</v>
      </c>
      <c r="D214">
        <v>131.63186400000001</v>
      </c>
      <c r="E214" s="22">
        <v>101.36573512261744</v>
      </c>
    </row>
    <row r="215" spans="1:5" x14ac:dyDescent="0.4">
      <c r="A215" s="27">
        <v>42312</v>
      </c>
      <c r="B215" s="21">
        <v>199.44589999999999</v>
      </c>
      <c r="C215">
        <v>239.27359999999999</v>
      </c>
      <c r="D215">
        <v>131.63137699999999</v>
      </c>
      <c r="E215" s="22">
        <v>101.36536009858064</v>
      </c>
    </row>
    <row r="216" spans="1:5" x14ac:dyDescent="0.4">
      <c r="A216" s="27">
        <v>42313</v>
      </c>
      <c r="B216" s="21">
        <v>198.61009999999999</v>
      </c>
      <c r="C216">
        <v>238.99959999999999</v>
      </c>
      <c r="D216">
        <v>131.63090299999999</v>
      </c>
      <c r="E216" s="22">
        <v>101.36499508545246</v>
      </c>
    </row>
    <row r="217" spans="1:5" x14ac:dyDescent="0.4">
      <c r="A217" s="27">
        <v>42314</v>
      </c>
      <c r="B217" s="21">
        <v>199.13399999999999</v>
      </c>
      <c r="C217">
        <v>237.9898</v>
      </c>
      <c r="D217">
        <v>131.63042899999999</v>
      </c>
      <c r="E217" s="22">
        <v>101.36463007232427</v>
      </c>
    </row>
    <row r="218" spans="1:5" x14ac:dyDescent="0.4">
      <c r="A218" s="27">
        <v>42317</v>
      </c>
      <c r="B218" s="21">
        <v>196.9521</v>
      </c>
      <c r="C218">
        <v>237.89349999999999</v>
      </c>
      <c r="D218">
        <v>131.62891500000001</v>
      </c>
      <c r="E218" s="22">
        <v>101.36346418650976</v>
      </c>
    </row>
    <row r="219" spans="1:5" x14ac:dyDescent="0.4">
      <c r="A219" s="27">
        <v>42318</v>
      </c>
      <c r="B219" s="21">
        <v>197.1173</v>
      </c>
      <c r="C219">
        <v>238.61689999999999</v>
      </c>
      <c r="D219">
        <v>131.628389</v>
      </c>
      <c r="E219" s="22">
        <v>101.36305912974726</v>
      </c>
    </row>
    <row r="220" spans="1:5" x14ac:dyDescent="0.4">
      <c r="A220" s="27">
        <v>42319</v>
      </c>
      <c r="B220" s="21">
        <v>198.3587</v>
      </c>
      <c r="C220">
        <v>239.02279999999999</v>
      </c>
      <c r="D220">
        <v>131.62787499999999</v>
      </c>
      <c r="E220" s="22">
        <v>101.36266331382345</v>
      </c>
    </row>
    <row r="221" spans="1:5" x14ac:dyDescent="0.4">
      <c r="A221" s="27">
        <v>42320</v>
      </c>
      <c r="B221" s="21">
        <v>195.2175</v>
      </c>
      <c r="C221">
        <v>239.12219999999999</v>
      </c>
      <c r="D221">
        <v>131.62740199999999</v>
      </c>
      <c r="E221" s="22">
        <v>101.36229907076513</v>
      </c>
    </row>
    <row r="222" spans="1:5" x14ac:dyDescent="0.4">
      <c r="A222" s="27">
        <v>42321</v>
      </c>
      <c r="B222" s="21">
        <v>193.5873</v>
      </c>
      <c r="C222">
        <v>239.6454</v>
      </c>
      <c r="D222">
        <v>131.626901</v>
      </c>
      <c r="E222" s="22">
        <v>101.36191326574991</v>
      </c>
    </row>
    <row r="223" spans="1:5" x14ac:dyDescent="0.4">
      <c r="A223" s="27">
        <v>42324</v>
      </c>
      <c r="B223" s="21">
        <v>194.14400000000001</v>
      </c>
      <c r="C223">
        <v>239.85329999999999</v>
      </c>
      <c r="D223">
        <v>131.62545399999999</v>
      </c>
      <c r="E223" s="22">
        <v>101.36079897461805</v>
      </c>
    </row>
    <row r="224" spans="1:5" x14ac:dyDescent="0.4">
      <c r="A224" s="27">
        <v>42325</v>
      </c>
      <c r="B224" s="21">
        <v>199.04300000000001</v>
      </c>
      <c r="C224">
        <v>239.98869999999999</v>
      </c>
      <c r="D224">
        <v>131.624953</v>
      </c>
      <c r="E224" s="22">
        <v>101.36041316960282</v>
      </c>
    </row>
    <row r="225" spans="1:5" x14ac:dyDescent="0.4">
      <c r="A225" s="27">
        <v>42326</v>
      </c>
      <c r="B225" s="21">
        <v>198.82599999999999</v>
      </c>
      <c r="C225">
        <v>240.40440000000001</v>
      </c>
      <c r="D225">
        <v>131.62448000000001</v>
      </c>
      <c r="E225" s="22">
        <v>101.36004892654454</v>
      </c>
    </row>
    <row r="226" spans="1:5" x14ac:dyDescent="0.4">
      <c r="A226" s="27">
        <v>42327</v>
      </c>
      <c r="B226" s="21">
        <v>199.7576</v>
      </c>
      <c r="C226">
        <v>240.7664</v>
      </c>
      <c r="D226">
        <v>131.62400600000001</v>
      </c>
      <c r="E226" s="22">
        <v>101.35968391341635</v>
      </c>
    </row>
    <row r="227" spans="1:5" x14ac:dyDescent="0.4">
      <c r="A227" s="27">
        <v>42328</v>
      </c>
      <c r="B227" s="21">
        <v>200.1917</v>
      </c>
      <c r="C227">
        <v>241.03720000000001</v>
      </c>
      <c r="D227">
        <v>131.62350599999999</v>
      </c>
      <c r="E227" s="22">
        <v>101.35929887847097</v>
      </c>
    </row>
    <row r="228" spans="1:5" x14ac:dyDescent="0.4">
      <c r="A228" s="27">
        <v>42331</v>
      </c>
      <c r="B228" s="21">
        <v>199.44919999999999</v>
      </c>
      <c r="C228">
        <v>240.5599</v>
      </c>
      <c r="D228">
        <v>131.62204399999999</v>
      </c>
      <c r="E228" s="22">
        <v>101.35817303629078</v>
      </c>
    </row>
    <row r="229" spans="1:5" x14ac:dyDescent="0.4">
      <c r="A229" s="27">
        <v>42332</v>
      </c>
      <c r="B229" s="21">
        <v>197.06010000000001</v>
      </c>
      <c r="C229">
        <v>240.8399</v>
      </c>
      <c r="D229">
        <v>131.621544</v>
      </c>
      <c r="E229" s="22">
        <v>101.35778800134545</v>
      </c>
    </row>
    <row r="230" spans="1:5" x14ac:dyDescent="0.4">
      <c r="A230" s="27">
        <v>42333</v>
      </c>
      <c r="B230" s="21">
        <v>199.77010000000001</v>
      </c>
      <c r="C230">
        <v>241.29689999999999</v>
      </c>
      <c r="D230">
        <v>131.62103099999999</v>
      </c>
      <c r="E230" s="22">
        <v>101.35739295549151</v>
      </c>
    </row>
    <row r="231" spans="1:5" x14ac:dyDescent="0.4">
      <c r="A231" s="27">
        <v>42334</v>
      </c>
      <c r="B231" s="21">
        <v>201.68379999999999</v>
      </c>
      <c r="C231">
        <v>241.2816</v>
      </c>
      <c r="D231">
        <v>131.620544</v>
      </c>
      <c r="E231" s="22">
        <v>101.35701793145475</v>
      </c>
    </row>
    <row r="232" spans="1:5" x14ac:dyDescent="0.4">
      <c r="A232" s="27">
        <v>42335</v>
      </c>
      <c r="B232" s="21">
        <v>201.2458</v>
      </c>
      <c r="C232">
        <v>241.56280000000001</v>
      </c>
      <c r="D232">
        <v>131.62003100000001</v>
      </c>
      <c r="E232" s="22">
        <v>101.35662288560083</v>
      </c>
    </row>
    <row r="233" spans="1:5" x14ac:dyDescent="0.4">
      <c r="A233" s="27">
        <v>42338</v>
      </c>
      <c r="B233" s="21">
        <v>202.07400000000001</v>
      </c>
      <c r="C233">
        <v>241.2663</v>
      </c>
      <c r="D233">
        <v>131.618517</v>
      </c>
      <c r="E233" s="22">
        <v>101.3554569997863</v>
      </c>
    </row>
    <row r="234" spans="1:5" x14ac:dyDescent="0.4">
      <c r="A234" s="27">
        <v>42339</v>
      </c>
      <c r="B234" s="21">
        <v>201.3896</v>
      </c>
      <c r="C234">
        <v>241.36709999999999</v>
      </c>
      <c r="D234">
        <v>131.618056</v>
      </c>
      <c r="E234" s="22">
        <v>101.35510199756669</v>
      </c>
    </row>
    <row r="235" spans="1:5" x14ac:dyDescent="0.4">
      <c r="A235" s="27">
        <v>42340</v>
      </c>
      <c r="B235" s="21">
        <v>201.34379999999999</v>
      </c>
      <c r="C235">
        <v>241.50190000000001</v>
      </c>
      <c r="D235">
        <v>131.617583</v>
      </c>
      <c r="E235" s="22">
        <v>101.35473775450838</v>
      </c>
    </row>
    <row r="236" spans="1:5" x14ac:dyDescent="0.4">
      <c r="A236" s="27">
        <v>42341</v>
      </c>
      <c r="B236" s="21">
        <v>194.90209999999999</v>
      </c>
      <c r="C236">
        <v>238.96459999999999</v>
      </c>
      <c r="D236">
        <v>131.617096</v>
      </c>
      <c r="E236" s="22">
        <v>101.35436273047162</v>
      </c>
    </row>
    <row r="237" spans="1:5" x14ac:dyDescent="0.4">
      <c r="A237" s="27">
        <v>42342</v>
      </c>
      <c r="B237" s="21">
        <v>194.04320000000001</v>
      </c>
      <c r="C237">
        <v>238.7337</v>
      </c>
      <c r="D237">
        <v>131.61659499999999</v>
      </c>
      <c r="E237" s="22">
        <v>101.35397692545638</v>
      </c>
    </row>
    <row r="238" spans="1:5" x14ac:dyDescent="0.4">
      <c r="A238" s="27">
        <v>42345</v>
      </c>
      <c r="B238" s="21">
        <v>194.9588</v>
      </c>
      <c r="C238">
        <v>239.8614</v>
      </c>
      <c r="D238">
        <v>131.615082</v>
      </c>
      <c r="E238" s="22">
        <v>101.35281180971177</v>
      </c>
    </row>
    <row r="239" spans="1:5" x14ac:dyDescent="0.4">
      <c r="A239" s="27">
        <v>42346</v>
      </c>
      <c r="B239" s="21">
        <v>191.44540000000001</v>
      </c>
      <c r="C239">
        <v>240.15870000000001</v>
      </c>
      <c r="D239">
        <v>131.61456899999999</v>
      </c>
      <c r="E239" s="22">
        <v>101.35241676385782</v>
      </c>
    </row>
    <row r="240" spans="1:5" x14ac:dyDescent="0.4">
      <c r="A240" s="27">
        <v>42347</v>
      </c>
      <c r="B240" s="21">
        <v>190.65309999999999</v>
      </c>
      <c r="C240">
        <v>239.78</v>
      </c>
      <c r="D240">
        <v>131.61402899999999</v>
      </c>
      <c r="E240" s="22">
        <v>101.35200092611684</v>
      </c>
    </row>
    <row r="241" spans="1:5" x14ac:dyDescent="0.4">
      <c r="A241" s="27">
        <v>42348</v>
      </c>
      <c r="B241" s="21">
        <v>190.11949999999999</v>
      </c>
      <c r="C241">
        <v>240.06100000000001</v>
      </c>
      <c r="D241">
        <v>131.61317299999999</v>
      </c>
      <c r="E241" s="22">
        <v>101.35134174629042</v>
      </c>
    </row>
    <row r="242" spans="1:5" x14ac:dyDescent="0.4">
      <c r="A242" s="27">
        <v>42349</v>
      </c>
      <c r="B242" s="21">
        <v>186.1009</v>
      </c>
      <c r="C242">
        <v>240.31229999999999</v>
      </c>
      <c r="D242">
        <v>131.61233100000001</v>
      </c>
      <c r="E242" s="22">
        <v>101.35069334744247</v>
      </c>
    </row>
    <row r="243" spans="1:5" x14ac:dyDescent="0.4">
      <c r="A243" s="27">
        <v>42352</v>
      </c>
      <c r="B243" s="21">
        <v>182.73560000000001</v>
      </c>
      <c r="C243">
        <v>239.73699999999999</v>
      </c>
      <c r="D243">
        <v>131.609804</v>
      </c>
      <c r="E243" s="22">
        <v>101.34874738082867</v>
      </c>
    </row>
    <row r="244" spans="1:5" x14ac:dyDescent="0.4">
      <c r="A244" s="27">
        <v>42353</v>
      </c>
      <c r="B244" s="21">
        <v>188.03890000000001</v>
      </c>
      <c r="C244">
        <v>238.7895</v>
      </c>
      <c r="D244">
        <v>131.60896199999999</v>
      </c>
      <c r="E244" s="22">
        <v>101.3480989819807</v>
      </c>
    </row>
    <row r="245" spans="1:5" x14ac:dyDescent="0.4">
      <c r="A245" s="27">
        <v>42354</v>
      </c>
      <c r="B245" s="21">
        <v>188.512</v>
      </c>
      <c r="C245">
        <v>238.70910000000001</v>
      </c>
      <c r="D245">
        <v>131.608093</v>
      </c>
      <c r="E245" s="22">
        <v>101.34742979124569</v>
      </c>
    </row>
    <row r="246" spans="1:5" x14ac:dyDescent="0.4">
      <c r="A246" s="27">
        <v>42355</v>
      </c>
      <c r="B246" s="21">
        <v>190.87100000000001</v>
      </c>
      <c r="C246">
        <v>239.47280000000001</v>
      </c>
      <c r="D246">
        <v>131.60721100000001</v>
      </c>
      <c r="E246" s="22">
        <v>101.3467505896021</v>
      </c>
    </row>
    <row r="247" spans="1:5" x14ac:dyDescent="0.4">
      <c r="A247" s="27">
        <v>42356</v>
      </c>
      <c r="B247" s="21">
        <v>188.9136</v>
      </c>
      <c r="C247">
        <v>240.0462</v>
      </c>
      <c r="D247">
        <v>131.60634300000001</v>
      </c>
      <c r="E247" s="22">
        <v>101.34608216893697</v>
      </c>
    </row>
    <row r="248" spans="1:5" x14ac:dyDescent="0.4">
      <c r="A248" s="27">
        <v>42359</v>
      </c>
      <c r="B248" s="21">
        <v>186.8015</v>
      </c>
      <c r="C248">
        <v>239.9221</v>
      </c>
      <c r="D248">
        <v>131.60374999999999</v>
      </c>
      <c r="E248" s="22">
        <v>101.34408537771039</v>
      </c>
    </row>
    <row r="249" spans="1:5" x14ac:dyDescent="0.4">
      <c r="A249" s="27">
        <v>42360</v>
      </c>
      <c r="B249" s="21">
        <v>186.71889999999999</v>
      </c>
      <c r="C249">
        <v>239.2602</v>
      </c>
      <c r="D249">
        <v>131.60290800000001</v>
      </c>
      <c r="E249" s="22">
        <v>101.34343697886243</v>
      </c>
    </row>
    <row r="250" spans="1:5" x14ac:dyDescent="0.4">
      <c r="A250" s="27">
        <v>42361</v>
      </c>
      <c r="B250" s="21">
        <v>191.8218</v>
      </c>
      <c r="C250">
        <v>238.75970000000001</v>
      </c>
      <c r="D250">
        <v>131.60206600000001</v>
      </c>
      <c r="E250" s="22">
        <v>101.34278858001447</v>
      </c>
    </row>
    <row r="251" spans="1:5" x14ac:dyDescent="0.4">
      <c r="A251" s="27">
        <v>42362</v>
      </c>
      <c r="B251" s="21">
        <v>191.79069999999999</v>
      </c>
      <c r="C251">
        <v>238.77699999999999</v>
      </c>
      <c r="D251">
        <v>131.60121000000001</v>
      </c>
      <c r="E251" s="22">
        <v>101.34212940018803</v>
      </c>
    </row>
    <row r="252" spans="1:5" x14ac:dyDescent="0.4">
      <c r="A252" s="27">
        <v>42367</v>
      </c>
      <c r="B252" s="21">
        <v>193.55770000000001</v>
      </c>
      <c r="C252">
        <v>238.887</v>
      </c>
      <c r="D252">
        <v>131.59677500000001</v>
      </c>
      <c r="E252" s="22">
        <v>101.33871414022279</v>
      </c>
    </row>
    <row r="253" spans="1:5" x14ac:dyDescent="0.4">
      <c r="A253" s="27">
        <v>42368</v>
      </c>
      <c r="B253" s="21">
        <v>192.4392</v>
      </c>
      <c r="C253">
        <v>239.0489</v>
      </c>
      <c r="D253">
        <v>131.59595899999999</v>
      </c>
      <c r="E253" s="22">
        <v>101.33808576319197</v>
      </c>
    </row>
    <row r="254" spans="1:5" x14ac:dyDescent="0.4">
      <c r="A254" s="27">
        <v>42369</v>
      </c>
      <c r="B254" s="21">
        <v>191.41</v>
      </c>
      <c r="C254">
        <v>239.06620000000001</v>
      </c>
      <c r="D254">
        <v>131.59544600000001</v>
      </c>
      <c r="E254" s="22">
        <v>101.33769071733806</v>
      </c>
    </row>
    <row r="255" spans="1:5" x14ac:dyDescent="0.4">
      <c r="A255" s="27">
        <v>42373</v>
      </c>
      <c r="B255" s="21">
        <v>186.58019999999999</v>
      </c>
      <c r="C255">
        <v>239.6634</v>
      </c>
      <c r="D255">
        <v>131.593591</v>
      </c>
      <c r="E255" s="22">
        <v>101.33626223769082</v>
      </c>
    </row>
    <row r="256" spans="1:5" x14ac:dyDescent="0.4">
      <c r="A256" s="27">
        <v>42374</v>
      </c>
      <c r="B256" s="21">
        <v>187.7458</v>
      </c>
      <c r="C256">
        <v>239.952</v>
      </c>
      <c r="D256">
        <v>131.59270900000001</v>
      </c>
      <c r="E256" s="22">
        <v>101.33558303604724</v>
      </c>
    </row>
    <row r="257" spans="1:5" x14ac:dyDescent="0.4">
      <c r="A257" s="27">
        <v>42375</v>
      </c>
      <c r="B257" s="21">
        <v>185.3597</v>
      </c>
      <c r="C257">
        <v>240.3493</v>
      </c>
      <c r="D257">
        <v>131.59178800000001</v>
      </c>
      <c r="E257" s="22">
        <v>101.3348738016779</v>
      </c>
    </row>
    <row r="258" spans="1:5" x14ac:dyDescent="0.4">
      <c r="A258" s="27">
        <v>42376</v>
      </c>
      <c r="B258" s="21">
        <v>181.25229999999999</v>
      </c>
      <c r="C258">
        <v>239.64410000000001</v>
      </c>
      <c r="D258">
        <v>131.590867</v>
      </c>
      <c r="E258" s="22">
        <v>101.33416456730855</v>
      </c>
    </row>
    <row r="259" spans="1:5" x14ac:dyDescent="0.4">
      <c r="A259" s="27">
        <v>42377</v>
      </c>
      <c r="B259" s="21">
        <v>178.4409</v>
      </c>
      <c r="C259">
        <v>240.04130000000001</v>
      </c>
      <c r="D259">
        <v>131.590011</v>
      </c>
      <c r="E259" s="22">
        <v>101.33350538748212</v>
      </c>
    </row>
    <row r="260" spans="1:5" x14ac:dyDescent="0.4">
      <c r="A260" s="27">
        <v>42380</v>
      </c>
      <c r="B260" s="21">
        <v>177.85579999999999</v>
      </c>
      <c r="C260">
        <v>239.69550000000001</v>
      </c>
      <c r="D260">
        <v>131.58743200000001</v>
      </c>
      <c r="E260" s="22">
        <v>101.33151937723402</v>
      </c>
    </row>
    <row r="261" spans="1:5" x14ac:dyDescent="0.4">
      <c r="A261" s="27">
        <v>42381</v>
      </c>
      <c r="B261" s="21">
        <v>179.49420000000001</v>
      </c>
      <c r="C261">
        <v>239.64250000000001</v>
      </c>
      <c r="D261">
        <v>131.58656400000001</v>
      </c>
      <c r="E261" s="22">
        <v>101.33085095656891</v>
      </c>
    </row>
    <row r="262" spans="1:5" x14ac:dyDescent="0.4">
      <c r="A262" s="27">
        <v>42382</v>
      </c>
      <c r="B262" s="21">
        <v>180.25960000000001</v>
      </c>
      <c r="C262">
        <v>240.02209999999999</v>
      </c>
      <c r="D262">
        <v>131.58570800000001</v>
      </c>
      <c r="E262" s="22">
        <v>101.33019177674245</v>
      </c>
    </row>
    <row r="263" spans="1:5" x14ac:dyDescent="0.4">
      <c r="A263" s="27">
        <v>42383</v>
      </c>
      <c r="B263" s="21">
        <v>177.69040000000001</v>
      </c>
      <c r="C263">
        <v>239.73150000000001</v>
      </c>
      <c r="D263">
        <v>131.58484000000001</v>
      </c>
      <c r="E263" s="22">
        <v>101.32952335607735</v>
      </c>
    </row>
    <row r="264" spans="1:5" x14ac:dyDescent="0.4">
      <c r="A264" s="27">
        <v>42384</v>
      </c>
      <c r="B264" s="21">
        <v>172.6481</v>
      </c>
      <c r="C264">
        <v>240.1429</v>
      </c>
      <c r="D264">
        <v>131.583958</v>
      </c>
      <c r="E264" s="22">
        <v>101.32884415443372</v>
      </c>
    </row>
    <row r="265" spans="1:5" x14ac:dyDescent="0.4">
      <c r="A265" s="27">
        <v>42387</v>
      </c>
      <c r="B265" s="21">
        <v>172.1061</v>
      </c>
      <c r="C265">
        <v>239.9546</v>
      </c>
      <c r="D265">
        <v>131.58134000000001</v>
      </c>
      <c r="E265" s="22">
        <v>101.3268281114599</v>
      </c>
    </row>
    <row r="266" spans="1:5" x14ac:dyDescent="0.4">
      <c r="A266" s="27">
        <v>42388</v>
      </c>
      <c r="B266" s="21">
        <v>174.32859999999999</v>
      </c>
      <c r="C266">
        <v>239.95509999999999</v>
      </c>
      <c r="D266">
        <v>131.58045799999999</v>
      </c>
      <c r="E266" s="22">
        <v>101.32614890981628</v>
      </c>
    </row>
    <row r="267" spans="1:5" x14ac:dyDescent="0.4">
      <c r="A267" s="27">
        <v>42389</v>
      </c>
      <c r="B267" s="21">
        <v>168.7193</v>
      </c>
      <c r="C267">
        <v>240.1037</v>
      </c>
      <c r="D267">
        <v>131.57959</v>
      </c>
      <c r="E267" s="22">
        <v>101.32548048915118</v>
      </c>
    </row>
    <row r="268" spans="1:5" x14ac:dyDescent="0.4">
      <c r="A268" s="27">
        <v>42390</v>
      </c>
      <c r="B268" s="21">
        <v>172.0838</v>
      </c>
      <c r="C268">
        <v>240.696</v>
      </c>
      <c r="D268">
        <v>131.578721</v>
      </c>
      <c r="E268" s="22">
        <v>101.32481129841615</v>
      </c>
    </row>
    <row r="269" spans="1:5" x14ac:dyDescent="0.4">
      <c r="A269" s="27">
        <v>42391</v>
      </c>
      <c r="B269" s="21">
        <v>177.279</v>
      </c>
      <c r="C269">
        <v>240.58449999999999</v>
      </c>
      <c r="D269">
        <v>131.57784000000001</v>
      </c>
      <c r="E269" s="22">
        <v>101.32413286684245</v>
      </c>
    </row>
    <row r="270" spans="1:5" x14ac:dyDescent="0.4">
      <c r="A270" s="27">
        <v>42394</v>
      </c>
      <c r="B270" s="21">
        <v>176.13499999999999</v>
      </c>
      <c r="C270">
        <v>240.77379999999999</v>
      </c>
      <c r="D270">
        <v>131.57519500000001</v>
      </c>
      <c r="E270" s="22">
        <v>101.32209603198157</v>
      </c>
    </row>
    <row r="271" spans="1:5" x14ac:dyDescent="0.4">
      <c r="A271" s="27">
        <v>42395</v>
      </c>
      <c r="B271" s="21">
        <v>177.68109999999999</v>
      </c>
      <c r="C271">
        <v>241.25649999999999</v>
      </c>
      <c r="D271">
        <v>131.57432700000001</v>
      </c>
      <c r="E271" s="22">
        <v>101.32142761131644</v>
      </c>
    </row>
    <row r="272" spans="1:5" x14ac:dyDescent="0.4">
      <c r="A272" s="27">
        <v>42396</v>
      </c>
      <c r="B272" s="21">
        <v>178.36420000000001</v>
      </c>
      <c r="C272">
        <v>241.37100000000001</v>
      </c>
      <c r="D272">
        <v>131.57345799999999</v>
      </c>
      <c r="E272" s="22">
        <v>101.32075842058141</v>
      </c>
    </row>
    <row r="273" spans="1:5" x14ac:dyDescent="0.4">
      <c r="A273" s="27">
        <v>42397</v>
      </c>
      <c r="B273" s="21">
        <v>175.60159999999999</v>
      </c>
      <c r="C273">
        <v>241.69370000000001</v>
      </c>
      <c r="D273">
        <v>131.57258999999999</v>
      </c>
      <c r="E273" s="22">
        <v>101.32008999991629</v>
      </c>
    </row>
    <row r="274" spans="1:5" x14ac:dyDescent="0.4">
      <c r="A274" s="27">
        <v>42398</v>
      </c>
      <c r="B274" s="21">
        <v>179.495</v>
      </c>
      <c r="C274">
        <v>242.74449999999999</v>
      </c>
      <c r="D274">
        <v>131.57172199999999</v>
      </c>
      <c r="E274" s="22">
        <v>101.31942157925118</v>
      </c>
    </row>
    <row r="275" spans="1:5" x14ac:dyDescent="0.4">
      <c r="A275" s="27">
        <v>42401</v>
      </c>
      <c r="B275" s="21">
        <v>179.10159999999999</v>
      </c>
      <c r="C275">
        <v>242.36170000000001</v>
      </c>
      <c r="D275">
        <v>131.569222</v>
      </c>
      <c r="E275" s="22">
        <v>101.31749640452443</v>
      </c>
    </row>
    <row r="276" spans="1:5" x14ac:dyDescent="0.4">
      <c r="A276" s="27">
        <v>42402</v>
      </c>
      <c r="B276" s="21">
        <v>175.3108</v>
      </c>
      <c r="C276">
        <v>242.4802</v>
      </c>
      <c r="D276">
        <v>131.568353</v>
      </c>
      <c r="E276" s="22">
        <v>101.31682721378942</v>
      </c>
    </row>
    <row r="277" spans="1:5" x14ac:dyDescent="0.4">
      <c r="A277" s="27">
        <v>42403</v>
      </c>
      <c r="B277" s="21">
        <v>172.63329999999999</v>
      </c>
      <c r="C277">
        <v>242.9469</v>
      </c>
      <c r="D277">
        <v>131.567511</v>
      </c>
      <c r="E277" s="22">
        <v>101.31617881494147</v>
      </c>
    </row>
    <row r="278" spans="1:5" x14ac:dyDescent="0.4">
      <c r="A278" s="27">
        <v>42404</v>
      </c>
      <c r="B278" s="21">
        <v>172.45429999999999</v>
      </c>
      <c r="C278">
        <v>242.49420000000001</v>
      </c>
      <c r="D278">
        <v>131.56660299999999</v>
      </c>
      <c r="E278" s="22">
        <v>101.31547959148068</v>
      </c>
    </row>
    <row r="279" spans="1:5" x14ac:dyDescent="0.4">
      <c r="A279" s="27">
        <v>42405</v>
      </c>
      <c r="B279" s="21">
        <v>171.05289999999999</v>
      </c>
      <c r="C279">
        <v>242.43809999999999</v>
      </c>
      <c r="D279">
        <v>131.56576100000001</v>
      </c>
      <c r="E279" s="22">
        <v>101.31483119263274</v>
      </c>
    </row>
    <row r="280" spans="1:5" x14ac:dyDescent="0.4">
      <c r="A280" s="27">
        <v>42408</v>
      </c>
      <c r="B280" s="21">
        <v>165.17830000000001</v>
      </c>
      <c r="C280">
        <v>242.5316</v>
      </c>
      <c r="D280">
        <v>131.56317000000001</v>
      </c>
      <c r="E280" s="22">
        <v>101.31283594154594</v>
      </c>
    </row>
    <row r="281" spans="1:5" x14ac:dyDescent="0.4">
      <c r="A281" s="27">
        <v>42409</v>
      </c>
      <c r="B281" s="21">
        <v>162.5008</v>
      </c>
      <c r="C281">
        <v>242.2432</v>
      </c>
      <c r="D281">
        <v>131.562288</v>
      </c>
      <c r="E281" s="22">
        <v>101.31215673990235</v>
      </c>
    </row>
    <row r="282" spans="1:5" x14ac:dyDescent="0.4">
      <c r="A282" s="27">
        <v>42410</v>
      </c>
      <c r="B282" s="21">
        <v>165.4434</v>
      </c>
      <c r="C282">
        <v>242.30240000000001</v>
      </c>
      <c r="D282">
        <v>131.56142</v>
      </c>
      <c r="E282" s="22">
        <v>101.31148831923721</v>
      </c>
    </row>
    <row r="283" spans="1:5" x14ac:dyDescent="0.4">
      <c r="A283" s="27">
        <v>42411</v>
      </c>
      <c r="B283" s="21">
        <v>159.32390000000001</v>
      </c>
      <c r="C283">
        <v>242.5453</v>
      </c>
      <c r="D283">
        <v>131.560552</v>
      </c>
      <c r="E283" s="22">
        <v>101.31081989857209</v>
      </c>
    </row>
    <row r="284" spans="1:5" x14ac:dyDescent="0.4">
      <c r="A284" s="27">
        <v>42412</v>
      </c>
      <c r="B284" s="21">
        <v>164.0814</v>
      </c>
      <c r="C284">
        <v>242.01419999999999</v>
      </c>
      <c r="D284">
        <v>131.55968300000001</v>
      </c>
      <c r="E284" s="22">
        <v>101.31015070783708</v>
      </c>
    </row>
    <row r="285" spans="1:5" x14ac:dyDescent="0.4">
      <c r="A285" s="27">
        <v>42415</v>
      </c>
      <c r="B285" s="21">
        <v>168.94540000000001</v>
      </c>
      <c r="C285">
        <v>242.48390000000001</v>
      </c>
      <c r="D285">
        <v>131.557052</v>
      </c>
      <c r="E285" s="22">
        <v>101.30812465395466</v>
      </c>
    </row>
    <row r="286" spans="1:5" x14ac:dyDescent="0.4">
      <c r="A286" s="27">
        <v>42416</v>
      </c>
      <c r="B286" s="21">
        <v>168.2216</v>
      </c>
      <c r="C286">
        <v>242.09389999999999</v>
      </c>
      <c r="D286">
        <v>131.55617100000001</v>
      </c>
      <c r="E286" s="22">
        <v>101.30744622238097</v>
      </c>
    </row>
    <row r="287" spans="1:5" x14ac:dyDescent="0.4">
      <c r="A287" s="27">
        <v>42417</v>
      </c>
      <c r="B287" s="21">
        <v>172.68279999999999</v>
      </c>
      <c r="C287">
        <v>242.21520000000001</v>
      </c>
      <c r="D287">
        <v>131.55528899999999</v>
      </c>
      <c r="E287" s="22">
        <v>101.30676702073735</v>
      </c>
    </row>
    <row r="288" spans="1:5" x14ac:dyDescent="0.4">
      <c r="A288" s="27">
        <v>42418</v>
      </c>
      <c r="B288" s="21">
        <v>172.7431</v>
      </c>
      <c r="C288">
        <v>243.02510000000001</v>
      </c>
      <c r="D288">
        <v>131.554395</v>
      </c>
      <c r="E288" s="22">
        <v>101.30607857825508</v>
      </c>
    </row>
    <row r="289" spans="1:5" x14ac:dyDescent="0.4">
      <c r="A289" s="27">
        <v>42419</v>
      </c>
      <c r="B289" s="21">
        <v>171.36359999999999</v>
      </c>
      <c r="C289">
        <v>243.11369999999999</v>
      </c>
      <c r="D289">
        <v>131.55350000000001</v>
      </c>
      <c r="E289" s="22">
        <v>101.30538936570292</v>
      </c>
    </row>
    <row r="290" spans="1:5" x14ac:dyDescent="0.4">
      <c r="A290" s="27">
        <v>42422</v>
      </c>
      <c r="B290" s="21">
        <v>174.37530000000001</v>
      </c>
      <c r="C290">
        <v>243.62020000000001</v>
      </c>
      <c r="D290">
        <v>131.55084299999999</v>
      </c>
      <c r="E290" s="22">
        <v>101.30334329000333</v>
      </c>
    </row>
    <row r="291" spans="1:5" x14ac:dyDescent="0.4">
      <c r="A291" s="27">
        <v>42423</v>
      </c>
      <c r="B291" s="21">
        <v>172.1379</v>
      </c>
      <c r="C291">
        <v>243.58439999999999</v>
      </c>
      <c r="D291">
        <v>131.549961</v>
      </c>
      <c r="E291" s="22">
        <v>101.30266408835973</v>
      </c>
    </row>
    <row r="292" spans="1:5" x14ac:dyDescent="0.4">
      <c r="A292" s="27">
        <v>42424</v>
      </c>
      <c r="B292" s="21">
        <v>168.1233</v>
      </c>
      <c r="C292">
        <v>243.89760000000001</v>
      </c>
      <c r="D292">
        <v>131.54906700000001</v>
      </c>
      <c r="E292" s="22">
        <v>101.30197564587746</v>
      </c>
    </row>
    <row r="293" spans="1:5" x14ac:dyDescent="0.4">
      <c r="A293" s="27">
        <v>42425</v>
      </c>
      <c r="B293" s="21">
        <v>171.57939999999999</v>
      </c>
      <c r="C293">
        <v>244.0009</v>
      </c>
      <c r="D293">
        <v>131.548159</v>
      </c>
      <c r="E293" s="22">
        <v>101.30127642241671</v>
      </c>
    </row>
    <row r="294" spans="1:5" x14ac:dyDescent="0.4">
      <c r="A294" s="27">
        <v>42426</v>
      </c>
      <c r="B294" s="21">
        <v>174.28919999999999</v>
      </c>
      <c r="C294">
        <v>244.07149999999999</v>
      </c>
      <c r="D294">
        <v>131.54725099999999</v>
      </c>
      <c r="E294" s="22">
        <v>101.30057719895593</v>
      </c>
    </row>
    <row r="295" spans="1:5" x14ac:dyDescent="0.4">
      <c r="A295" s="27">
        <v>42429</v>
      </c>
      <c r="B295" s="21">
        <v>175.54900000000001</v>
      </c>
      <c r="C295">
        <v>244.77170000000001</v>
      </c>
      <c r="D295">
        <v>131.54459399999999</v>
      </c>
      <c r="E295" s="22">
        <v>101.29853112325635</v>
      </c>
    </row>
    <row r="296" spans="1:5" x14ac:dyDescent="0.4">
      <c r="A296" s="27">
        <v>42430</v>
      </c>
      <c r="B296" s="21">
        <v>178.03710000000001</v>
      </c>
      <c r="C296">
        <v>244.41050000000001</v>
      </c>
      <c r="D296">
        <v>131.54376500000001</v>
      </c>
      <c r="E296" s="22">
        <v>101.29789273531699</v>
      </c>
    </row>
    <row r="297" spans="1:5" x14ac:dyDescent="0.4">
      <c r="A297" s="27">
        <v>42431</v>
      </c>
      <c r="B297" s="21">
        <v>179.33940000000001</v>
      </c>
      <c r="C297">
        <v>243.6962</v>
      </c>
      <c r="D297">
        <v>131.54289700000001</v>
      </c>
      <c r="E297" s="22">
        <v>101.29722431465187</v>
      </c>
    </row>
    <row r="298" spans="1:5" x14ac:dyDescent="0.4">
      <c r="A298" s="27">
        <v>42432</v>
      </c>
      <c r="B298" s="21">
        <v>178.74449999999999</v>
      </c>
      <c r="C298">
        <v>244.07380000000001</v>
      </c>
      <c r="D298">
        <v>131.54204200000001</v>
      </c>
      <c r="E298" s="22">
        <v>101.29656590489533</v>
      </c>
    </row>
    <row r="299" spans="1:5" x14ac:dyDescent="0.4">
      <c r="A299" s="27">
        <v>42433</v>
      </c>
      <c r="B299" s="21">
        <v>180.0164</v>
      </c>
      <c r="C299">
        <v>243.48679999999999</v>
      </c>
      <c r="D299">
        <v>131.54117400000001</v>
      </c>
      <c r="E299" s="22">
        <v>101.2958974842302</v>
      </c>
    </row>
    <row r="300" spans="1:5" x14ac:dyDescent="0.4">
      <c r="A300" s="27">
        <v>42436</v>
      </c>
      <c r="B300" s="21">
        <v>179.57400000000001</v>
      </c>
      <c r="C300">
        <v>243.7422</v>
      </c>
      <c r="D300">
        <v>131.53858299999999</v>
      </c>
      <c r="E300" s="22">
        <v>101.29390223314338</v>
      </c>
    </row>
    <row r="301" spans="1:5" x14ac:dyDescent="0.4">
      <c r="A301" s="27">
        <v>42437</v>
      </c>
      <c r="B301" s="21">
        <v>177.79480000000001</v>
      </c>
      <c r="C301">
        <v>244.24770000000001</v>
      </c>
      <c r="D301">
        <v>131.53771399999999</v>
      </c>
      <c r="E301" s="22">
        <v>101.29323304240839</v>
      </c>
    </row>
    <row r="302" spans="1:5" x14ac:dyDescent="0.4">
      <c r="A302" s="27">
        <v>42438</v>
      </c>
      <c r="B302" s="21">
        <v>178.7174</v>
      </c>
      <c r="C302">
        <v>243.69890000000001</v>
      </c>
      <c r="D302">
        <v>131.53685899999999</v>
      </c>
      <c r="E302" s="22">
        <v>101.29257463265182</v>
      </c>
    </row>
    <row r="303" spans="1:5" x14ac:dyDescent="0.4">
      <c r="A303" s="27">
        <v>42439</v>
      </c>
      <c r="B303" s="21">
        <v>175.68520000000001</v>
      </c>
      <c r="C303">
        <v>242.97120000000001</v>
      </c>
      <c r="D303">
        <v>131.535991</v>
      </c>
      <c r="E303" s="22">
        <v>101.29190621198671</v>
      </c>
    </row>
    <row r="304" spans="1:5" x14ac:dyDescent="0.4">
      <c r="A304" s="27">
        <v>42440</v>
      </c>
      <c r="B304" s="21">
        <v>180.297</v>
      </c>
      <c r="C304">
        <v>244.07910000000001</v>
      </c>
      <c r="D304">
        <v>131.53511</v>
      </c>
      <c r="E304" s="22">
        <v>101.29122778041302</v>
      </c>
    </row>
    <row r="305" spans="1:5" x14ac:dyDescent="0.4">
      <c r="A305" s="27">
        <v>42443</v>
      </c>
      <c r="B305" s="21">
        <v>181.5549</v>
      </c>
      <c r="C305">
        <v>244.3237</v>
      </c>
      <c r="D305">
        <v>131.532453</v>
      </c>
      <c r="E305" s="22">
        <v>101.28918170471344</v>
      </c>
    </row>
    <row r="306" spans="1:5" x14ac:dyDescent="0.4">
      <c r="A306" s="27">
        <v>42444</v>
      </c>
      <c r="B306" s="21">
        <v>179.49629999999999</v>
      </c>
      <c r="C306">
        <v>243.76070000000001</v>
      </c>
      <c r="D306">
        <v>131.53157200000001</v>
      </c>
      <c r="E306" s="22">
        <v>101.28850327313974</v>
      </c>
    </row>
    <row r="307" spans="1:5" x14ac:dyDescent="0.4">
      <c r="A307" s="27">
        <v>42445</v>
      </c>
      <c r="B307" s="21">
        <v>179.59649999999999</v>
      </c>
      <c r="C307">
        <v>244.0291</v>
      </c>
      <c r="D307">
        <v>131.530664</v>
      </c>
      <c r="E307" s="22">
        <v>101.28780404967897</v>
      </c>
    </row>
    <row r="308" spans="1:5" x14ac:dyDescent="0.4">
      <c r="A308" s="27">
        <v>42446</v>
      </c>
      <c r="B308" s="21">
        <v>179.54810000000001</v>
      </c>
      <c r="C308">
        <v>244.85050000000001</v>
      </c>
      <c r="D308">
        <v>131.529428</v>
      </c>
      <c r="E308" s="22">
        <v>101.28685224329408</v>
      </c>
    </row>
    <row r="309" spans="1:5" x14ac:dyDescent="0.4">
      <c r="A309" s="27">
        <v>42447</v>
      </c>
      <c r="B309" s="21">
        <v>180.0814</v>
      </c>
      <c r="C309">
        <v>245.05289999999999</v>
      </c>
      <c r="D309">
        <v>131.528165</v>
      </c>
      <c r="E309" s="22">
        <v>101.28587964502212</v>
      </c>
    </row>
    <row r="310" spans="1:5" x14ac:dyDescent="0.4">
      <c r="A310" s="27">
        <v>42450</v>
      </c>
      <c r="B310" s="21">
        <v>179.68790000000001</v>
      </c>
      <c r="C310">
        <v>245.17019999999999</v>
      </c>
      <c r="D310">
        <v>131.52439000000001</v>
      </c>
      <c r="E310" s="22">
        <v>101.28297263118475</v>
      </c>
    </row>
    <row r="311" spans="1:5" x14ac:dyDescent="0.4">
      <c r="A311" s="27">
        <v>42451</v>
      </c>
      <c r="B311" s="21">
        <v>179.39330000000001</v>
      </c>
      <c r="C311">
        <v>245.25550000000001</v>
      </c>
      <c r="D311">
        <v>131.52312800000001</v>
      </c>
      <c r="E311" s="22">
        <v>101.28200080298268</v>
      </c>
    </row>
    <row r="312" spans="1:5" x14ac:dyDescent="0.4">
      <c r="A312" s="27">
        <v>42452</v>
      </c>
      <c r="B312" s="21">
        <v>179.2739</v>
      </c>
      <c r="C312">
        <v>245.2302</v>
      </c>
      <c r="D312">
        <v>131.52186499999999</v>
      </c>
      <c r="E312" s="22">
        <v>101.28102820471072</v>
      </c>
    </row>
    <row r="313" spans="1:5" x14ac:dyDescent="0.4">
      <c r="A313" s="27">
        <v>42453</v>
      </c>
      <c r="B313" s="21">
        <v>176.6343</v>
      </c>
      <c r="C313">
        <v>245.40549999999999</v>
      </c>
      <c r="D313">
        <v>131.520602</v>
      </c>
      <c r="E313" s="22">
        <v>101.28005560643878</v>
      </c>
    </row>
    <row r="314" spans="1:5" x14ac:dyDescent="0.4">
      <c r="A314" s="27">
        <v>42458</v>
      </c>
      <c r="B314" s="21">
        <v>177.4795</v>
      </c>
      <c r="C314">
        <v>246.1619</v>
      </c>
      <c r="D314">
        <v>131.51422400000001</v>
      </c>
      <c r="E314" s="22">
        <v>101.27514410067593</v>
      </c>
    </row>
    <row r="315" spans="1:5" x14ac:dyDescent="0.4">
      <c r="A315" s="27">
        <v>42459</v>
      </c>
      <c r="B315" s="21">
        <v>179.85069999999999</v>
      </c>
      <c r="C315">
        <v>246.071</v>
      </c>
      <c r="D315">
        <v>131.51296099999999</v>
      </c>
      <c r="E315" s="22">
        <v>101.27417150240396</v>
      </c>
    </row>
    <row r="316" spans="1:5" x14ac:dyDescent="0.4">
      <c r="A316" s="27">
        <v>42460</v>
      </c>
      <c r="B316" s="21">
        <v>177.89099999999999</v>
      </c>
      <c r="C316">
        <v>246.0907</v>
      </c>
      <c r="D316">
        <v>131.51169899999999</v>
      </c>
      <c r="E316" s="22">
        <v>101.27319967420192</v>
      </c>
    </row>
    <row r="317" spans="1:5" x14ac:dyDescent="0.4">
      <c r="A317" s="27">
        <v>42461</v>
      </c>
      <c r="B317" s="21">
        <v>175.5986</v>
      </c>
      <c r="C317">
        <v>246.31059999999999</v>
      </c>
      <c r="D317">
        <v>131.510594</v>
      </c>
      <c r="E317" s="22">
        <v>101.27234874697271</v>
      </c>
    </row>
    <row r="318" spans="1:5" x14ac:dyDescent="0.4">
      <c r="A318" s="27">
        <v>42464</v>
      </c>
      <c r="B318" s="21">
        <v>176.3254</v>
      </c>
      <c r="C318">
        <v>246.44990000000001</v>
      </c>
      <c r="D318">
        <v>131.506925</v>
      </c>
      <c r="E318" s="22">
        <v>101.26952336054373</v>
      </c>
    </row>
    <row r="319" spans="1:5" x14ac:dyDescent="0.4">
      <c r="A319" s="27">
        <v>42465</v>
      </c>
      <c r="B319" s="21">
        <v>172.96289999999999</v>
      </c>
      <c r="C319">
        <v>246.7227</v>
      </c>
      <c r="D319">
        <v>131.50571500000001</v>
      </c>
      <c r="E319" s="22">
        <v>101.268591575976</v>
      </c>
    </row>
    <row r="320" spans="1:5" x14ac:dyDescent="0.4">
      <c r="A320" s="27">
        <v>42466</v>
      </c>
      <c r="B320" s="21">
        <v>174.3082</v>
      </c>
      <c r="C320">
        <v>246.41540000000001</v>
      </c>
      <c r="D320">
        <v>131.50450499999999</v>
      </c>
      <c r="E320" s="22">
        <v>101.26765979140824</v>
      </c>
    </row>
    <row r="321" spans="1:5" x14ac:dyDescent="0.4">
      <c r="A321" s="27">
        <v>42467</v>
      </c>
      <c r="B321" s="21">
        <v>173.1764</v>
      </c>
      <c r="C321">
        <v>246.30430000000001</v>
      </c>
      <c r="D321">
        <v>131.50328200000001</v>
      </c>
      <c r="E321" s="22">
        <v>101.26671799593194</v>
      </c>
    </row>
    <row r="322" spans="1:5" x14ac:dyDescent="0.4">
      <c r="A322" s="27">
        <v>42468</v>
      </c>
      <c r="B322" s="21">
        <v>175.2363</v>
      </c>
      <c r="C322">
        <v>246.43430000000001</v>
      </c>
      <c r="D322">
        <v>131.502072</v>
      </c>
      <c r="E322" s="22">
        <v>101.2657862113642</v>
      </c>
    </row>
    <row r="323" spans="1:5" x14ac:dyDescent="0.4">
      <c r="A323" s="27">
        <v>42471</v>
      </c>
      <c r="B323" s="21">
        <v>175.90649999999999</v>
      </c>
      <c r="C323">
        <v>246.1695</v>
      </c>
      <c r="D323">
        <v>131.49841599999999</v>
      </c>
      <c r="E323" s="22">
        <v>101.26297083584379</v>
      </c>
    </row>
    <row r="324" spans="1:5" x14ac:dyDescent="0.4">
      <c r="A324" s="27">
        <v>42472</v>
      </c>
      <c r="B324" s="21">
        <v>176.9195</v>
      </c>
      <c r="C324">
        <v>245.6388</v>
      </c>
      <c r="D324">
        <v>131.497207</v>
      </c>
      <c r="E324" s="22">
        <v>101.26203982134597</v>
      </c>
    </row>
    <row r="325" spans="1:5" x14ac:dyDescent="0.4">
      <c r="A325" s="27">
        <v>42473</v>
      </c>
      <c r="B325" s="21">
        <v>181.48339999999999</v>
      </c>
      <c r="C325">
        <v>246.13929999999999</v>
      </c>
      <c r="D325">
        <v>131.495957</v>
      </c>
      <c r="E325" s="22">
        <v>101.26107723398259</v>
      </c>
    </row>
    <row r="326" spans="1:5" x14ac:dyDescent="0.4">
      <c r="A326" s="27">
        <v>42474</v>
      </c>
      <c r="B326" s="21">
        <v>182.13509999999999</v>
      </c>
      <c r="C326">
        <v>245.8124</v>
      </c>
      <c r="D326">
        <v>131.494721</v>
      </c>
      <c r="E326" s="22">
        <v>101.26012542759769</v>
      </c>
    </row>
    <row r="327" spans="1:5" x14ac:dyDescent="0.4">
      <c r="A327" s="27">
        <v>42475</v>
      </c>
      <c r="B327" s="21">
        <v>181.54220000000001</v>
      </c>
      <c r="C327">
        <v>246.12260000000001</v>
      </c>
      <c r="D327">
        <v>131.49348499999999</v>
      </c>
      <c r="E327" s="22">
        <v>101.25917362121277</v>
      </c>
    </row>
    <row r="328" spans="1:5" x14ac:dyDescent="0.4">
      <c r="A328" s="27">
        <v>42478</v>
      </c>
      <c r="B328" s="21">
        <v>182.29759999999999</v>
      </c>
      <c r="C328">
        <v>245.9298</v>
      </c>
      <c r="D328">
        <v>131.48975100000001</v>
      </c>
      <c r="E328" s="22">
        <v>101.25629818024093</v>
      </c>
    </row>
    <row r="329" spans="1:5" x14ac:dyDescent="0.4">
      <c r="A329" s="27">
        <v>42479</v>
      </c>
      <c r="B329" s="21">
        <v>185.05420000000001</v>
      </c>
      <c r="C329">
        <v>245.57429999999999</v>
      </c>
      <c r="D329">
        <v>131.48847499999999</v>
      </c>
      <c r="E329" s="22">
        <v>101.25531557106038</v>
      </c>
    </row>
    <row r="330" spans="1:5" x14ac:dyDescent="0.4">
      <c r="A330" s="27">
        <v>42480</v>
      </c>
      <c r="B330" s="21">
        <v>185.96170000000001</v>
      </c>
      <c r="C330">
        <v>245.881</v>
      </c>
      <c r="D330">
        <v>131.48723899999999</v>
      </c>
      <c r="E330" s="22">
        <v>101.25436376467547</v>
      </c>
    </row>
    <row r="331" spans="1:5" x14ac:dyDescent="0.4">
      <c r="A331" s="27">
        <v>42481</v>
      </c>
      <c r="B331" s="21">
        <v>185.44710000000001</v>
      </c>
      <c r="C331">
        <v>244.99340000000001</v>
      </c>
      <c r="D331">
        <v>131.48598999999999</v>
      </c>
      <c r="E331" s="22">
        <v>101.25340194738199</v>
      </c>
    </row>
    <row r="332" spans="1:5" x14ac:dyDescent="0.4">
      <c r="A332" s="27">
        <v>42482</v>
      </c>
      <c r="B332" s="21">
        <v>184.85140000000001</v>
      </c>
      <c r="C332">
        <v>244.9873</v>
      </c>
      <c r="D332">
        <v>131.48474100000001</v>
      </c>
      <c r="E332" s="22">
        <v>101.25244013008854</v>
      </c>
    </row>
    <row r="333" spans="1:5" x14ac:dyDescent="0.4">
      <c r="A333" s="27">
        <v>42485</v>
      </c>
      <c r="B333" s="21">
        <v>183.7724</v>
      </c>
      <c r="C333">
        <v>244.6189</v>
      </c>
      <c r="D333">
        <v>131.48102</v>
      </c>
      <c r="E333" s="22">
        <v>101.24957470002525</v>
      </c>
    </row>
    <row r="334" spans="1:5" x14ac:dyDescent="0.4">
      <c r="A334" s="27">
        <v>42486</v>
      </c>
      <c r="B334" s="21">
        <v>184.17699999999999</v>
      </c>
      <c r="C334">
        <v>244.2843</v>
      </c>
      <c r="D334">
        <v>131.479771</v>
      </c>
      <c r="E334" s="22">
        <v>101.24861288273178</v>
      </c>
    </row>
    <row r="335" spans="1:5" x14ac:dyDescent="0.4">
      <c r="A335" s="27">
        <v>42487</v>
      </c>
      <c r="B335" s="21">
        <v>184.79249999999999</v>
      </c>
      <c r="C335">
        <v>244.32759999999999</v>
      </c>
      <c r="D335">
        <v>131.478522</v>
      </c>
      <c r="E335" s="22">
        <v>101.24765106543829</v>
      </c>
    </row>
    <row r="336" spans="1:5" x14ac:dyDescent="0.4">
      <c r="A336" s="27">
        <v>42488</v>
      </c>
      <c r="B336" s="21">
        <v>185.26769999999999</v>
      </c>
      <c r="C336">
        <v>244.7338</v>
      </c>
      <c r="D336">
        <v>131.47728599999999</v>
      </c>
      <c r="E336" s="22">
        <v>101.24669925905339</v>
      </c>
    </row>
    <row r="337" spans="1:5" x14ac:dyDescent="0.4">
      <c r="A337" s="27">
        <v>42489</v>
      </c>
      <c r="B337" s="21">
        <v>181.31399999999999</v>
      </c>
      <c r="C337">
        <v>244.37280000000001</v>
      </c>
      <c r="D337">
        <v>131.47604999999999</v>
      </c>
      <c r="E337" s="22">
        <v>101.24574745266848</v>
      </c>
    </row>
    <row r="338" spans="1:5" x14ac:dyDescent="0.4">
      <c r="A338" s="27">
        <v>42493</v>
      </c>
      <c r="B338" s="21">
        <v>178.2424</v>
      </c>
      <c r="C338">
        <v>245.41849999999999</v>
      </c>
      <c r="D338">
        <v>131.47117299999999</v>
      </c>
      <c r="E338" s="22">
        <v>101.24199182181155</v>
      </c>
    </row>
    <row r="339" spans="1:5" x14ac:dyDescent="0.4">
      <c r="A339" s="27">
        <v>42494</v>
      </c>
      <c r="B339" s="21">
        <v>176.1815</v>
      </c>
      <c r="C339">
        <v>245.29179999999999</v>
      </c>
      <c r="D339">
        <v>131.46996300000001</v>
      </c>
      <c r="E339" s="22">
        <v>101.24106003724383</v>
      </c>
    </row>
    <row r="340" spans="1:5" x14ac:dyDescent="0.4">
      <c r="A340" s="27">
        <v>42495</v>
      </c>
      <c r="B340" s="21">
        <v>176.94749999999999</v>
      </c>
      <c r="C340">
        <v>245.4896</v>
      </c>
      <c r="D340">
        <v>131.46874</v>
      </c>
      <c r="E340" s="22">
        <v>101.2401182417675</v>
      </c>
    </row>
    <row r="341" spans="1:5" x14ac:dyDescent="0.4">
      <c r="A341" s="27">
        <v>42496</v>
      </c>
      <c r="B341" s="21">
        <v>176.3972</v>
      </c>
      <c r="C341">
        <v>245.708</v>
      </c>
      <c r="D341">
        <v>131.467491</v>
      </c>
      <c r="E341" s="22">
        <v>101.239156424474</v>
      </c>
    </row>
    <row r="342" spans="1:5" x14ac:dyDescent="0.4">
      <c r="A342" s="27">
        <v>42499</v>
      </c>
      <c r="B342" s="21">
        <v>177.1764</v>
      </c>
      <c r="C342">
        <v>245.89089999999999</v>
      </c>
      <c r="D342">
        <v>131.46388899999999</v>
      </c>
      <c r="E342" s="22">
        <v>101.23638263272774</v>
      </c>
    </row>
    <row r="343" spans="1:5" x14ac:dyDescent="0.4">
      <c r="A343" s="27">
        <v>42500</v>
      </c>
      <c r="B343" s="21">
        <v>178.86600000000001</v>
      </c>
      <c r="C343">
        <v>246.0675</v>
      </c>
      <c r="D343">
        <v>131.462693</v>
      </c>
      <c r="E343" s="22">
        <v>101.23546162913846</v>
      </c>
    </row>
    <row r="344" spans="1:5" x14ac:dyDescent="0.4">
      <c r="A344" s="27">
        <v>42501</v>
      </c>
      <c r="B344" s="21">
        <v>178.09829999999999</v>
      </c>
      <c r="C344">
        <v>246.03299999999999</v>
      </c>
      <c r="D344">
        <v>131.46148299999999</v>
      </c>
      <c r="E344" s="22">
        <v>101.23452984457072</v>
      </c>
    </row>
    <row r="345" spans="1:5" x14ac:dyDescent="0.4">
      <c r="A345" s="27">
        <v>42502</v>
      </c>
      <c r="B345" s="21">
        <v>177.33279999999999</v>
      </c>
      <c r="C345">
        <v>245.59460000000001</v>
      </c>
      <c r="D345">
        <v>131.460261</v>
      </c>
      <c r="E345" s="22">
        <v>101.23358881916428</v>
      </c>
    </row>
    <row r="346" spans="1:5" x14ac:dyDescent="0.4">
      <c r="A346" s="27">
        <v>42503</v>
      </c>
      <c r="B346" s="21">
        <v>178.26560000000001</v>
      </c>
      <c r="C346">
        <v>245.9092</v>
      </c>
      <c r="D346">
        <v>131.459012</v>
      </c>
      <c r="E346" s="22">
        <v>101.23262700187081</v>
      </c>
    </row>
    <row r="347" spans="1:5" x14ac:dyDescent="0.4">
      <c r="A347" s="27">
        <v>42506</v>
      </c>
      <c r="B347" s="21">
        <v>178.37200000000001</v>
      </c>
      <c r="C347">
        <v>245.74520000000001</v>
      </c>
      <c r="D347">
        <v>131.45527799999999</v>
      </c>
      <c r="E347" s="22">
        <v>101.22975156089895</v>
      </c>
    </row>
    <row r="348" spans="1:5" x14ac:dyDescent="0.4">
      <c r="A348" s="27">
        <v>42507</v>
      </c>
      <c r="B348" s="21">
        <v>178.37700000000001</v>
      </c>
      <c r="C348">
        <v>246.03540000000001</v>
      </c>
      <c r="D348">
        <v>131.45401699999999</v>
      </c>
      <c r="E348" s="22">
        <v>101.22878050276678</v>
      </c>
    </row>
    <row r="349" spans="1:5" x14ac:dyDescent="0.4">
      <c r="A349" s="27">
        <v>42508</v>
      </c>
      <c r="B349" s="21">
        <v>179.8759</v>
      </c>
      <c r="C349">
        <v>245.5737</v>
      </c>
      <c r="D349">
        <v>131.45279400000001</v>
      </c>
      <c r="E349" s="22">
        <v>101.22783870729046</v>
      </c>
    </row>
    <row r="350" spans="1:5" x14ac:dyDescent="0.4">
      <c r="A350" s="27">
        <v>42509</v>
      </c>
      <c r="B350" s="21">
        <v>177.9897</v>
      </c>
      <c r="C350">
        <v>245.52979999999999</v>
      </c>
      <c r="D350">
        <v>131.45155800000001</v>
      </c>
      <c r="E350" s="22">
        <v>101.22688690090555</v>
      </c>
    </row>
    <row r="351" spans="1:5" x14ac:dyDescent="0.4">
      <c r="A351" s="27">
        <v>42510</v>
      </c>
      <c r="B351" s="21">
        <v>180.1713</v>
      </c>
      <c r="C351">
        <v>245.5154</v>
      </c>
      <c r="D351">
        <v>131.450323</v>
      </c>
      <c r="E351" s="22">
        <v>101.22593586459054</v>
      </c>
    </row>
    <row r="352" spans="1:5" x14ac:dyDescent="0.4">
      <c r="A352" s="27">
        <v>42513</v>
      </c>
      <c r="B352" s="21">
        <v>179.45310000000001</v>
      </c>
      <c r="C352">
        <v>245.47219999999999</v>
      </c>
      <c r="D352">
        <v>131.44665499999999</v>
      </c>
      <c r="E352" s="22">
        <v>101.22311124823146</v>
      </c>
    </row>
    <row r="353" spans="1:5" x14ac:dyDescent="0.4">
      <c r="A353" s="27">
        <v>42514</v>
      </c>
      <c r="B353" s="21">
        <v>183.45249999999999</v>
      </c>
      <c r="C353">
        <v>245.72309999999999</v>
      </c>
      <c r="D353">
        <v>131.44542000000001</v>
      </c>
      <c r="E353" s="22">
        <v>101.22216021191647</v>
      </c>
    </row>
    <row r="354" spans="1:5" x14ac:dyDescent="0.4">
      <c r="A354" s="27">
        <v>42515</v>
      </c>
      <c r="B354" s="21">
        <v>185.94380000000001</v>
      </c>
      <c r="C354">
        <v>246.33619999999999</v>
      </c>
      <c r="D354">
        <v>131.44418400000001</v>
      </c>
      <c r="E354" s="22">
        <v>101.22120840553157</v>
      </c>
    </row>
    <row r="355" spans="1:5" x14ac:dyDescent="0.4">
      <c r="A355" s="27">
        <v>42516</v>
      </c>
      <c r="B355" s="21">
        <v>186.22399999999999</v>
      </c>
      <c r="C355">
        <v>246.41139999999999</v>
      </c>
      <c r="D355">
        <v>131.44293500000001</v>
      </c>
      <c r="E355" s="22">
        <v>101.2202465882381</v>
      </c>
    </row>
    <row r="356" spans="1:5" x14ac:dyDescent="0.4">
      <c r="A356" s="27">
        <v>42517</v>
      </c>
      <c r="B356" s="21">
        <v>186.62569999999999</v>
      </c>
      <c r="C356">
        <v>246.3698</v>
      </c>
      <c r="D356">
        <v>131.44163399999999</v>
      </c>
      <c r="E356" s="22">
        <v>101.21924472731027</v>
      </c>
    </row>
    <row r="357" spans="1:5" x14ac:dyDescent="0.4">
      <c r="A357" s="27">
        <v>42521</v>
      </c>
      <c r="B357" s="21">
        <v>185.446</v>
      </c>
      <c r="C357">
        <v>246.37309999999999</v>
      </c>
      <c r="D357">
        <v>131.436587</v>
      </c>
      <c r="E357" s="22">
        <v>101.21535818457194</v>
      </c>
    </row>
    <row r="358" spans="1:5" x14ac:dyDescent="0.4">
      <c r="A358" s="27">
        <v>42522</v>
      </c>
      <c r="B358" s="21">
        <v>183.6926</v>
      </c>
      <c r="C358">
        <v>246.47120000000001</v>
      </c>
      <c r="D358">
        <v>131.43540400000001</v>
      </c>
      <c r="E358" s="22">
        <v>101.21444719189125</v>
      </c>
    </row>
    <row r="359" spans="1:5" x14ac:dyDescent="0.4">
      <c r="A359" s="27">
        <v>42523</v>
      </c>
      <c r="B359" s="21">
        <v>183.91329999999999</v>
      </c>
      <c r="C359">
        <v>246.6711</v>
      </c>
      <c r="D359">
        <v>131.43419499999999</v>
      </c>
      <c r="E359" s="22">
        <v>101.21351617739339</v>
      </c>
    </row>
    <row r="360" spans="1:5" x14ac:dyDescent="0.4">
      <c r="A360" s="27">
        <v>42524</v>
      </c>
      <c r="B360" s="21">
        <v>182.2886</v>
      </c>
      <c r="C360">
        <v>247.29689999999999</v>
      </c>
      <c r="D360">
        <v>131.432985</v>
      </c>
      <c r="E360" s="22">
        <v>101.21258439282566</v>
      </c>
    </row>
    <row r="361" spans="1:5" x14ac:dyDescent="0.4">
      <c r="A361" s="27">
        <v>42527</v>
      </c>
      <c r="B361" s="21">
        <v>182.95849999999999</v>
      </c>
      <c r="C361">
        <v>247.05670000000001</v>
      </c>
      <c r="D361">
        <v>131.42927900000001</v>
      </c>
      <c r="E361" s="22">
        <v>101.20973051381074</v>
      </c>
    </row>
    <row r="362" spans="1:5" x14ac:dyDescent="0.4">
      <c r="A362" s="27">
        <v>42528</v>
      </c>
      <c r="B362" s="21">
        <v>185.07589999999999</v>
      </c>
      <c r="C362">
        <v>247.5514</v>
      </c>
      <c r="D362">
        <v>131.42806999999999</v>
      </c>
      <c r="E362" s="22">
        <v>101.20879949931287</v>
      </c>
    </row>
    <row r="363" spans="1:5" x14ac:dyDescent="0.4">
      <c r="A363" s="27">
        <v>42529</v>
      </c>
      <c r="B363" s="21">
        <v>184.25700000000001</v>
      </c>
      <c r="C363">
        <v>247.74979999999999</v>
      </c>
      <c r="D363">
        <v>131.426861</v>
      </c>
      <c r="E363" s="22">
        <v>101.20786848481504</v>
      </c>
    </row>
    <row r="364" spans="1:5" x14ac:dyDescent="0.4">
      <c r="A364" s="27">
        <v>42530</v>
      </c>
      <c r="B364" s="21">
        <v>182.5547</v>
      </c>
      <c r="C364">
        <v>248.1276</v>
      </c>
      <c r="D364">
        <v>131.425625</v>
      </c>
      <c r="E364" s="22">
        <v>101.20691667843013</v>
      </c>
    </row>
    <row r="365" spans="1:5" x14ac:dyDescent="0.4">
      <c r="A365" s="27">
        <v>42531</v>
      </c>
      <c r="B365" s="21">
        <v>178.1628</v>
      </c>
      <c r="C365">
        <v>248.32259999999999</v>
      </c>
      <c r="D365">
        <v>131.42441600000001</v>
      </c>
      <c r="E365" s="22">
        <v>101.20598566393228</v>
      </c>
    </row>
    <row r="366" spans="1:5" x14ac:dyDescent="0.4">
      <c r="A366" s="27">
        <v>42534</v>
      </c>
      <c r="B366" s="21">
        <v>174.9794</v>
      </c>
      <c r="C366">
        <v>247.8064</v>
      </c>
      <c r="D366">
        <v>131.420815</v>
      </c>
      <c r="E366" s="22">
        <v>101.20321264225589</v>
      </c>
    </row>
    <row r="367" spans="1:5" x14ac:dyDescent="0.4">
      <c r="A367" s="27">
        <v>42535</v>
      </c>
      <c r="B367" s="21">
        <v>171.64959999999999</v>
      </c>
      <c r="C367">
        <v>247.88579999999999</v>
      </c>
      <c r="D367">
        <v>131.41961900000001</v>
      </c>
      <c r="E367" s="22">
        <v>101.20229163866664</v>
      </c>
    </row>
    <row r="368" spans="1:5" x14ac:dyDescent="0.4">
      <c r="A368" s="27">
        <v>42536</v>
      </c>
      <c r="B368" s="21">
        <v>173.29480000000001</v>
      </c>
      <c r="C368">
        <v>247.97800000000001</v>
      </c>
      <c r="D368">
        <v>131.41840999999999</v>
      </c>
      <c r="E368" s="22">
        <v>101.20136062416876</v>
      </c>
    </row>
    <row r="369" spans="1:5" x14ac:dyDescent="0.4">
      <c r="A369" s="27">
        <v>42537</v>
      </c>
      <c r="B369" s="21">
        <v>172.1987</v>
      </c>
      <c r="C369">
        <v>247.92779999999999</v>
      </c>
      <c r="D369">
        <v>131.41718800000001</v>
      </c>
      <c r="E369" s="22">
        <v>101.20041959876234</v>
      </c>
    </row>
    <row r="370" spans="1:5" x14ac:dyDescent="0.4">
      <c r="A370" s="27">
        <v>42538</v>
      </c>
      <c r="B370" s="21">
        <v>174.51929999999999</v>
      </c>
      <c r="C370">
        <v>247.78270000000001</v>
      </c>
      <c r="D370">
        <v>131.415966</v>
      </c>
      <c r="E370" s="22">
        <v>101.19947857335589</v>
      </c>
    </row>
    <row r="371" spans="1:5" x14ac:dyDescent="0.4">
      <c r="A371" s="27">
        <v>42541</v>
      </c>
      <c r="B371" s="21">
        <v>180.8407</v>
      </c>
      <c r="C371">
        <v>247.8751</v>
      </c>
      <c r="D371">
        <v>131.41223400000001</v>
      </c>
      <c r="E371" s="22">
        <v>101.19660467252383</v>
      </c>
    </row>
    <row r="372" spans="1:5" x14ac:dyDescent="0.4">
      <c r="A372" s="27">
        <v>42542</v>
      </c>
      <c r="B372" s="21">
        <v>182.1619</v>
      </c>
      <c r="C372">
        <v>247.8974</v>
      </c>
      <c r="D372">
        <v>131.41098500000001</v>
      </c>
      <c r="E372" s="22">
        <v>101.19564285523035</v>
      </c>
    </row>
    <row r="373" spans="1:5" x14ac:dyDescent="0.4">
      <c r="A373" s="27">
        <v>42543</v>
      </c>
      <c r="B373" s="21">
        <v>182.8476</v>
      </c>
      <c r="C373">
        <v>247.8246</v>
      </c>
      <c r="D373">
        <v>131.409763</v>
      </c>
      <c r="E373" s="22">
        <v>101.19470182982391</v>
      </c>
    </row>
    <row r="374" spans="1:5" x14ac:dyDescent="0.4">
      <c r="A374" s="27">
        <v>42544</v>
      </c>
      <c r="B374" s="21">
        <v>185.5855</v>
      </c>
      <c r="C374">
        <v>247.64169999999999</v>
      </c>
      <c r="D374">
        <v>131.40852799999999</v>
      </c>
      <c r="E374" s="22">
        <v>101.1937507935089</v>
      </c>
    </row>
    <row r="375" spans="1:5" x14ac:dyDescent="0.4">
      <c r="A375" s="27">
        <v>42545</v>
      </c>
      <c r="B375" s="21">
        <v>172.8888</v>
      </c>
      <c r="C375">
        <v>248.2347</v>
      </c>
      <c r="D375">
        <v>131.40726599999999</v>
      </c>
      <c r="E375" s="22">
        <v>101.19277896530683</v>
      </c>
    </row>
    <row r="376" spans="1:5" x14ac:dyDescent="0.4">
      <c r="A376" s="27">
        <v>42548</v>
      </c>
      <c r="B376" s="21">
        <v>166.17259999999999</v>
      </c>
      <c r="C376">
        <v>249.2501</v>
      </c>
      <c r="D376">
        <v>131.40373099999999</v>
      </c>
      <c r="E376" s="22">
        <v>101.19005676824322</v>
      </c>
    </row>
    <row r="377" spans="1:5" x14ac:dyDescent="0.4">
      <c r="A377" s="27">
        <v>42549</v>
      </c>
      <c r="B377" s="21">
        <v>170.3398</v>
      </c>
      <c r="C377">
        <v>249.99039999999999</v>
      </c>
      <c r="D377">
        <v>131.40250900000001</v>
      </c>
      <c r="E377" s="22">
        <v>101.1891157428368</v>
      </c>
    </row>
    <row r="378" spans="1:5" x14ac:dyDescent="0.4">
      <c r="A378" s="27">
        <v>42550</v>
      </c>
      <c r="B378" s="21">
        <v>175.68020000000001</v>
      </c>
      <c r="C378">
        <v>250.31309999999999</v>
      </c>
      <c r="D378">
        <v>131.401274</v>
      </c>
      <c r="E378" s="22">
        <v>101.18816470652179</v>
      </c>
    </row>
    <row r="379" spans="1:5" x14ac:dyDescent="0.4">
      <c r="A379" s="27">
        <v>42551</v>
      </c>
      <c r="B379" s="21">
        <v>177.56399999999999</v>
      </c>
      <c r="C379">
        <v>250.68430000000001</v>
      </c>
      <c r="D379">
        <v>131.40003899999999</v>
      </c>
      <c r="E379" s="22">
        <v>101.18721367020677</v>
      </c>
    </row>
    <row r="380" spans="1:5" x14ac:dyDescent="0.4">
      <c r="A380" s="27">
        <v>42552</v>
      </c>
      <c r="B380" s="21">
        <v>178.80840000000001</v>
      </c>
      <c r="C380">
        <v>251.20439999999999</v>
      </c>
      <c r="D380">
        <v>131.39897500000001</v>
      </c>
      <c r="E380" s="22">
        <v>101.18639431584309</v>
      </c>
    </row>
    <row r="381" spans="1:5" x14ac:dyDescent="0.4">
      <c r="A381" s="27">
        <v>42555</v>
      </c>
      <c r="B381" s="21">
        <v>177.59190000000001</v>
      </c>
      <c r="C381">
        <v>251.30879999999999</v>
      </c>
      <c r="D381">
        <v>131.395466</v>
      </c>
      <c r="E381" s="22">
        <v>101.18369214059662</v>
      </c>
    </row>
    <row r="382" spans="1:5" x14ac:dyDescent="0.4">
      <c r="A382" s="27">
        <v>42556</v>
      </c>
      <c r="B382" s="21">
        <v>174.78110000000001</v>
      </c>
      <c r="C382">
        <v>251.74539999999999</v>
      </c>
      <c r="D382">
        <v>131.39432300000001</v>
      </c>
      <c r="E382" s="22">
        <v>101.18281195071157</v>
      </c>
    </row>
    <row r="383" spans="1:5" x14ac:dyDescent="0.4">
      <c r="A383" s="27">
        <v>42557</v>
      </c>
      <c r="B383" s="21">
        <v>171.8458</v>
      </c>
      <c r="C383">
        <v>251.8621</v>
      </c>
      <c r="D383">
        <v>131.39314100000001</v>
      </c>
      <c r="E383" s="22">
        <v>101.18190172810077</v>
      </c>
    </row>
    <row r="384" spans="1:5" x14ac:dyDescent="0.4">
      <c r="A384" s="27">
        <v>42558</v>
      </c>
      <c r="B384" s="21">
        <v>173.6507</v>
      </c>
      <c r="C384">
        <v>251.67779999999999</v>
      </c>
      <c r="D384">
        <v>131.39194499999999</v>
      </c>
      <c r="E384" s="22">
        <v>101.18098072451147</v>
      </c>
    </row>
    <row r="385" spans="1:5" x14ac:dyDescent="0.4">
      <c r="A385" s="27">
        <v>42559</v>
      </c>
      <c r="B385" s="21">
        <v>176.3768</v>
      </c>
      <c r="C385">
        <v>252.18549999999999</v>
      </c>
      <c r="D385">
        <v>131.390749</v>
      </c>
      <c r="E385" s="22">
        <v>101.18005972092222</v>
      </c>
    </row>
    <row r="386" spans="1:5" x14ac:dyDescent="0.4">
      <c r="A386" s="27">
        <v>42562</v>
      </c>
      <c r="B386" s="21">
        <v>179.16</v>
      </c>
      <c r="C386">
        <v>252.07769999999999</v>
      </c>
      <c r="D386">
        <v>131.38724099999999</v>
      </c>
      <c r="E386" s="22">
        <v>101.17735831574564</v>
      </c>
    </row>
    <row r="387" spans="1:5" x14ac:dyDescent="0.4">
      <c r="A387" s="27">
        <v>42563</v>
      </c>
      <c r="B387" s="21">
        <v>181.04900000000001</v>
      </c>
      <c r="C387">
        <v>251.4632</v>
      </c>
      <c r="D387">
        <v>131.38604599999999</v>
      </c>
      <c r="E387" s="22">
        <v>101.17643808222627</v>
      </c>
    </row>
    <row r="388" spans="1:5" x14ac:dyDescent="0.4">
      <c r="A388" s="27">
        <v>42564</v>
      </c>
      <c r="B388" s="21">
        <v>180.81440000000001</v>
      </c>
      <c r="C388">
        <v>252.054</v>
      </c>
      <c r="D388">
        <v>131.384863</v>
      </c>
      <c r="E388" s="22">
        <v>101.17552708954558</v>
      </c>
    </row>
    <row r="389" spans="1:5" x14ac:dyDescent="0.4">
      <c r="A389" s="27">
        <v>42565</v>
      </c>
      <c r="B389" s="21">
        <v>182.21940000000001</v>
      </c>
      <c r="C389">
        <v>251.57060000000001</v>
      </c>
      <c r="D389">
        <v>131.383667</v>
      </c>
      <c r="E389" s="22">
        <v>101.1746060859563</v>
      </c>
    </row>
    <row r="390" spans="1:5" x14ac:dyDescent="0.4">
      <c r="A390" s="27">
        <v>42566</v>
      </c>
      <c r="B390" s="21">
        <v>181.9426</v>
      </c>
      <c r="C390">
        <v>251.00049999999999</v>
      </c>
      <c r="D390">
        <v>131.38245900000001</v>
      </c>
      <c r="E390" s="22">
        <v>101.17367584152834</v>
      </c>
    </row>
    <row r="391" spans="1:5" x14ac:dyDescent="0.4">
      <c r="A391" s="27">
        <v>42569</v>
      </c>
      <c r="B391" s="21">
        <v>182.30709999999999</v>
      </c>
      <c r="C391">
        <v>251.2534</v>
      </c>
      <c r="D391">
        <v>131.37881899999999</v>
      </c>
      <c r="E391" s="22">
        <v>101.1708727871262</v>
      </c>
    </row>
    <row r="392" spans="1:5" x14ac:dyDescent="0.4">
      <c r="A392" s="27">
        <v>42570</v>
      </c>
      <c r="B392" s="21">
        <v>181.5421</v>
      </c>
      <c r="C392">
        <v>251.4203</v>
      </c>
      <c r="D392">
        <v>131.37759800000001</v>
      </c>
      <c r="E392" s="22">
        <v>101.16993253178967</v>
      </c>
    </row>
    <row r="393" spans="1:5" x14ac:dyDescent="0.4">
      <c r="A393" s="27">
        <v>42571</v>
      </c>
      <c r="B393" s="21">
        <v>183.3853</v>
      </c>
      <c r="C393">
        <v>251.36689999999999</v>
      </c>
      <c r="D393">
        <v>131.37637599999999</v>
      </c>
      <c r="E393" s="22">
        <v>101.16899150638324</v>
      </c>
    </row>
    <row r="394" spans="1:5" x14ac:dyDescent="0.4">
      <c r="A394" s="27">
        <v>42572</v>
      </c>
      <c r="B394" s="21">
        <v>183.2636</v>
      </c>
      <c r="C394">
        <v>251.29949999999999</v>
      </c>
      <c r="D394">
        <v>131.375167</v>
      </c>
      <c r="E394" s="22">
        <v>101.16806049188538</v>
      </c>
    </row>
    <row r="395" spans="1:5" x14ac:dyDescent="0.4">
      <c r="A395" s="27">
        <v>42573</v>
      </c>
      <c r="B395" s="21">
        <v>183.18940000000001</v>
      </c>
      <c r="C395">
        <v>251.4513</v>
      </c>
      <c r="D395">
        <v>131.37394499999999</v>
      </c>
      <c r="E395" s="22">
        <v>101.16711946647894</v>
      </c>
    </row>
    <row r="396" spans="1:5" x14ac:dyDescent="0.4">
      <c r="A396" s="27">
        <v>42576</v>
      </c>
      <c r="B396" s="21">
        <v>183.38650000000001</v>
      </c>
      <c r="C396">
        <v>251.86359999999999</v>
      </c>
      <c r="D396">
        <v>131.37028000000001</v>
      </c>
      <c r="E396" s="22">
        <v>101.16429716032955</v>
      </c>
    </row>
    <row r="397" spans="1:5" x14ac:dyDescent="0.4">
      <c r="A397" s="27">
        <v>42577</v>
      </c>
      <c r="B397" s="21">
        <v>183.6164</v>
      </c>
      <c r="C397">
        <v>251.75530000000001</v>
      </c>
      <c r="D397">
        <v>131.369058</v>
      </c>
      <c r="E397" s="22">
        <v>101.16335613492311</v>
      </c>
    </row>
    <row r="398" spans="1:5" x14ac:dyDescent="0.4">
      <c r="A398" s="27">
        <v>42578</v>
      </c>
      <c r="B398" s="21">
        <v>184.3638</v>
      </c>
      <c r="C398">
        <v>252.52430000000001</v>
      </c>
      <c r="D398">
        <v>131.36783700000001</v>
      </c>
      <c r="E398" s="22">
        <v>101.16241587958659</v>
      </c>
    </row>
    <row r="399" spans="1:5" x14ac:dyDescent="0.4">
      <c r="A399" s="27">
        <v>42579</v>
      </c>
      <c r="B399" s="21">
        <v>182.51390000000001</v>
      </c>
      <c r="C399">
        <v>252.54329999999999</v>
      </c>
      <c r="D399">
        <v>131.36662799999999</v>
      </c>
      <c r="E399" s="22">
        <v>101.16148486508871</v>
      </c>
    </row>
    <row r="400" spans="1:5" x14ac:dyDescent="0.4">
      <c r="A400" s="27">
        <v>42580</v>
      </c>
      <c r="B400" s="21">
        <v>183.79</v>
      </c>
      <c r="C400">
        <v>253.06049999999999</v>
      </c>
      <c r="D400">
        <v>131.36540600000001</v>
      </c>
      <c r="E400" s="22">
        <v>101.16054383968229</v>
      </c>
    </row>
    <row r="401" spans="1:5" x14ac:dyDescent="0.4">
      <c r="A401" s="27">
        <v>42583</v>
      </c>
      <c r="B401" s="21">
        <v>182.68279999999999</v>
      </c>
      <c r="C401">
        <v>252.8896</v>
      </c>
      <c r="D401">
        <v>131.36189899999999</v>
      </c>
      <c r="E401" s="22">
        <v>101.15784320457561</v>
      </c>
    </row>
    <row r="402" spans="1:5" x14ac:dyDescent="0.4">
      <c r="A402" s="27">
        <v>42584</v>
      </c>
      <c r="B402" s="21">
        <v>180.2234</v>
      </c>
      <c r="C402">
        <v>252.0966</v>
      </c>
      <c r="D402">
        <v>131.36069000000001</v>
      </c>
      <c r="E402" s="22">
        <v>101.15691219007779</v>
      </c>
    </row>
    <row r="403" spans="1:5" x14ac:dyDescent="0.4">
      <c r="A403" s="27">
        <v>42585</v>
      </c>
      <c r="B403" s="21">
        <v>180.32990000000001</v>
      </c>
      <c r="C403">
        <v>252.08920000000001</v>
      </c>
      <c r="D403">
        <v>131.35948200000001</v>
      </c>
      <c r="E403" s="22">
        <v>101.15598194564983</v>
      </c>
    </row>
    <row r="404" spans="1:5" x14ac:dyDescent="0.4">
      <c r="A404" s="27">
        <v>42586</v>
      </c>
      <c r="B404" s="21">
        <v>181.6712</v>
      </c>
      <c r="C404">
        <v>252.9434</v>
      </c>
      <c r="D404">
        <v>131.358273</v>
      </c>
      <c r="E404" s="22">
        <v>101.15505093115196</v>
      </c>
    </row>
    <row r="405" spans="1:5" x14ac:dyDescent="0.4">
      <c r="A405" s="27">
        <v>42587</v>
      </c>
      <c r="B405" s="21">
        <v>183.572</v>
      </c>
      <c r="C405">
        <v>252.6585</v>
      </c>
      <c r="D405">
        <v>131.35703799999999</v>
      </c>
      <c r="E405" s="22">
        <v>101.15409989483695</v>
      </c>
    </row>
    <row r="406" spans="1:5" x14ac:dyDescent="0.4">
      <c r="A406" s="27">
        <v>42590</v>
      </c>
      <c r="B406" s="21">
        <v>183.66069999999999</v>
      </c>
      <c r="C406">
        <v>252.79409999999999</v>
      </c>
      <c r="D406">
        <v>131.35333399999999</v>
      </c>
      <c r="E406" s="22">
        <v>101.15124755596182</v>
      </c>
    </row>
    <row r="407" spans="1:5" x14ac:dyDescent="0.4">
      <c r="A407" s="27">
        <v>42591</v>
      </c>
      <c r="B407" s="21">
        <v>185.34219999999999</v>
      </c>
      <c r="C407">
        <v>253.1275</v>
      </c>
      <c r="D407">
        <v>131.35208600000001</v>
      </c>
      <c r="E407" s="22">
        <v>101.15028650873823</v>
      </c>
    </row>
    <row r="408" spans="1:5" x14ac:dyDescent="0.4">
      <c r="A408" s="27">
        <v>42592</v>
      </c>
      <c r="B408" s="21">
        <v>184.97280000000001</v>
      </c>
      <c r="C408">
        <v>253.5839</v>
      </c>
      <c r="D408">
        <v>131.350852</v>
      </c>
      <c r="E408" s="22">
        <v>101.14933624249312</v>
      </c>
    </row>
    <row r="409" spans="1:5" x14ac:dyDescent="0.4">
      <c r="A409" s="27">
        <v>42593</v>
      </c>
      <c r="B409" s="21">
        <v>186.7097</v>
      </c>
      <c r="C409">
        <v>253.47139999999999</v>
      </c>
      <c r="D409">
        <v>131.34964299999999</v>
      </c>
      <c r="E409" s="22">
        <v>101.14840522799524</v>
      </c>
    </row>
    <row r="410" spans="1:5" x14ac:dyDescent="0.4">
      <c r="A410" s="27">
        <v>42594</v>
      </c>
      <c r="B410" s="21">
        <v>186.3665</v>
      </c>
      <c r="C410">
        <v>253.45079999999999</v>
      </c>
      <c r="D410">
        <v>131.34838199999999</v>
      </c>
      <c r="E410" s="22">
        <v>101.14743416986308</v>
      </c>
    </row>
    <row r="411" spans="1:5" x14ac:dyDescent="0.4">
      <c r="A411" s="27">
        <v>42597</v>
      </c>
      <c r="B411" s="21">
        <v>186.40039999999999</v>
      </c>
      <c r="C411">
        <v>253.1121</v>
      </c>
      <c r="D411">
        <v>131.34458599999999</v>
      </c>
      <c r="E411" s="22">
        <v>101.144510984558</v>
      </c>
    </row>
    <row r="412" spans="1:5" x14ac:dyDescent="0.4">
      <c r="A412" s="27">
        <v>42598</v>
      </c>
      <c r="B412" s="21">
        <v>184.93379999999999</v>
      </c>
      <c r="C412">
        <v>252.51429999999999</v>
      </c>
      <c r="D412">
        <v>131.34332499999999</v>
      </c>
      <c r="E412" s="22">
        <v>101.14353992642585</v>
      </c>
    </row>
    <row r="413" spans="1:5" x14ac:dyDescent="0.4">
      <c r="A413" s="27">
        <v>42599</v>
      </c>
      <c r="B413" s="21">
        <v>183.43170000000001</v>
      </c>
      <c r="C413">
        <v>252.7775</v>
      </c>
      <c r="D413">
        <v>131.34210400000001</v>
      </c>
      <c r="E413" s="22">
        <v>101.1425996710893</v>
      </c>
    </row>
    <row r="414" spans="1:5" x14ac:dyDescent="0.4">
      <c r="A414" s="27">
        <v>42600</v>
      </c>
      <c r="B414" s="21">
        <v>184.7475</v>
      </c>
      <c r="C414">
        <v>253.27420000000001</v>
      </c>
      <c r="D414">
        <v>131.340869</v>
      </c>
      <c r="E414" s="22">
        <v>101.14164863477428</v>
      </c>
    </row>
    <row r="415" spans="1:5" x14ac:dyDescent="0.4">
      <c r="A415" s="27">
        <v>42601</v>
      </c>
      <c r="B415" s="21">
        <v>183.2775</v>
      </c>
      <c r="C415">
        <v>252.76320000000001</v>
      </c>
      <c r="D415">
        <v>131.33963499999999</v>
      </c>
      <c r="E415" s="22">
        <v>101.14069836852914</v>
      </c>
    </row>
    <row r="416" spans="1:5" x14ac:dyDescent="0.4">
      <c r="A416" s="27">
        <v>42604</v>
      </c>
      <c r="B416" s="21">
        <v>183.3451</v>
      </c>
      <c r="C416">
        <v>253.22470000000001</v>
      </c>
      <c r="D416">
        <v>131.335891</v>
      </c>
      <c r="E416" s="22">
        <v>101.13781522685841</v>
      </c>
    </row>
    <row r="417" spans="1:5" x14ac:dyDescent="0.4">
      <c r="A417" s="27">
        <v>42605</v>
      </c>
      <c r="B417" s="21">
        <v>185.02780000000001</v>
      </c>
      <c r="C417">
        <v>253.25579999999999</v>
      </c>
      <c r="D417">
        <v>131.334644</v>
      </c>
      <c r="E417" s="22">
        <v>101.1368549497047</v>
      </c>
    </row>
    <row r="418" spans="1:5" x14ac:dyDescent="0.4">
      <c r="A418" s="27">
        <v>42606</v>
      </c>
      <c r="B418" s="21">
        <v>185.7115</v>
      </c>
      <c r="C418">
        <v>253.14009999999999</v>
      </c>
      <c r="D418">
        <v>131.33340899999999</v>
      </c>
      <c r="E418" s="22">
        <v>101.1359039133897</v>
      </c>
    </row>
    <row r="419" spans="1:5" x14ac:dyDescent="0.4">
      <c r="A419" s="27">
        <v>42607</v>
      </c>
      <c r="B419" s="21">
        <v>184.1866</v>
      </c>
      <c r="C419">
        <v>253.02619999999999</v>
      </c>
      <c r="D419">
        <v>131.33217500000001</v>
      </c>
      <c r="E419" s="22">
        <v>101.13495364714457</v>
      </c>
    </row>
    <row r="420" spans="1:5" x14ac:dyDescent="0.4">
      <c r="A420" s="27">
        <v>42608</v>
      </c>
      <c r="B420" s="21">
        <v>185.14279999999999</v>
      </c>
      <c r="C420">
        <v>253.22280000000001</v>
      </c>
      <c r="D420">
        <v>131.330927</v>
      </c>
      <c r="E420" s="22">
        <v>101.133992599921</v>
      </c>
    </row>
    <row r="421" spans="1:5" x14ac:dyDescent="0.4">
      <c r="A421" s="27">
        <v>42612</v>
      </c>
      <c r="B421" s="21">
        <v>185.7303</v>
      </c>
      <c r="C421">
        <v>253.16739999999999</v>
      </c>
      <c r="D421">
        <v>131.32590999999999</v>
      </c>
      <c r="E421" s="22">
        <v>101.13012915927935</v>
      </c>
    </row>
    <row r="422" spans="1:5" x14ac:dyDescent="0.4">
      <c r="A422" s="27">
        <v>42613</v>
      </c>
      <c r="B422" s="21">
        <v>185.077</v>
      </c>
      <c r="C422">
        <v>252.76849999999999</v>
      </c>
      <c r="D422">
        <v>131.32466299999999</v>
      </c>
      <c r="E422" s="22">
        <v>101.12916888212567</v>
      </c>
    </row>
    <row r="423" spans="1:5" x14ac:dyDescent="0.4">
      <c r="A423" s="27">
        <v>42614</v>
      </c>
      <c r="B423" s="21">
        <v>185.04179999999999</v>
      </c>
      <c r="C423">
        <v>252.4205</v>
      </c>
      <c r="D423">
        <v>131.32346799999999</v>
      </c>
      <c r="E423" s="22">
        <v>101.12824864860627</v>
      </c>
    </row>
    <row r="424" spans="1:5" x14ac:dyDescent="0.4">
      <c r="A424" s="27">
        <v>42615</v>
      </c>
      <c r="B424" s="21">
        <v>188.7646</v>
      </c>
      <c r="C424">
        <v>252.13339999999999</v>
      </c>
      <c r="D424">
        <v>131.32223300000001</v>
      </c>
      <c r="E424" s="22">
        <v>101.12729761229129</v>
      </c>
    </row>
    <row r="425" spans="1:5" x14ac:dyDescent="0.4">
      <c r="A425" s="27">
        <v>42618</v>
      </c>
      <c r="B425" s="21">
        <v>188.8554</v>
      </c>
      <c r="C425">
        <v>252.4854</v>
      </c>
      <c r="D425">
        <v>131.31853000000001</v>
      </c>
      <c r="E425" s="22">
        <v>101.12444604348603</v>
      </c>
    </row>
    <row r="426" spans="1:5" x14ac:dyDescent="0.4">
      <c r="A426" s="27">
        <v>42619</v>
      </c>
      <c r="B426" s="21">
        <v>188.13319999999999</v>
      </c>
      <c r="C426">
        <v>253.4342</v>
      </c>
      <c r="D426">
        <v>131.317295</v>
      </c>
      <c r="E426" s="22">
        <v>101.12349500717102</v>
      </c>
    </row>
    <row r="427" spans="1:5" x14ac:dyDescent="0.4">
      <c r="A427" s="27">
        <v>42620</v>
      </c>
      <c r="B427" s="21">
        <v>188.74719999999999</v>
      </c>
      <c r="C427">
        <v>253.75659999999999</v>
      </c>
      <c r="D427">
        <v>131.31604799999999</v>
      </c>
      <c r="E427" s="22">
        <v>101.12253473001731</v>
      </c>
    </row>
    <row r="428" spans="1:5" x14ac:dyDescent="0.4">
      <c r="A428" s="27">
        <v>42621</v>
      </c>
      <c r="B428" s="21">
        <v>188.1234</v>
      </c>
      <c r="C428">
        <v>252.7</v>
      </c>
      <c r="D428">
        <v>131.314761</v>
      </c>
      <c r="E428" s="22">
        <v>101.12154365006801</v>
      </c>
    </row>
    <row r="429" spans="1:5" x14ac:dyDescent="0.4">
      <c r="A429" s="27">
        <v>42622</v>
      </c>
      <c r="B429" s="21">
        <v>186.07509999999999</v>
      </c>
      <c r="C429">
        <v>251.41650000000001</v>
      </c>
      <c r="D429">
        <v>131.31352699999999</v>
      </c>
      <c r="E429" s="22">
        <v>101.12059338382286</v>
      </c>
    </row>
    <row r="430" spans="1:5" x14ac:dyDescent="0.4">
      <c r="A430" s="27">
        <v>42625</v>
      </c>
      <c r="B430" s="21">
        <v>184.32669999999999</v>
      </c>
      <c r="C430">
        <v>251.20480000000001</v>
      </c>
      <c r="D430">
        <v>131.30978400000001</v>
      </c>
      <c r="E430" s="22">
        <v>101.117711012222</v>
      </c>
    </row>
    <row r="431" spans="1:5" x14ac:dyDescent="0.4">
      <c r="A431" s="27">
        <v>42626</v>
      </c>
      <c r="B431" s="21">
        <v>182.4282</v>
      </c>
      <c r="C431">
        <v>251.12350000000001</v>
      </c>
      <c r="D431">
        <v>131.30852400000001</v>
      </c>
      <c r="E431" s="22">
        <v>101.11674072415973</v>
      </c>
    </row>
    <row r="432" spans="1:5" x14ac:dyDescent="0.4">
      <c r="A432" s="27">
        <v>42627</v>
      </c>
      <c r="B432" s="21">
        <v>182.2277</v>
      </c>
      <c r="C432">
        <v>251.22970000000001</v>
      </c>
      <c r="D432">
        <v>131.30726300000001</v>
      </c>
      <c r="E432" s="22">
        <v>101.11576966602756</v>
      </c>
    </row>
    <row r="433" spans="1:5" x14ac:dyDescent="0.4">
      <c r="A433" s="27">
        <v>42628</v>
      </c>
      <c r="B433" s="21">
        <v>183.24629999999999</v>
      </c>
      <c r="C433">
        <v>250.94479999999999</v>
      </c>
      <c r="D433">
        <v>131.306016</v>
      </c>
      <c r="E433" s="22">
        <v>101.11480938887385</v>
      </c>
    </row>
    <row r="434" spans="1:5" x14ac:dyDescent="0.4">
      <c r="A434" s="27">
        <v>42629</v>
      </c>
      <c r="B434" s="21">
        <v>181.84469999999999</v>
      </c>
      <c r="C434">
        <v>251.2072</v>
      </c>
      <c r="D434">
        <v>131.304755</v>
      </c>
      <c r="E434" s="22">
        <v>101.11383833074169</v>
      </c>
    </row>
    <row r="435" spans="1:5" x14ac:dyDescent="0.4">
      <c r="A435" s="27">
        <v>42632</v>
      </c>
      <c r="B435" s="21">
        <v>183.76079999999999</v>
      </c>
      <c r="C435">
        <v>251.1942</v>
      </c>
      <c r="D435">
        <v>131.300974</v>
      </c>
      <c r="E435" s="22">
        <v>101.11092669648497</v>
      </c>
    </row>
    <row r="436" spans="1:5" x14ac:dyDescent="0.4">
      <c r="A436" s="27">
        <v>42633</v>
      </c>
      <c r="B436" s="21">
        <v>183.6183</v>
      </c>
      <c r="C436">
        <v>251.8546</v>
      </c>
      <c r="D436">
        <v>131.299713</v>
      </c>
      <c r="E436" s="22">
        <v>101.10995563835279</v>
      </c>
    </row>
    <row r="437" spans="1:5" x14ac:dyDescent="0.4">
      <c r="A437" s="27">
        <v>42634</v>
      </c>
      <c r="B437" s="21">
        <v>184.43960000000001</v>
      </c>
      <c r="C437">
        <v>251.54519999999999</v>
      </c>
      <c r="D437">
        <v>131.29845299999999</v>
      </c>
      <c r="E437" s="22">
        <v>101.10898535029051</v>
      </c>
    </row>
    <row r="438" spans="1:5" x14ac:dyDescent="0.4">
      <c r="A438" s="27">
        <v>42635</v>
      </c>
      <c r="B438" s="21">
        <v>187.4134</v>
      </c>
      <c r="C438">
        <v>252.93549999999999</v>
      </c>
      <c r="D438">
        <v>131.297192</v>
      </c>
      <c r="E438" s="22">
        <v>101.10801429215834</v>
      </c>
    </row>
    <row r="439" spans="1:5" x14ac:dyDescent="0.4">
      <c r="A439" s="27">
        <v>42636</v>
      </c>
      <c r="B439" s="21">
        <v>186.10050000000001</v>
      </c>
      <c r="C439">
        <v>252.7347</v>
      </c>
      <c r="D439">
        <v>131.29594499999999</v>
      </c>
      <c r="E439" s="22">
        <v>101.10705401500464</v>
      </c>
    </row>
    <row r="440" spans="1:5" x14ac:dyDescent="0.4">
      <c r="A440" s="27">
        <v>42639</v>
      </c>
      <c r="B440" s="21">
        <v>183.18530000000001</v>
      </c>
      <c r="C440">
        <v>253.11109999999999</v>
      </c>
      <c r="D440">
        <v>131.29217700000001</v>
      </c>
      <c r="E440" s="22">
        <v>101.10415239165651</v>
      </c>
    </row>
    <row r="441" spans="1:5" x14ac:dyDescent="0.4">
      <c r="A441" s="27">
        <v>42640</v>
      </c>
      <c r="B441" s="21">
        <v>183.3013</v>
      </c>
      <c r="C441">
        <v>253.3321</v>
      </c>
      <c r="D441">
        <v>131.29091600000001</v>
      </c>
      <c r="E441" s="22">
        <v>101.10318133352433</v>
      </c>
    </row>
    <row r="442" spans="1:5" x14ac:dyDescent="0.4">
      <c r="A442" s="27">
        <v>42641</v>
      </c>
      <c r="B442" s="21">
        <v>184.55070000000001</v>
      </c>
      <c r="C442">
        <v>253.5789</v>
      </c>
      <c r="D442">
        <v>131.289669</v>
      </c>
      <c r="E442" s="22">
        <v>101.10222105637064</v>
      </c>
    </row>
    <row r="443" spans="1:5" x14ac:dyDescent="0.4">
      <c r="A443" s="27">
        <v>42642</v>
      </c>
      <c r="B443" s="21">
        <v>184.90049999999999</v>
      </c>
      <c r="C443">
        <v>253.10059999999999</v>
      </c>
      <c r="D443">
        <v>131.288409</v>
      </c>
      <c r="E443" s="22">
        <v>101.10125076830836</v>
      </c>
    </row>
    <row r="444" spans="1:5" x14ac:dyDescent="0.4">
      <c r="A444" s="27">
        <v>42643</v>
      </c>
      <c r="B444" s="21">
        <v>185.02</v>
      </c>
      <c r="C444">
        <v>253.12299999999999</v>
      </c>
      <c r="D444">
        <v>131.287161</v>
      </c>
      <c r="E444" s="22">
        <v>101.10028972108478</v>
      </c>
    </row>
    <row r="445" spans="1:5" x14ac:dyDescent="0.4">
      <c r="A445" s="27">
        <v>42646</v>
      </c>
      <c r="B445" s="21">
        <v>185.1686</v>
      </c>
      <c r="C445">
        <v>252.76779999999999</v>
      </c>
      <c r="D445">
        <v>131.28356400000001</v>
      </c>
      <c r="E445" s="22">
        <v>101.09751977968796</v>
      </c>
    </row>
    <row r="446" spans="1:5" x14ac:dyDescent="0.4">
      <c r="A446" s="27">
        <v>42647</v>
      </c>
      <c r="B446" s="21">
        <v>186.81880000000001</v>
      </c>
      <c r="C446">
        <v>252.6087</v>
      </c>
      <c r="D446">
        <v>131.28239600000001</v>
      </c>
      <c r="E446" s="22">
        <v>101.09662033805562</v>
      </c>
    </row>
    <row r="447" spans="1:5" x14ac:dyDescent="0.4">
      <c r="A447" s="27">
        <v>42648</v>
      </c>
      <c r="B447" s="21">
        <v>185.85749999999999</v>
      </c>
      <c r="C447">
        <v>251.34280000000001</v>
      </c>
      <c r="D447">
        <v>131.28113500000001</v>
      </c>
      <c r="E447" s="22">
        <v>101.09564927992345</v>
      </c>
    </row>
    <row r="448" spans="1:5" x14ac:dyDescent="0.4">
      <c r="A448" s="27">
        <v>42649</v>
      </c>
      <c r="B448" s="21">
        <v>185.15960000000001</v>
      </c>
      <c r="C448">
        <v>251.32929999999999</v>
      </c>
      <c r="D448">
        <v>131.279888</v>
      </c>
      <c r="E448" s="22">
        <v>101.09468900276974</v>
      </c>
    </row>
    <row r="449" spans="1:5" x14ac:dyDescent="0.4">
      <c r="A449" s="27">
        <v>42650</v>
      </c>
      <c r="B449" s="21">
        <v>183.54040000000001</v>
      </c>
      <c r="C449">
        <v>251.09219999999999</v>
      </c>
      <c r="D449">
        <v>131.278628</v>
      </c>
      <c r="E449" s="22">
        <v>101.09371871470746</v>
      </c>
    </row>
    <row r="450" spans="1:5" x14ac:dyDescent="0.4">
      <c r="A450" s="27">
        <v>42653</v>
      </c>
      <c r="B450" s="21">
        <v>184.874</v>
      </c>
      <c r="C450">
        <v>250.7347</v>
      </c>
      <c r="D450">
        <v>131.27480800000001</v>
      </c>
      <c r="E450" s="22">
        <v>101.090777047725</v>
      </c>
    </row>
    <row r="451" spans="1:5" x14ac:dyDescent="0.4">
      <c r="A451" s="27">
        <v>42654</v>
      </c>
      <c r="B451" s="21">
        <v>183.90600000000001</v>
      </c>
      <c r="C451">
        <v>250.98070000000001</v>
      </c>
      <c r="D451">
        <v>131.27354700000001</v>
      </c>
      <c r="E451" s="22">
        <v>101.08980598959285</v>
      </c>
    </row>
    <row r="452" spans="1:5" x14ac:dyDescent="0.4">
      <c r="A452" s="27">
        <v>42655</v>
      </c>
      <c r="B452" s="21">
        <v>183.03919999999999</v>
      </c>
      <c r="C452">
        <v>250.53399999999999</v>
      </c>
      <c r="D452">
        <v>131.27227400000001</v>
      </c>
      <c r="E452" s="22">
        <v>101.08882569062199</v>
      </c>
    </row>
    <row r="453" spans="1:5" x14ac:dyDescent="0.4">
      <c r="A453" s="27">
        <v>42656</v>
      </c>
      <c r="B453" s="21">
        <v>181.4041</v>
      </c>
      <c r="C453">
        <v>250.94479999999999</v>
      </c>
      <c r="D453">
        <v>131.27101400000001</v>
      </c>
      <c r="E453" s="22">
        <v>101.08785540255971</v>
      </c>
    </row>
    <row r="454" spans="1:5" x14ac:dyDescent="0.4">
      <c r="A454" s="27">
        <v>42657</v>
      </c>
      <c r="B454" s="21">
        <v>183.74959999999999</v>
      </c>
      <c r="C454">
        <v>250.76669999999999</v>
      </c>
      <c r="D454">
        <v>131.26974100000001</v>
      </c>
      <c r="E454" s="22">
        <v>101.08687510358885</v>
      </c>
    </row>
    <row r="455" spans="1:5" x14ac:dyDescent="0.4">
      <c r="A455" s="27">
        <v>42660</v>
      </c>
      <c r="B455" s="21">
        <v>182.3552</v>
      </c>
      <c r="C455">
        <v>250.72</v>
      </c>
      <c r="D455">
        <v>131.265907</v>
      </c>
      <c r="E455" s="22">
        <v>101.08392265562792</v>
      </c>
    </row>
    <row r="456" spans="1:5" x14ac:dyDescent="0.4">
      <c r="A456" s="27">
        <v>42661</v>
      </c>
      <c r="B456" s="21">
        <v>185.0667</v>
      </c>
      <c r="C456">
        <v>251.02379999999999</v>
      </c>
      <c r="D456">
        <v>131.26462100000001</v>
      </c>
      <c r="E456" s="22">
        <v>101.08293234574847</v>
      </c>
    </row>
    <row r="457" spans="1:5" x14ac:dyDescent="0.4">
      <c r="A457" s="27">
        <v>42662</v>
      </c>
      <c r="B457" s="21">
        <v>185.70070000000001</v>
      </c>
      <c r="C457">
        <v>251.1157</v>
      </c>
      <c r="D457">
        <v>131.26334800000001</v>
      </c>
      <c r="E457" s="22">
        <v>101.08195204677763</v>
      </c>
    </row>
    <row r="458" spans="1:5" x14ac:dyDescent="0.4">
      <c r="A458" s="27">
        <v>42663</v>
      </c>
      <c r="B458" s="21">
        <v>186.22059999999999</v>
      </c>
      <c r="C458">
        <v>251.4872</v>
      </c>
      <c r="D458">
        <v>131.26207500000001</v>
      </c>
      <c r="E458" s="22">
        <v>101.08097174780677</v>
      </c>
    </row>
    <row r="459" spans="1:5" x14ac:dyDescent="0.4">
      <c r="A459" s="27">
        <v>42664</v>
      </c>
      <c r="B459" s="21">
        <v>186.20079999999999</v>
      </c>
      <c r="C459">
        <v>251.40790000000001</v>
      </c>
      <c r="D459">
        <v>131.26080099999999</v>
      </c>
      <c r="E459" s="22">
        <v>101.07999067876601</v>
      </c>
    </row>
    <row r="460" spans="1:5" x14ac:dyDescent="0.4">
      <c r="A460" s="27">
        <v>42667</v>
      </c>
      <c r="B460" s="21">
        <v>186.19630000000001</v>
      </c>
      <c r="C460">
        <v>251.18379999999999</v>
      </c>
      <c r="D460">
        <v>131.25699499999999</v>
      </c>
      <c r="E460" s="22">
        <v>101.07705979276203</v>
      </c>
    </row>
    <row r="461" spans="1:5" x14ac:dyDescent="0.4">
      <c r="A461" s="27">
        <v>42668</v>
      </c>
      <c r="B461" s="21">
        <v>185.65100000000001</v>
      </c>
      <c r="C461">
        <v>251.22190000000001</v>
      </c>
      <c r="D461">
        <v>131.25572199999999</v>
      </c>
      <c r="E461" s="22">
        <v>101.07607949379116</v>
      </c>
    </row>
    <row r="462" spans="1:5" x14ac:dyDescent="0.4">
      <c r="A462" s="27">
        <v>42669</v>
      </c>
      <c r="B462" s="21">
        <v>184.9059</v>
      </c>
      <c r="C462">
        <v>250.18549999999999</v>
      </c>
      <c r="D462">
        <v>131.254435</v>
      </c>
      <c r="E462" s="22">
        <v>101.07508841384185</v>
      </c>
    </row>
    <row r="463" spans="1:5" x14ac:dyDescent="0.4">
      <c r="A463" s="27">
        <v>42670</v>
      </c>
      <c r="B463" s="21">
        <v>185.05189999999999</v>
      </c>
      <c r="C463">
        <v>249.00899999999999</v>
      </c>
      <c r="D463">
        <v>131.253162</v>
      </c>
      <c r="E463" s="22">
        <v>101.07410811487098</v>
      </c>
    </row>
    <row r="464" spans="1:5" x14ac:dyDescent="0.4">
      <c r="A464" s="27">
        <v>42671</v>
      </c>
      <c r="B464" s="21">
        <v>184.517</v>
      </c>
      <c r="C464">
        <v>248.94069999999999</v>
      </c>
      <c r="D464">
        <v>131.25187600000001</v>
      </c>
      <c r="E464" s="22">
        <v>101.07311780499157</v>
      </c>
    </row>
    <row r="465" spans="1:5" x14ac:dyDescent="0.4">
      <c r="A465" s="27">
        <v>42674</v>
      </c>
      <c r="B465" s="21">
        <v>183.5008</v>
      </c>
      <c r="C465">
        <v>249.0461</v>
      </c>
      <c r="D465">
        <v>131.248043</v>
      </c>
      <c r="E465" s="22">
        <v>101.07016612710052</v>
      </c>
    </row>
    <row r="466" spans="1:5" x14ac:dyDescent="0.4">
      <c r="A466" s="27">
        <v>42675</v>
      </c>
      <c r="B466" s="21">
        <v>181.60220000000001</v>
      </c>
      <c r="C466">
        <v>248.52379999999999</v>
      </c>
      <c r="D466">
        <v>131.246836</v>
      </c>
      <c r="E466" s="22">
        <v>101.06923665274246</v>
      </c>
    </row>
    <row r="467" spans="1:5" x14ac:dyDescent="0.4">
      <c r="A467" s="27">
        <v>42676</v>
      </c>
      <c r="B467" s="21">
        <v>179.4759</v>
      </c>
      <c r="C467">
        <v>249.30799999999999</v>
      </c>
      <c r="D467">
        <v>131.245563</v>
      </c>
      <c r="E467" s="22">
        <v>101.06825635377159</v>
      </c>
    </row>
    <row r="468" spans="1:5" x14ac:dyDescent="0.4">
      <c r="A468" s="27">
        <v>42677</v>
      </c>
      <c r="B468" s="21">
        <v>179.41390000000001</v>
      </c>
      <c r="C468">
        <v>248.8683</v>
      </c>
      <c r="D468">
        <v>131.244316</v>
      </c>
      <c r="E468" s="22">
        <v>101.06729607661788</v>
      </c>
    </row>
    <row r="469" spans="1:5" x14ac:dyDescent="0.4">
      <c r="A469" s="27">
        <v>42678</v>
      </c>
      <c r="B469" s="21">
        <v>177.9982</v>
      </c>
      <c r="C469">
        <v>249.03440000000001</v>
      </c>
      <c r="D469">
        <v>131.24306899999999</v>
      </c>
      <c r="E469" s="22">
        <v>101.06633579946418</v>
      </c>
    </row>
    <row r="470" spans="1:5" x14ac:dyDescent="0.4">
      <c r="A470" s="27">
        <v>42681</v>
      </c>
      <c r="B470" s="21">
        <v>180.7534</v>
      </c>
      <c r="C470">
        <v>249.08199999999999</v>
      </c>
      <c r="D470">
        <v>131.239315</v>
      </c>
      <c r="E470" s="22">
        <v>101.06344495709452</v>
      </c>
    </row>
    <row r="471" spans="1:5" x14ac:dyDescent="0.4">
      <c r="A471" s="27">
        <v>42682</v>
      </c>
      <c r="B471" s="21">
        <v>181.41120000000001</v>
      </c>
      <c r="C471">
        <v>248.7491</v>
      </c>
      <c r="D471">
        <v>131.238056</v>
      </c>
      <c r="E471" s="22">
        <v>101.06247543910214</v>
      </c>
    </row>
    <row r="472" spans="1:5" x14ac:dyDescent="0.4">
      <c r="A472" s="27">
        <v>42683</v>
      </c>
      <c r="B472" s="21">
        <v>184.02279999999999</v>
      </c>
      <c r="C472">
        <v>248.5591</v>
      </c>
      <c r="D472">
        <v>131.236796</v>
      </c>
      <c r="E472" s="22">
        <v>101.06150515103987</v>
      </c>
    </row>
    <row r="473" spans="1:5" x14ac:dyDescent="0.4">
      <c r="A473" s="27">
        <v>42684</v>
      </c>
      <c r="B473" s="21">
        <v>183.59440000000001</v>
      </c>
      <c r="C473">
        <v>246.57040000000001</v>
      </c>
      <c r="D473">
        <v>131.23549600000001</v>
      </c>
      <c r="E473" s="22">
        <v>101.06050406018197</v>
      </c>
    </row>
    <row r="474" spans="1:5" x14ac:dyDescent="0.4">
      <c r="A474" s="27">
        <v>42685</v>
      </c>
      <c r="B474" s="21">
        <v>182.8014</v>
      </c>
      <c r="C474">
        <v>245.63570000000001</v>
      </c>
      <c r="D474">
        <v>131.23420999999999</v>
      </c>
      <c r="E474" s="22">
        <v>101.05951375030251</v>
      </c>
    </row>
    <row r="475" spans="1:5" x14ac:dyDescent="0.4">
      <c r="A475" s="27">
        <v>42688</v>
      </c>
      <c r="B475" s="21">
        <v>183.21350000000001</v>
      </c>
      <c r="C475">
        <v>244.84360000000001</v>
      </c>
      <c r="D475">
        <v>131.230378</v>
      </c>
      <c r="E475" s="22">
        <v>101.05656284248137</v>
      </c>
    </row>
    <row r="476" spans="1:5" x14ac:dyDescent="0.4">
      <c r="A476" s="27">
        <v>42689</v>
      </c>
      <c r="B476" s="21">
        <v>183.78739999999999</v>
      </c>
      <c r="C476">
        <v>245.88720000000001</v>
      </c>
      <c r="D476">
        <v>131.229118</v>
      </c>
      <c r="E476" s="22">
        <v>101.05559255441909</v>
      </c>
    </row>
    <row r="477" spans="1:5" x14ac:dyDescent="0.4">
      <c r="A477" s="27">
        <v>42690</v>
      </c>
      <c r="B477" s="21">
        <v>183.40309999999999</v>
      </c>
      <c r="C477">
        <v>245.45140000000001</v>
      </c>
      <c r="D477">
        <v>131.227846</v>
      </c>
      <c r="E477" s="22">
        <v>101.05461302551812</v>
      </c>
    </row>
    <row r="478" spans="1:5" x14ac:dyDescent="0.4">
      <c r="A478" s="27">
        <v>42691</v>
      </c>
      <c r="B478" s="21">
        <v>184.5667</v>
      </c>
      <c r="C478">
        <v>245.38720000000001</v>
      </c>
      <c r="D478">
        <v>131.22654600000001</v>
      </c>
      <c r="E478" s="22">
        <v>101.05361193466022</v>
      </c>
    </row>
    <row r="479" spans="1:5" x14ac:dyDescent="0.4">
      <c r="A479" s="27">
        <v>42692</v>
      </c>
      <c r="B479" s="21">
        <v>183.8519</v>
      </c>
      <c r="C479">
        <v>245.27209999999999</v>
      </c>
      <c r="D479">
        <v>131.22527299999999</v>
      </c>
      <c r="E479" s="22">
        <v>101.05263163568937</v>
      </c>
    </row>
    <row r="480" spans="1:5" x14ac:dyDescent="0.4">
      <c r="A480" s="27">
        <v>42695</v>
      </c>
      <c r="B480" s="21">
        <v>184.4186</v>
      </c>
      <c r="C480">
        <v>245.3869</v>
      </c>
      <c r="D480">
        <v>131.221442</v>
      </c>
      <c r="E480" s="22">
        <v>101.04968149793811</v>
      </c>
    </row>
    <row r="481" spans="1:5" x14ac:dyDescent="0.4">
      <c r="A481" s="27">
        <v>42696</v>
      </c>
      <c r="B481" s="21">
        <v>184.84970000000001</v>
      </c>
      <c r="C481">
        <v>245.90899999999999</v>
      </c>
      <c r="D481">
        <v>131.220169</v>
      </c>
      <c r="E481" s="22">
        <v>101.04870119896725</v>
      </c>
    </row>
    <row r="482" spans="1:5" x14ac:dyDescent="0.4">
      <c r="A482" s="27">
        <v>42697</v>
      </c>
      <c r="B482" s="21">
        <v>184.7432</v>
      </c>
      <c r="C482">
        <v>245.11580000000001</v>
      </c>
      <c r="D482">
        <v>131.218896</v>
      </c>
      <c r="E482" s="22">
        <v>101.04772089999641</v>
      </c>
    </row>
    <row r="483" spans="1:5" x14ac:dyDescent="0.4">
      <c r="A483" s="27">
        <v>42698</v>
      </c>
      <c r="B483" s="21">
        <v>185.39109999999999</v>
      </c>
      <c r="C483">
        <v>245.24870000000001</v>
      </c>
      <c r="D483">
        <v>131.217623</v>
      </c>
      <c r="E483" s="22">
        <v>101.04674060102555</v>
      </c>
    </row>
    <row r="484" spans="1:5" x14ac:dyDescent="0.4">
      <c r="A484" s="27">
        <v>42699</v>
      </c>
      <c r="B484" s="21">
        <v>185.73859999999999</v>
      </c>
      <c r="C484">
        <v>245.3494</v>
      </c>
      <c r="D484">
        <v>131.21633700000001</v>
      </c>
      <c r="E484" s="22">
        <v>101.04575029114611</v>
      </c>
    </row>
    <row r="485" spans="1:5" x14ac:dyDescent="0.4">
      <c r="A485" s="27">
        <v>42702</v>
      </c>
      <c r="B485" s="21">
        <v>184.26849999999999</v>
      </c>
      <c r="C485">
        <v>245.85230000000001</v>
      </c>
      <c r="D485">
        <v>131.21250599999999</v>
      </c>
      <c r="E485" s="22">
        <v>101.04280015339484</v>
      </c>
    </row>
    <row r="486" spans="1:5" x14ac:dyDescent="0.4">
      <c r="A486" s="27">
        <v>42703</v>
      </c>
      <c r="B486" s="21">
        <v>184.79329999999999</v>
      </c>
      <c r="C486">
        <v>245.94130000000001</v>
      </c>
      <c r="D486">
        <v>131.21122</v>
      </c>
      <c r="E486" s="22">
        <v>101.04180984351541</v>
      </c>
    </row>
    <row r="487" spans="1:5" x14ac:dyDescent="0.4">
      <c r="A487" s="27">
        <v>42704</v>
      </c>
      <c r="B487" s="21">
        <v>185.4999</v>
      </c>
      <c r="C487">
        <v>245.66679999999999</v>
      </c>
      <c r="D487">
        <v>131.209947</v>
      </c>
      <c r="E487" s="22">
        <v>101.04082954454456</v>
      </c>
    </row>
    <row r="488" spans="1:5" x14ac:dyDescent="0.4">
      <c r="A488" s="27">
        <v>42705</v>
      </c>
      <c r="B488" s="21">
        <v>184.99260000000001</v>
      </c>
      <c r="C488">
        <v>244.79339999999999</v>
      </c>
      <c r="D488">
        <v>131.20870099999999</v>
      </c>
      <c r="E488" s="22">
        <v>101.03987003746073</v>
      </c>
    </row>
    <row r="489" spans="1:5" x14ac:dyDescent="0.4">
      <c r="A489" s="27">
        <v>42706</v>
      </c>
      <c r="B489" s="21">
        <v>184.1764</v>
      </c>
      <c r="C489">
        <v>245.59350000000001</v>
      </c>
      <c r="D489">
        <v>131.20744099999999</v>
      </c>
      <c r="E489" s="22">
        <v>101.03889974939845</v>
      </c>
    </row>
    <row r="490" spans="1:5" x14ac:dyDescent="0.4">
      <c r="A490" s="27">
        <v>42709</v>
      </c>
      <c r="B490" s="21">
        <v>185.23769999999999</v>
      </c>
      <c r="C490">
        <v>244.92689999999999</v>
      </c>
      <c r="D490">
        <v>131.20364900000001</v>
      </c>
      <c r="E490" s="22">
        <v>101.03597964437296</v>
      </c>
    </row>
    <row r="491" spans="1:5" x14ac:dyDescent="0.4">
      <c r="A491" s="27">
        <v>42710</v>
      </c>
      <c r="B491" s="21">
        <v>187.0652</v>
      </c>
      <c r="C491">
        <v>244.87799999999999</v>
      </c>
      <c r="D491">
        <v>131.20239000000001</v>
      </c>
      <c r="E491" s="22">
        <v>101.03501012638057</v>
      </c>
    </row>
    <row r="492" spans="1:5" x14ac:dyDescent="0.4">
      <c r="A492" s="27">
        <v>42711</v>
      </c>
      <c r="B492" s="21">
        <v>188.81440000000001</v>
      </c>
      <c r="C492">
        <v>245.39060000000001</v>
      </c>
      <c r="D492">
        <v>131.20111700000001</v>
      </c>
      <c r="E492" s="22">
        <v>101.03402982740973</v>
      </c>
    </row>
    <row r="493" spans="1:5" x14ac:dyDescent="0.4">
      <c r="A493" s="27">
        <v>42712</v>
      </c>
      <c r="B493" s="21">
        <v>191.15989999999999</v>
      </c>
      <c r="C493">
        <v>244.55369999999999</v>
      </c>
      <c r="D493">
        <v>131.19984400000001</v>
      </c>
      <c r="E493" s="22">
        <v>101.03304952843885</v>
      </c>
    </row>
    <row r="494" spans="1:5" x14ac:dyDescent="0.4">
      <c r="A494" s="27">
        <v>42713</v>
      </c>
      <c r="B494" s="21">
        <v>192.94550000000001</v>
      </c>
      <c r="C494">
        <v>244.7722</v>
      </c>
      <c r="D494">
        <v>131.19858500000001</v>
      </c>
      <c r="E494" s="22">
        <v>101.03208001044648</v>
      </c>
    </row>
    <row r="495" spans="1:5" x14ac:dyDescent="0.4">
      <c r="A495" s="27">
        <v>42716</v>
      </c>
      <c r="B495" s="21">
        <v>192.13470000000001</v>
      </c>
      <c r="C495">
        <v>244.17420000000001</v>
      </c>
      <c r="D495">
        <v>131.19478000000001</v>
      </c>
      <c r="E495" s="22">
        <v>101.02914989451237</v>
      </c>
    </row>
    <row r="496" spans="1:5" x14ac:dyDescent="0.4">
      <c r="A496" s="27">
        <v>42717</v>
      </c>
      <c r="B496" s="21">
        <v>194.1806</v>
      </c>
      <c r="C496">
        <v>245.17580000000001</v>
      </c>
      <c r="D496">
        <v>131.19350700000001</v>
      </c>
      <c r="E496" s="22">
        <v>101.02816959554153</v>
      </c>
    </row>
    <row r="497" spans="1:5" x14ac:dyDescent="0.4">
      <c r="A497" s="27">
        <v>42718</v>
      </c>
      <c r="B497" s="21">
        <v>193.233</v>
      </c>
      <c r="C497">
        <v>246.0196</v>
      </c>
      <c r="D497">
        <v>131.19222199999999</v>
      </c>
      <c r="E497" s="22">
        <v>101.02718005573195</v>
      </c>
    </row>
    <row r="498" spans="1:5" x14ac:dyDescent="0.4">
      <c r="A498" s="27">
        <v>42719</v>
      </c>
      <c r="B498" s="21">
        <v>194.9128</v>
      </c>
      <c r="C498">
        <v>245.23560000000001</v>
      </c>
      <c r="D498">
        <v>131.19094899999999</v>
      </c>
      <c r="E498" s="22">
        <v>101.0261997567611</v>
      </c>
    </row>
    <row r="499" spans="1:5" x14ac:dyDescent="0.4">
      <c r="A499" s="27">
        <v>42720</v>
      </c>
      <c r="B499" s="21">
        <v>195.59440000000001</v>
      </c>
      <c r="C499">
        <v>245.59889999999999</v>
      </c>
      <c r="D499">
        <v>131.18965</v>
      </c>
      <c r="E499" s="22">
        <v>101.02519943597311</v>
      </c>
    </row>
    <row r="500" spans="1:5" x14ac:dyDescent="0.4">
      <c r="A500" s="27">
        <v>42723</v>
      </c>
      <c r="B500" s="21">
        <v>195.36670000000001</v>
      </c>
      <c r="C500">
        <v>246.63329999999999</v>
      </c>
      <c r="D500">
        <v>131.18577999999999</v>
      </c>
      <c r="E500" s="22">
        <v>101.0222192654961</v>
      </c>
    </row>
    <row r="501" spans="1:5" x14ac:dyDescent="0.4">
      <c r="A501" s="27">
        <v>42724</v>
      </c>
      <c r="B501" s="21">
        <v>196.33959999999999</v>
      </c>
      <c r="C501">
        <v>246.61770000000001</v>
      </c>
      <c r="D501">
        <v>131.184495</v>
      </c>
      <c r="E501" s="22">
        <v>101.02122972568654</v>
      </c>
    </row>
    <row r="502" spans="1:5" x14ac:dyDescent="0.4">
      <c r="A502" s="27">
        <v>42725</v>
      </c>
      <c r="B502" s="21">
        <v>195.91980000000001</v>
      </c>
      <c r="C502">
        <v>246.87139999999999</v>
      </c>
      <c r="D502">
        <v>131.18320900000001</v>
      </c>
      <c r="E502" s="22">
        <v>101.02023941580714</v>
      </c>
    </row>
    <row r="503" spans="1:5" x14ac:dyDescent="0.4">
      <c r="A503" s="27">
        <v>42726</v>
      </c>
      <c r="B503" s="21">
        <v>195.48429999999999</v>
      </c>
      <c r="C503">
        <v>246.52719999999999</v>
      </c>
      <c r="D503">
        <v>131.18192300000001</v>
      </c>
      <c r="E503" s="22">
        <v>101.0192491059277</v>
      </c>
    </row>
    <row r="504" spans="1:5" x14ac:dyDescent="0.4">
      <c r="A504" s="27">
        <v>42727</v>
      </c>
      <c r="B504" s="21">
        <v>195.5438</v>
      </c>
      <c r="C504">
        <v>246.95689999999999</v>
      </c>
      <c r="D504">
        <v>131.18063799999999</v>
      </c>
      <c r="E504" s="22">
        <v>101.01825956611815</v>
      </c>
    </row>
    <row r="505" spans="1:5" x14ac:dyDescent="0.4">
      <c r="A505" s="27">
        <v>42732</v>
      </c>
      <c r="B505" s="21">
        <v>196.38399999999999</v>
      </c>
      <c r="C505">
        <v>247.2303</v>
      </c>
      <c r="D505">
        <v>131.17414400000001</v>
      </c>
      <c r="E505" s="22">
        <v>101.01325873224798</v>
      </c>
    </row>
    <row r="506" spans="1:5" x14ac:dyDescent="0.4">
      <c r="A506" s="27">
        <v>42733</v>
      </c>
      <c r="B506" s="21">
        <v>195.69300000000001</v>
      </c>
      <c r="C506">
        <v>247.5949</v>
      </c>
      <c r="D506">
        <v>131.17285899999999</v>
      </c>
      <c r="E506" s="22">
        <v>101.0122691924384</v>
      </c>
    </row>
    <row r="507" spans="1:5" x14ac:dyDescent="0.4">
      <c r="A507" s="27">
        <v>42734</v>
      </c>
      <c r="B507" s="21">
        <v>196.34139999999999</v>
      </c>
      <c r="C507">
        <v>247.0069</v>
      </c>
      <c r="D507">
        <v>131.17156</v>
      </c>
      <c r="E507" s="22">
        <v>101.0112688716504</v>
      </c>
    </row>
    <row r="508" spans="1:5" x14ac:dyDescent="0.4">
      <c r="A508" s="27">
        <v>42738</v>
      </c>
      <c r="B508" s="21">
        <v>198.6318</v>
      </c>
      <c r="C508">
        <v>246.04759999999999</v>
      </c>
      <c r="D508">
        <v>131.16666799999999</v>
      </c>
      <c r="E508" s="22">
        <v>101.00750168974511</v>
      </c>
    </row>
    <row r="509" spans="1:5" x14ac:dyDescent="0.4">
      <c r="A509" s="27">
        <v>42739</v>
      </c>
      <c r="B509" s="21">
        <v>198.4058</v>
      </c>
      <c r="C509">
        <v>245.89169999999999</v>
      </c>
      <c r="D509">
        <v>131.16539499999999</v>
      </c>
      <c r="E509" s="22">
        <v>101.00652139077427</v>
      </c>
    </row>
    <row r="510" spans="1:5" x14ac:dyDescent="0.4">
      <c r="A510" s="27">
        <v>42740</v>
      </c>
      <c r="B510" s="21">
        <v>198.5549</v>
      </c>
      <c r="C510">
        <v>245.82089999999999</v>
      </c>
      <c r="D510">
        <v>131.16413600000001</v>
      </c>
      <c r="E510" s="22">
        <v>101.00555187278188</v>
      </c>
    </row>
    <row r="511" spans="1:5" x14ac:dyDescent="0.4">
      <c r="A511" s="27">
        <v>42741</v>
      </c>
      <c r="B511" s="21">
        <v>198.4648</v>
      </c>
      <c r="C511">
        <v>245.33850000000001</v>
      </c>
      <c r="D511">
        <v>131.16285099999999</v>
      </c>
      <c r="E511" s="22">
        <v>101.00456233297233</v>
      </c>
    </row>
    <row r="512" spans="1:5" x14ac:dyDescent="0.4">
      <c r="A512" s="27">
        <v>42744</v>
      </c>
      <c r="B512" s="21">
        <v>197.49969999999999</v>
      </c>
      <c r="C512">
        <v>245.5438</v>
      </c>
      <c r="D512">
        <v>131.15895499999999</v>
      </c>
      <c r="E512" s="22">
        <v>101.00156214067817</v>
      </c>
    </row>
    <row r="513" spans="1:5" x14ac:dyDescent="0.4">
      <c r="A513" s="27">
        <v>42745</v>
      </c>
      <c r="B513" s="21">
        <v>197.73560000000001</v>
      </c>
      <c r="C513">
        <v>245.67490000000001</v>
      </c>
      <c r="D513">
        <v>131.15768299999999</v>
      </c>
      <c r="E513" s="22">
        <v>101.0005826117772</v>
      </c>
    </row>
    <row r="514" spans="1:5" x14ac:dyDescent="0.4">
      <c r="A514" s="27">
        <v>42746</v>
      </c>
      <c r="B514" s="21">
        <v>198.2313</v>
      </c>
      <c r="C514">
        <v>246.0367</v>
      </c>
      <c r="D514">
        <v>131.15641099999999</v>
      </c>
      <c r="E514" s="22">
        <v>100.99960308287623</v>
      </c>
    </row>
    <row r="515" spans="1:5" x14ac:dyDescent="0.4">
      <c r="A515" s="27">
        <v>42747</v>
      </c>
      <c r="B515" s="21">
        <v>196.9451</v>
      </c>
      <c r="C515">
        <v>246.08160000000001</v>
      </c>
      <c r="D515">
        <v>131.15513899999999</v>
      </c>
      <c r="E515" s="22">
        <v>100.99862355397526</v>
      </c>
    </row>
    <row r="516" spans="1:5" x14ac:dyDescent="0.4">
      <c r="A516" s="27">
        <v>42748</v>
      </c>
      <c r="B516" s="21">
        <v>198.8117</v>
      </c>
      <c r="C516">
        <v>245.62799999999999</v>
      </c>
      <c r="D516">
        <v>131.153853</v>
      </c>
      <c r="E516" s="22">
        <v>100.99763324409585</v>
      </c>
    </row>
    <row r="517" spans="1:5" x14ac:dyDescent="0.4">
      <c r="A517" s="27">
        <v>42751</v>
      </c>
      <c r="B517" s="21">
        <v>197.21969999999999</v>
      </c>
      <c r="C517">
        <v>245.7055</v>
      </c>
      <c r="D517">
        <v>131.15001000000001</v>
      </c>
      <c r="E517" s="22">
        <v>100.99467386550592</v>
      </c>
    </row>
    <row r="518" spans="1:5" x14ac:dyDescent="0.4">
      <c r="A518" s="27">
        <v>42752</v>
      </c>
      <c r="B518" s="21">
        <v>196.87270000000001</v>
      </c>
      <c r="C518">
        <v>246.0179</v>
      </c>
      <c r="D518">
        <v>131.14872500000001</v>
      </c>
      <c r="E518" s="22">
        <v>100.99368432569638</v>
      </c>
    </row>
    <row r="519" spans="1:5" x14ac:dyDescent="0.4">
      <c r="A519" s="27">
        <v>42753</v>
      </c>
      <c r="B519" s="21">
        <v>197.2175</v>
      </c>
      <c r="C519">
        <v>245.5419</v>
      </c>
      <c r="D519">
        <v>131.14743999999999</v>
      </c>
      <c r="E519" s="22">
        <v>100.9926947858868</v>
      </c>
    </row>
    <row r="520" spans="1:5" x14ac:dyDescent="0.4">
      <c r="A520" s="27">
        <v>42754</v>
      </c>
      <c r="B520" s="21">
        <v>197.0934</v>
      </c>
      <c r="C520">
        <v>245.0343</v>
      </c>
      <c r="D520">
        <v>131.14615499999999</v>
      </c>
      <c r="E520" s="22">
        <v>100.99170524607726</v>
      </c>
    </row>
    <row r="521" spans="1:5" x14ac:dyDescent="0.4">
      <c r="A521" s="27">
        <v>42755</v>
      </c>
      <c r="B521" s="21">
        <v>196.98840000000001</v>
      </c>
      <c r="C521">
        <v>244.29040000000001</v>
      </c>
      <c r="D521">
        <v>131.144882</v>
      </c>
      <c r="E521" s="22">
        <v>100.99072494710641</v>
      </c>
    </row>
    <row r="522" spans="1:5" x14ac:dyDescent="0.4">
      <c r="A522" s="27">
        <v>42758</v>
      </c>
      <c r="B522" s="21">
        <v>196.11600000000001</v>
      </c>
      <c r="C522">
        <v>244.9939</v>
      </c>
      <c r="D522">
        <v>131.141053</v>
      </c>
      <c r="E522" s="22">
        <v>100.98777634949494</v>
      </c>
    </row>
    <row r="523" spans="1:5" x14ac:dyDescent="0.4">
      <c r="A523" s="27">
        <v>42759</v>
      </c>
      <c r="B523" s="21">
        <v>196.67099999999999</v>
      </c>
      <c r="C523">
        <v>244.79089999999999</v>
      </c>
      <c r="D523">
        <v>131.139768</v>
      </c>
      <c r="E523" s="22">
        <v>100.9867868096854</v>
      </c>
    </row>
    <row r="524" spans="1:5" x14ac:dyDescent="0.4">
      <c r="A524" s="27">
        <v>42760</v>
      </c>
      <c r="B524" s="21">
        <v>199.2277</v>
      </c>
      <c r="C524">
        <v>243.84</v>
      </c>
      <c r="D524">
        <v>131.13848300000001</v>
      </c>
      <c r="E524" s="22">
        <v>100.98579726987585</v>
      </c>
    </row>
    <row r="525" spans="1:5" x14ac:dyDescent="0.4">
      <c r="A525" s="27">
        <v>42761</v>
      </c>
      <c r="B525" s="21">
        <v>199.68770000000001</v>
      </c>
      <c r="C525">
        <v>243.13720000000001</v>
      </c>
      <c r="D525">
        <v>131.13719800000001</v>
      </c>
      <c r="E525" s="22">
        <v>100.98480773006631</v>
      </c>
    </row>
    <row r="526" spans="1:5" x14ac:dyDescent="0.4">
      <c r="A526" s="27">
        <v>42762</v>
      </c>
      <c r="B526" s="21">
        <v>199.02019999999999</v>
      </c>
      <c r="C526">
        <v>243.33799999999999</v>
      </c>
      <c r="D526">
        <v>131.13591199999999</v>
      </c>
      <c r="E526" s="22">
        <v>100.98381742018685</v>
      </c>
    </row>
    <row r="527" spans="1:5" x14ac:dyDescent="0.4">
      <c r="A527" s="27">
        <v>42765</v>
      </c>
      <c r="B527" s="21">
        <v>196.95760000000001</v>
      </c>
      <c r="C527">
        <v>243.13730000000001</v>
      </c>
      <c r="D527">
        <v>131.13208299999999</v>
      </c>
      <c r="E527" s="22">
        <v>100.98086882257537</v>
      </c>
    </row>
    <row r="528" spans="1:5" x14ac:dyDescent="0.4">
      <c r="A528" s="27">
        <v>42766</v>
      </c>
      <c r="B528" s="21">
        <v>195.60730000000001</v>
      </c>
      <c r="C528">
        <v>243.37569999999999</v>
      </c>
      <c r="D528">
        <v>131.13081099999999</v>
      </c>
      <c r="E528" s="22">
        <v>100.9798892936744</v>
      </c>
    </row>
    <row r="529" spans="1:5" x14ac:dyDescent="0.4">
      <c r="A529" s="27">
        <v>42767</v>
      </c>
      <c r="B529" s="21">
        <v>197.18969999999999</v>
      </c>
      <c r="C529">
        <v>242.74369999999999</v>
      </c>
      <c r="D529">
        <v>131.12955199999999</v>
      </c>
      <c r="E529" s="22">
        <v>100.97891977568203</v>
      </c>
    </row>
    <row r="530" spans="1:5" x14ac:dyDescent="0.4">
      <c r="A530" s="27">
        <v>42768</v>
      </c>
      <c r="B530" s="21">
        <v>196.59350000000001</v>
      </c>
      <c r="C530">
        <v>243.53919999999999</v>
      </c>
      <c r="D530">
        <v>131.12829400000001</v>
      </c>
      <c r="E530" s="22">
        <v>100.97795102775954</v>
      </c>
    </row>
    <row r="531" spans="1:5" x14ac:dyDescent="0.4">
      <c r="A531" s="27">
        <v>42769</v>
      </c>
      <c r="B531" s="21">
        <v>197.72489999999999</v>
      </c>
      <c r="C531">
        <v>243.3381</v>
      </c>
      <c r="D531">
        <v>131.12702200000001</v>
      </c>
      <c r="E531" s="22">
        <v>100.97697149885857</v>
      </c>
    </row>
    <row r="532" spans="1:5" x14ac:dyDescent="0.4">
      <c r="A532" s="27">
        <v>42772</v>
      </c>
      <c r="B532" s="21">
        <v>196.4092</v>
      </c>
      <c r="C532">
        <v>243.01509999999999</v>
      </c>
      <c r="D532">
        <v>131.12321900000001</v>
      </c>
      <c r="E532" s="22">
        <v>100.97404292306426</v>
      </c>
    </row>
    <row r="533" spans="1:5" x14ac:dyDescent="0.4">
      <c r="A533" s="27">
        <v>42773</v>
      </c>
      <c r="B533" s="21">
        <v>196.94390000000001</v>
      </c>
      <c r="C533">
        <v>243.2002</v>
      </c>
      <c r="D533">
        <v>131.12194700000001</v>
      </c>
      <c r="E533" s="22">
        <v>100.9730633941633</v>
      </c>
    </row>
    <row r="534" spans="1:5" x14ac:dyDescent="0.4">
      <c r="A534" s="27">
        <v>42774</v>
      </c>
      <c r="B534" s="21">
        <v>197.52289999999999</v>
      </c>
      <c r="C534">
        <v>244.0582</v>
      </c>
      <c r="D534">
        <v>131.12067500000001</v>
      </c>
      <c r="E534" s="22">
        <v>100.97208386526233</v>
      </c>
    </row>
    <row r="535" spans="1:5" x14ac:dyDescent="0.4">
      <c r="A535" s="27">
        <v>42775</v>
      </c>
      <c r="B535" s="21">
        <v>199.17339999999999</v>
      </c>
      <c r="C535">
        <v>244.43170000000001</v>
      </c>
      <c r="D535">
        <v>131.11940300000001</v>
      </c>
      <c r="E535" s="22">
        <v>100.97110433636136</v>
      </c>
    </row>
    <row r="536" spans="1:5" x14ac:dyDescent="0.4">
      <c r="A536" s="27">
        <v>42776</v>
      </c>
      <c r="B536" s="21">
        <v>199.52959999999999</v>
      </c>
      <c r="C536">
        <v>243.77260000000001</v>
      </c>
      <c r="D536">
        <v>131.11811800000001</v>
      </c>
      <c r="E536" s="22">
        <v>100.97011479655183</v>
      </c>
    </row>
    <row r="537" spans="1:5" x14ac:dyDescent="0.4">
      <c r="A537" s="27">
        <v>42779</v>
      </c>
      <c r="B537" s="21">
        <v>201.0215</v>
      </c>
      <c r="C537">
        <v>243.85579999999999</v>
      </c>
      <c r="D537">
        <v>131.11427699999999</v>
      </c>
      <c r="E537" s="22">
        <v>100.96715695810164</v>
      </c>
    </row>
    <row r="538" spans="1:5" x14ac:dyDescent="0.4">
      <c r="A538" s="27">
        <v>42780</v>
      </c>
      <c r="B538" s="21">
        <v>201.0369</v>
      </c>
      <c r="C538">
        <v>243.6361</v>
      </c>
      <c r="D538">
        <v>131.11299199999999</v>
      </c>
      <c r="E538" s="22">
        <v>100.9661674182921</v>
      </c>
    </row>
    <row r="539" spans="1:5" x14ac:dyDescent="0.4">
      <c r="A539" s="27">
        <v>42781</v>
      </c>
      <c r="B539" s="21">
        <v>201.7439</v>
      </c>
      <c r="C539">
        <v>243.41480000000001</v>
      </c>
      <c r="D539">
        <v>131.111707</v>
      </c>
      <c r="E539" s="22">
        <v>100.96517787848256</v>
      </c>
    </row>
    <row r="540" spans="1:5" x14ac:dyDescent="0.4">
      <c r="A540" s="27">
        <v>42782</v>
      </c>
      <c r="B540" s="21">
        <v>201.1635</v>
      </c>
      <c r="C540">
        <v>244.15600000000001</v>
      </c>
      <c r="D540">
        <v>131.110422</v>
      </c>
      <c r="E540" s="22">
        <v>100.96418833867303</v>
      </c>
    </row>
    <row r="541" spans="1:5" x14ac:dyDescent="0.4">
      <c r="A541" s="27">
        <v>42783</v>
      </c>
      <c r="B541" s="21">
        <v>201.22919999999999</v>
      </c>
      <c r="C541">
        <v>244.29669999999999</v>
      </c>
      <c r="D541">
        <v>131.109137</v>
      </c>
      <c r="E541" s="22">
        <v>100.96319879886349</v>
      </c>
    </row>
    <row r="542" spans="1:5" x14ac:dyDescent="0.4">
      <c r="A542" s="27">
        <v>42786</v>
      </c>
      <c r="B542" s="21">
        <v>201.595</v>
      </c>
      <c r="C542">
        <v>244.32740000000001</v>
      </c>
      <c r="D542">
        <v>131.105256</v>
      </c>
      <c r="E542" s="22">
        <v>100.96021015761767</v>
      </c>
    </row>
    <row r="543" spans="1:5" x14ac:dyDescent="0.4">
      <c r="A543" s="27">
        <v>42787</v>
      </c>
      <c r="B543" s="21">
        <v>202.87299999999999</v>
      </c>
      <c r="C543">
        <v>243.92080000000001</v>
      </c>
      <c r="D543">
        <v>131.103971</v>
      </c>
      <c r="E543" s="22">
        <v>100.95922061780813</v>
      </c>
    </row>
    <row r="544" spans="1:5" x14ac:dyDescent="0.4">
      <c r="A544" s="27">
        <v>42788</v>
      </c>
      <c r="B544" s="21">
        <v>202.87639999999999</v>
      </c>
      <c r="C544">
        <v>244.33940000000001</v>
      </c>
      <c r="D544">
        <v>131.10267300000001</v>
      </c>
      <c r="E544" s="22">
        <v>100.95822106709002</v>
      </c>
    </row>
    <row r="545" spans="1:5" x14ac:dyDescent="0.4">
      <c r="A545" s="27">
        <v>42789</v>
      </c>
      <c r="B545" s="21">
        <v>202.78540000000001</v>
      </c>
      <c r="C545">
        <v>244.83099999999999</v>
      </c>
      <c r="D545">
        <v>131.10136199999999</v>
      </c>
      <c r="E545" s="22">
        <v>100.95721150546331</v>
      </c>
    </row>
    <row r="546" spans="1:5" x14ac:dyDescent="0.4">
      <c r="A546" s="27">
        <v>42790</v>
      </c>
      <c r="B546" s="21">
        <v>201.26169999999999</v>
      </c>
      <c r="C546">
        <v>245.5727</v>
      </c>
      <c r="D546">
        <v>131.100064</v>
      </c>
      <c r="E546" s="22">
        <v>100.95621195474519</v>
      </c>
    </row>
    <row r="547" spans="1:5" x14ac:dyDescent="0.4">
      <c r="A547" s="27">
        <v>42793</v>
      </c>
      <c r="B547" s="21">
        <v>200.95849999999999</v>
      </c>
      <c r="C547">
        <v>245.7826</v>
      </c>
      <c r="D547">
        <v>131.09614500000001</v>
      </c>
      <c r="E547" s="22">
        <v>100.95319405084355</v>
      </c>
    </row>
    <row r="548" spans="1:5" x14ac:dyDescent="0.4">
      <c r="A548" s="27">
        <v>42794</v>
      </c>
      <c r="B548" s="21">
        <v>201.31549999999999</v>
      </c>
      <c r="C548">
        <v>245.91550000000001</v>
      </c>
      <c r="D548">
        <v>131.09484699999999</v>
      </c>
      <c r="E548" s="22">
        <v>100.95219450012543</v>
      </c>
    </row>
    <row r="549" spans="1:5" x14ac:dyDescent="0.4">
      <c r="A549" s="27">
        <v>42795</v>
      </c>
      <c r="B549" s="21">
        <v>204.36949999999999</v>
      </c>
      <c r="C549">
        <v>245.09370000000001</v>
      </c>
      <c r="D549">
        <v>131.09358800000001</v>
      </c>
      <c r="E549" s="22">
        <v>100.95122498213304</v>
      </c>
    </row>
    <row r="550" spans="1:5" x14ac:dyDescent="0.4">
      <c r="A550" s="27">
        <v>42796</v>
      </c>
      <c r="B550" s="21">
        <v>204.48169999999999</v>
      </c>
      <c r="C550">
        <v>244.93340000000001</v>
      </c>
      <c r="D550">
        <v>131.09231700000001</v>
      </c>
      <c r="E550" s="22">
        <v>100.95024622330197</v>
      </c>
    </row>
    <row r="551" spans="1:5" x14ac:dyDescent="0.4">
      <c r="A551" s="27">
        <v>42797</v>
      </c>
      <c r="B551" s="21">
        <v>204.32300000000001</v>
      </c>
      <c r="C551">
        <v>244.54130000000001</v>
      </c>
      <c r="D551">
        <v>131.09104500000001</v>
      </c>
      <c r="E551" s="22">
        <v>100.949266694401</v>
      </c>
    </row>
    <row r="552" spans="1:5" x14ac:dyDescent="0.4">
      <c r="A552" s="27">
        <v>42800</v>
      </c>
      <c r="B552" s="21">
        <v>203.2484</v>
      </c>
      <c r="C552">
        <v>244.50909999999999</v>
      </c>
      <c r="D552">
        <v>131.08723000000001</v>
      </c>
      <c r="E552" s="22">
        <v>100.946328877768</v>
      </c>
    </row>
    <row r="553" spans="1:5" x14ac:dyDescent="0.4">
      <c r="A553" s="27">
        <v>42801</v>
      </c>
      <c r="B553" s="21">
        <v>202.74109999999999</v>
      </c>
      <c r="C553">
        <v>244.56379999999999</v>
      </c>
      <c r="D553">
        <v>131.08594600000001</v>
      </c>
      <c r="E553" s="22">
        <v>100.94534010802833</v>
      </c>
    </row>
    <row r="554" spans="1:5" x14ac:dyDescent="0.4">
      <c r="A554" s="27">
        <v>42802</v>
      </c>
      <c r="B554" s="21">
        <v>202.86519999999999</v>
      </c>
      <c r="C554">
        <v>243.67320000000001</v>
      </c>
      <c r="D554">
        <v>131.08466100000001</v>
      </c>
      <c r="E554" s="22">
        <v>100.94435056821879</v>
      </c>
    </row>
    <row r="555" spans="1:5" x14ac:dyDescent="0.4">
      <c r="A555" s="27">
        <v>42803</v>
      </c>
      <c r="B555" s="21">
        <v>203.018</v>
      </c>
      <c r="C555">
        <v>243.20949999999999</v>
      </c>
      <c r="D555">
        <v>131.08337599999999</v>
      </c>
      <c r="E555" s="22">
        <v>100.94336102840924</v>
      </c>
    </row>
    <row r="556" spans="1:5" x14ac:dyDescent="0.4">
      <c r="A556" s="27">
        <v>42804</v>
      </c>
      <c r="B556" s="21">
        <v>203.20480000000001</v>
      </c>
      <c r="C556">
        <v>242.3254</v>
      </c>
      <c r="D556">
        <v>131.08209199999999</v>
      </c>
      <c r="E556" s="22">
        <v>100.94237225866958</v>
      </c>
    </row>
    <row r="557" spans="1:5" x14ac:dyDescent="0.4">
      <c r="A557" s="27">
        <v>42807</v>
      </c>
      <c r="B557" s="21">
        <v>203.9667</v>
      </c>
      <c r="C557">
        <v>242.55449999999999</v>
      </c>
      <c r="D557">
        <v>131.07825099999999</v>
      </c>
      <c r="E557" s="22">
        <v>100.93941442021944</v>
      </c>
    </row>
    <row r="558" spans="1:5" x14ac:dyDescent="0.4">
      <c r="A558" s="27">
        <v>42808</v>
      </c>
      <c r="B558" s="21">
        <v>203.29750000000001</v>
      </c>
      <c r="C558">
        <v>242.8133</v>
      </c>
      <c r="D558">
        <v>131.076966</v>
      </c>
      <c r="E558" s="22">
        <v>100.9384248804099</v>
      </c>
    </row>
    <row r="559" spans="1:5" x14ac:dyDescent="0.4">
      <c r="A559" s="27">
        <v>42809</v>
      </c>
      <c r="B559" s="21">
        <v>204.19370000000001</v>
      </c>
      <c r="C559">
        <v>243.53309999999999</v>
      </c>
      <c r="D559">
        <v>131.075682</v>
      </c>
      <c r="E559" s="22">
        <v>100.93743611067023</v>
      </c>
    </row>
    <row r="560" spans="1:5" x14ac:dyDescent="0.4">
      <c r="A560" s="27">
        <v>42810</v>
      </c>
      <c r="B560" s="21">
        <v>205.82660000000001</v>
      </c>
      <c r="C560">
        <v>242.9512</v>
      </c>
      <c r="D560">
        <v>131.074397</v>
      </c>
      <c r="E560" s="22">
        <v>100.9364465708607</v>
      </c>
    </row>
    <row r="561" spans="1:5" x14ac:dyDescent="0.4">
      <c r="A561" s="27">
        <v>42811</v>
      </c>
      <c r="B561" s="21">
        <v>206.208</v>
      </c>
      <c r="C561">
        <v>242.9734</v>
      </c>
      <c r="D561">
        <v>131.07311300000001</v>
      </c>
      <c r="E561" s="22">
        <v>100.93545780112103</v>
      </c>
    </row>
    <row r="562" spans="1:5" x14ac:dyDescent="0.4">
      <c r="A562" s="27">
        <v>42814</v>
      </c>
      <c r="B562" s="21">
        <v>205.85220000000001</v>
      </c>
      <c r="C562">
        <v>242.9718</v>
      </c>
      <c r="D562">
        <v>131.06925899999999</v>
      </c>
      <c r="E562" s="22">
        <v>100.93248995176228</v>
      </c>
    </row>
    <row r="563" spans="1:5" x14ac:dyDescent="0.4">
      <c r="A563" s="27">
        <v>42815</v>
      </c>
      <c r="B563" s="21">
        <v>204.80350000000001</v>
      </c>
      <c r="C563">
        <v>243.0369</v>
      </c>
      <c r="D563">
        <v>131.06798800000001</v>
      </c>
      <c r="E563" s="22">
        <v>100.93151119293123</v>
      </c>
    </row>
    <row r="564" spans="1:5" x14ac:dyDescent="0.4">
      <c r="A564" s="27">
        <v>42816</v>
      </c>
      <c r="B564" s="21">
        <v>203.96019999999999</v>
      </c>
      <c r="C564">
        <v>243.73400000000001</v>
      </c>
      <c r="D564">
        <v>131.06673000000001</v>
      </c>
      <c r="E564" s="22">
        <v>100.93054244500873</v>
      </c>
    </row>
    <row r="565" spans="1:5" x14ac:dyDescent="0.4">
      <c r="A565" s="27">
        <v>42817</v>
      </c>
      <c r="B565" s="21">
        <v>205.62270000000001</v>
      </c>
      <c r="C565">
        <v>243.6386</v>
      </c>
      <c r="D565">
        <v>131.06543199999999</v>
      </c>
      <c r="E565" s="22">
        <v>100.92954289429059</v>
      </c>
    </row>
    <row r="566" spans="1:5" x14ac:dyDescent="0.4">
      <c r="A566" s="27">
        <v>42818</v>
      </c>
      <c r="B566" s="21">
        <v>205.25640000000001</v>
      </c>
      <c r="C566">
        <v>243.94990000000001</v>
      </c>
      <c r="D566">
        <v>131.064134</v>
      </c>
      <c r="E566" s="22">
        <v>100.92854334357246</v>
      </c>
    </row>
    <row r="567" spans="1:5" x14ac:dyDescent="0.4">
      <c r="A567" s="27">
        <v>42821</v>
      </c>
      <c r="B567" s="21">
        <v>204.4684</v>
      </c>
      <c r="C567">
        <v>244.07210000000001</v>
      </c>
      <c r="D567">
        <v>131.06024199999999</v>
      </c>
      <c r="E567" s="22">
        <v>100.92554623155787</v>
      </c>
    </row>
    <row r="568" spans="1:5" x14ac:dyDescent="0.4">
      <c r="A568" s="27">
        <v>42822</v>
      </c>
      <c r="B568" s="21">
        <v>205.7585</v>
      </c>
      <c r="C568">
        <v>244.4821</v>
      </c>
      <c r="D568">
        <v>131.058944</v>
      </c>
      <c r="E568" s="22">
        <v>100.92454668083977</v>
      </c>
    </row>
    <row r="569" spans="1:5" x14ac:dyDescent="0.4">
      <c r="A569" s="27">
        <v>42823</v>
      </c>
      <c r="B569" s="21">
        <v>206.49690000000001</v>
      </c>
      <c r="C569">
        <v>244.89840000000001</v>
      </c>
      <c r="D569">
        <v>131.057647</v>
      </c>
      <c r="E569" s="22">
        <v>100.92354790019154</v>
      </c>
    </row>
    <row r="570" spans="1:5" x14ac:dyDescent="0.4">
      <c r="A570" s="27">
        <v>42824</v>
      </c>
      <c r="B570" s="21">
        <v>207.66300000000001</v>
      </c>
      <c r="C570">
        <v>244.8879</v>
      </c>
      <c r="D570">
        <v>131.05634900000001</v>
      </c>
      <c r="E570" s="22">
        <v>100.9225483494734</v>
      </c>
    </row>
    <row r="571" spans="1:5" x14ac:dyDescent="0.4">
      <c r="A571" s="27">
        <v>42825</v>
      </c>
      <c r="B571" s="21">
        <v>208.03909999999999</v>
      </c>
      <c r="C571">
        <v>244.7217</v>
      </c>
      <c r="D571">
        <v>131.05505199999999</v>
      </c>
      <c r="E571" s="22">
        <v>100.92154956882516</v>
      </c>
    </row>
    <row r="572" spans="1:5" x14ac:dyDescent="0.4">
      <c r="A572" s="27">
        <v>42828</v>
      </c>
      <c r="B572" s="21">
        <v>207.03649999999999</v>
      </c>
      <c r="C572">
        <v>245.1437</v>
      </c>
      <c r="D572">
        <v>131.05117300000001</v>
      </c>
      <c r="E572" s="22">
        <v>100.91856246771916</v>
      </c>
    </row>
    <row r="573" spans="1:5" x14ac:dyDescent="0.4">
      <c r="A573" s="27">
        <v>42829</v>
      </c>
      <c r="B573" s="21">
        <v>207.45670000000001</v>
      </c>
      <c r="C573">
        <v>245.6121</v>
      </c>
      <c r="D573">
        <v>131.04988800000001</v>
      </c>
      <c r="E573" s="22">
        <v>100.91757292790962</v>
      </c>
    </row>
    <row r="574" spans="1:5" x14ac:dyDescent="0.4">
      <c r="A574" s="27">
        <v>42830</v>
      </c>
      <c r="B574" s="21">
        <v>207.47190000000001</v>
      </c>
      <c r="C574">
        <v>245.57820000000001</v>
      </c>
      <c r="D574">
        <v>131.04861700000001</v>
      </c>
      <c r="E574" s="22">
        <v>100.91659416907855</v>
      </c>
    </row>
    <row r="575" spans="1:5" x14ac:dyDescent="0.4">
      <c r="A575" s="27">
        <v>42831</v>
      </c>
      <c r="B575" s="21">
        <v>207.90520000000001</v>
      </c>
      <c r="C575">
        <v>245.64080000000001</v>
      </c>
      <c r="D575">
        <v>131.04733300000001</v>
      </c>
      <c r="E575" s="22">
        <v>100.91560539933889</v>
      </c>
    </row>
    <row r="576" spans="1:5" x14ac:dyDescent="0.4">
      <c r="A576" s="27">
        <v>42832</v>
      </c>
      <c r="B576" s="21">
        <v>208.23480000000001</v>
      </c>
      <c r="C576">
        <v>246.05789999999999</v>
      </c>
      <c r="D576">
        <v>131.04604900000001</v>
      </c>
      <c r="E576" s="22">
        <v>100.91461662959924</v>
      </c>
    </row>
    <row r="577" spans="1:5" x14ac:dyDescent="0.4">
      <c r="A577" s="27">
        <v>42835</v>
      </c>
      <c r="B577" s="21">
        <v>208.3032</v>
      </c>
      <c r="C577">
        <v>245.95949999999999</v>
      </c>
      <c r="D577">
        <v>131.04219599999999</v>
      </c>
      <c r="E577" s="22">
        <v>100.91164955031037</v>
      </c>
    </row>
    <row r="578" spans="1:5" x14ac:dyDescent="0.4">
      <c r="A578" s="27">
        <v>42836</v>
      </c>
      <c r="B578" s="21">
        <v>208.2688</v>
      </c>
      <c r="C578">
        <v>245.95769999999999</v>
      </c>
      <c r="D578">
        <v>131.040899</v>
      </c>
      <c r="E578" s="22">
        <v>100.91065076966214</v>
      </c>
    </row>
    <row r="579" spans="1:5" x14ac:dyDescent="0.4">
      <c r="A579" s="27">
        <v>42837</v>
      </c>
      <c r="B579" s="21">
        <v>208.58699999999999</v>
      </c>
      <c r="C579">
        <v>245.91050000000001</v>
      </c>
      <c r="D579">
        <v>131.039601</v>
      </c>
      <c r="E579" s="22">
        <v>100.90965121894402</v>
      </c>
    </row>
    <row r="580" spans="1:5" x14ac:dyDescent="0.4">
      <c r="A580" s="27">
        <v>42838</v>
      </c>
      <c r="B580" s="21">
        <v>207.8408</v>
      </c>
      <c r="C580">
        <v>246.102</v>
      </c>
      <c r="D580">
        <v>131.03829099999999</v>
      </c>
      <c r="E580" s="22">
        <v>100.90864242738719</v>
      </c>
    </row>
    <row r="581" spans="1:5" x14ac:dyDescent="0.4">
      <c r="A581" s="27">
        <v>42843</v>
      </c>
      <c r="B581" s="21">
        <v>205.5027</v>
      </c>
      <c r="C581">
        <v>246.30359999999999</v>
      </c>
      <c r="D581">
        <v>131.031778</v>
      </c>
      <c r="E581" s="22">
        <v>100.90362696218911</v>
      </c>
    </row>
    <row r="582" spans="1:5" x14ac:dyDescent="0.4">
      <c r="A582" s="27">
        <v>42844</v>
      </c>
      <c r="B582" s="21">
        <v>205.9357</v>
      </c>
      <c r="C582">
        <v>246.09950000000001</v>
      </c>
      <c r="D582">
        <v>131.03046800000001</v>
      </c>
      <c r="E582" s="22">
        <v>100.90261817063231</v>
      </c>
    </row>
    <row r="583" spans="1:5" x14ac:dyDescent="0.4">
      <c r="A583" s="27">
        <v>42845</v>
      </c>
      <c r="B583" s="21">
        <v>206.39500000000001</v>
      </c>
      <c r="C583">
        <v>245.89789999999999</v>
      </c>
      <c r="D583">
        <v>131.029158</v>
      </c>
      <c r="E583" s="22">
        <v>100.90160937907548</v>
      </c>
    </row>
    <row r="584" spans="1:5" x14ac:dyDescent="0.4">
      <c r="A584" s="27">
        <v>42846</v>
      </c>
      <c r="B584" s="21">
        <v>206.46260000000001</v>
      </c>
      <c r="C584">
        <v>245.70740000000001</v>
      </c>
      <c r="D584">
        <v>131.027861</v>
      </c>
      <c r="E584" s="22">
        <v>100.90061059842725</v>
      </c>
    </row>
    <row r="585" spans="1:5" x14ac:dyDescent="0.4">
      <c r="A585" s="27">
        <v>42849</v>
      </c>
      <c r="B585" s="21">
        <v>210.88399999999999</v>
      </c>
      <c r="C585">
        <v>245.83850000000001</v>
      </c>
      <c r="D585">
        <v>131.023956</v>
      </c>
      <c r="E585" s="22">
        <v>100.89760347550407</v>
      </c>
    </row>
    <row r="586" spans="1:5" x14ac:dyDescent="0.4">
      <c r="A586" s="27">
        <v>42850</v>
      </c>
      <c r="B586" s="21">
        <v>211.3717</v>
      </c>
      <c r="C586">
        <v>245.30500000000001</v>
      </c>
      <c r="D586">
        <v>131.022659</v>
      </c>
      <c r="E586" s="22">
        <v>100.89660469485584</v>
      </c>
    </row>
    <row r="587" spans="1:5" x14ac:dyDescent="0.4">
      <c r="A587" s="27">
        <v>42851</v>
      </c>
      <c r="B587" s="21">
        <v>212.34809999999999</v>
      </c>
      <c r="C587">
        <v>245.33449999999999</v>
      </c>
      <c r="D587">
        <v>131.02133499999999</v>
      </c>
      <c r="E587" s="22">
        <v>100.89558512232055</v>
      </c>
    </row>
    <row r="588" spans="1:5" x14ac:dyDescent="0.4">
      <c r="A588" s="27">
        <v>42852</v>
      </c>
      <c r="B588" s="21">
        <v>211.90369999999999</v>
      </c>
      <c r="C588">
        <v>246.00210000000001</v>
      </c>
      <c r="D588">
        <v>131.02001200000001</v>
      </c>
      <c r="E588" s="22">
        <v>100.89456631985519</v>
      </c>
    </row>
    <row r="589" spans="1:5" x14ac:dyDescent="0.4">
      <c r="A589" s="27">
        <v>42853</v>
      </c>
      <c r="B589" s="21">
        <v>211.54759999999999</v>
      </c>
      <c r="C589">
        <v>245.85730000000001</v>
      </c>
      <c r="D589">
        <v>131.01868899999999</v>
      </c>
      <c r="E589" s="22">
        <v>100.89354751738978</v>
      </c>
    </row>
    <row r="590" spans="1:5" x14ac:dyDescent="0.4">
      <c r="A590" s="27">
        <v>42856</v>
      </c>
      <c r="B590" s="21">
        <v>211.2893</v>
      </c>
      <c r="C590">
        <v>245.87260000000001</v>
      </c>
      <c r="D590">
        <v>131.01357899999999</v>
      </c>
      <c r="E590" s="22">
        <v>100.88961246024833</v>
      </c>
    </row>
    <row r="591" spans="1:5" x14ac:dyDescent="0.4">
      <c r="A591" s="27">
        <v>42857</v>
      </c>
      <c r="B591" s="21">
        <v>212.92850000000001</v>
      </c>
      <c r="C591">
        <v>245.80500000000001</v>
      </c>
      <c r="D591">
        <v>131.01357899999999</v>
      </c>
      <c r="E591" s="22">
        <v>100.88961246024833</v>
      </c>
    </row>
    <row r="592" spans="1:5" x14ac:dyDescent="0.4">
      <c r="A592" s="27">
        <v>42858</v>
      </c>
      <c r="B592" s="21">
        <v>212.9479</v>
      </c>
      <c r="C592">
        <v>245.9819</v>
      </c>
      <c r="D592">
        <v>131.012282</v>
      </c>
      <c r="E592" s="22">
        <v>100.8886136796001</v>
      </c>
    </row>
    <row r="593" spans="1:5" x14ac:dyDescent="0.4">
      <c r="A593" s="27">
        <v>42859</v>
      </c>
      <c r="B593" s="21">
        <v>214.5215</v>
      </c>
      <c r="C593">
        <v>245.67</v>
      </c>
      <c r="D593">
        <v>131.01098500000001</v>
      </c>
      <c r="E593" s="22">
        <v>100.88761489895187</v>
      </c>
    </row>
    <row r="594" spans="1:5" x14ac:dyDescent="0.4">
      <c r="A594" s="27">
        <v>42860</v>
      </c>
      <c r="B594" s="21">
        <v>216.0583</v>
      </c>
      <c r="C594">
        <v>245.59639999999999</v>
      </c>
      <c r="D594">
        <v>131.00968800000001</v>
      </c>
      <c r="E594" s="22">
        <v>100.88661611830364</v>
      </c>
    </row>
    <row r="595" spans="1:5" x14ac:dyDescent="0.4">
      <c r="A595" s="27">
        <v>42863</v>
      </c>
      <c r="B595" s="21">
        <v>215.9212</v>
      </c>
      <c r="C595">
        <v>245.47989999999999</v>
      </c>
      <c r="D595">
        <v>131.005797</v>
      </c>
      <c r="E595" s="22">
        <v>100.88361977635894</v>
      </c>
    </row>
    <row r="596" spans="1:5" x14ac:dyDescent="0.4">
      <c r="A596" s="27">
        <v>42864</v>
      </c>
      <c r="B596" s="21">
        <v>216.94280000000001</v>
      </c>
      <c r="C596">
        <v>245.2209</v>
      </c>
      <c r="D596">
        <v>131.00450000000001</v>
      </c>
      <c r="E596" s="22">
        <v>100.88262099571071</v>
      </c>
    </row>
    <row r="597" spans="1:5" x14ac:dyDescent="0.4">
      <c r="A597" s="27">
        <v>42865</v>
      </c>
      <c r="B597" s="21">
        <v>217.36449999999999</v>
      </c>
      <c r="C597">
        <v>245.5729</v>
      </c>
      <c r="D597">
        <v>131.00320300000001</v>
      </c>
      <c r="E597" s="22">
        <v>100.88162221506248</v>
      </c>
    </row>
    <row r="598" spans="1:5" x14ac:dyDescent="0.4">
      <c r="A598" s="27">
        <v>42866</v>
      </c>
      <c r="B598" s="21">
        <v>216.4873</v>
      </c>
      <c r="C598">
        <v>245.18879999999999</v>
      </c>
      <c r="D598">
        <v>131.00190599999999</v>
      </c>
      <c r="E598" s="22">
        <v>100.88062343441422</v>
      </c>
    </row>
    <row r="599" spans="1:5" x14ac:dyDescent="0.4">
      <c r="A599" s="27">
        <v>42867</v>
      </c>
      <c r="B599" s="21">
        <v>217.24109999999999</v>
      </c>
      <c r="C599">
        <v>245.63140000000001</v>
      </c>
      <c r="D599">
        <v>131.000596</v>
      </c>
      <c r="E599" s="22">
        <v>100.87961464285742</v>
      </c>
    </row>
    <row r="600" spans="1:5" x14ac:dyDescent="0.4">
      <c r="A600" s="27">
        <v>42870</v>
      </c>
      <c r="B600" s="21">
        <v>217.55850000000001</v>
      </c>
      <c r="C600">
        <v>245.28829999999999</v>
      </c>
      <c r="D600">
        <v>130.996692</v>
      </c>
      <c r="E600" s="22">
        <v>100.87660829000413</v>
      </c>
    </row>
    <row r="601" spans="1:5" x14ac:dyDescent="0.4">
      <c r="A601" s="27">
        <v>42871</v>
      </c>
      <c r="B601" s="21">
        <v>217.67310000000001</v>
      </c>
      <c r="C601">
        <v>245.4391</v>
      </c>
      <c r="D601">
        <v>130.995396</v>
      </c>
      <c r="E601" s="22">
        <v>100.8756102794258</v>
      </c>
    </row>
    <row r="602" spans="1:5" x14ac:dyDescent="0.4">
      <c r="A602" s="27">
        <v>42872</v>
      </c>
      <c r="B602" s="21">
        <v>215.17330000000001</v>
      </c>
      <c r="C602">
        <v>245.97730000000001</v>
      </c>
      <c r="D602">
        <v>130.99405899999999</v>
      </c>
      <c r="E602" s="22">
        <v>100.87458069598195</v>
      </c>
    </row>
    <row r="603" spans="1:5" x14ac:dyDescent="0.4">
      <c r="A603" s="27">
        <v>42873</v>
      </c>
      <c r="B603" s="21">
        <v>214.1362</v>
      </c>
      <c r="C603">
        <v>246.2354</v>
      </c>
      <c r="D603">
        <v>130.992749</v>
      </c>
      <c r="E603" s="22">
        <v>100.87357190442512</v>
      </c>
    </row>
    <row r="604" spans="1:5" x14ac:dyDescent="0.4">
      <c r="A604" s="27">
        <v>42874</v>
      </c>
      <c r="B604" s="21">
        <v>215.35769999999999</v>
      </c>
      <c r="C604">
        <v>246.1773</v>
      </c>
      <c r="D604">
        <v>130.99142599999999</v>
      </c>
      <c r="E604" s="22">
        <v>100.87255310195972</v>
      </c>
    </row>
    <row r="605" spans="1:5" x14ac:dyDescent="0.4">
      <c r="A605" s="27">
        <v>42877</v>
      </c>
      <c r="B605" s="21">
        <v>215.24109999999999</v>
      </c>
      <c r="C605">
        <v>245.88749999999999</v>
      </c>
      <c r="D605">
        <v>130.98749699999999</v>
      </c>
      <c r="E605" s="22">
        <v>100.86952749735917</v>
      </c>
    </row>
    <row r="606" spans="1:5" x14ac:dyDescent="0.4">
      <c r="A606" s="27">
        <v>42878</v>
      </c>
      <c r="B606" s="21">
        <v>215.72309999999999</v>
      </c>
      <c r="C606">
        <v>245.93620000000001</v>
      </c>
      <c r="D606">
        <v>130.986187</v>
      </c>
      <c r="E606" s="22">
        <v>100.86851870580237</v>
      </c>
    </row>
    <row r="607" spans="1:5" x14ac:dyDescent="0.4">
      <c r="A607" s="27">
        <v>42879</v>
      </c>
      <c r="B607" s="21">
        <v>215.94120000000001</v>
      </c>
      <c r="C607">
        <v>245.87549999999999</v>
      </c>
      <c r="D607">
        <v>130.98487700000001</v>
      </c>
      <c r="E607" s="22">
        <v>100.86750991424557</v>
      </c>
    </row>
    <row r="608" spans="1:5" x14ac:dyDescent="0.4">
      <c r="A608" s="27">
        <v>42880</v>
      </c>
      <c r="B608" s="21">
        <v>215.8152</v>
      </c>
      <c r="C608">
        <v>246.32</v>
      </c>
      <c r="D608">
        <v>130.98356699999999</v>
      </c>
      <c r="E608" s="22">
        <v>100.86650112268876</v>
      </c>
    </row>
    <row r="609" spans="1:5" x14ac:dyDescent="0.4">
      <c r="A609" s="27">
        <v>42881</v>
      </c>
      <c r="B609" s="21">
        <v>215.35470000000001</v>
      </c>
      <c r="C609">
        <v>246.7825</v>
      </c>
      <c r="D609">
        <v>130.98224400000001</v>
      </c>
      <c r="E609" s="22">
        <v>100.86548232022336</v>
      </c>
    </row>
    <row r="610" spans="1:5" x14ac:dyDescent="0.4">
      <c r="A610" s="27">
        <v>42885</v>
      </c>
      <c r="B610" s="21">
        <v>214.9812</v>
      </c>
      <c r="C610">
        <v>246.93129999999999</v>
      </c>
      <c r="D610">
        <v>130.97701799999999</v>
      </c>
      <c r="E610" s="22">
        <v>100.86145793497457</v>
      </c>
    </row>
    <row r="611" spans="1:5" x14ac:dyDescent="0.4">
      <c r="A611" s="27">
        <v>42886</v>
      </c>
      <c r="B611" s="21">
        <v>214.7937</v>
      </c>
      <c r="C611">
        <v>246.97139999999999</v>
      </c>
      <c r="D611">
        <v>130.975708</v>
      </c>
      <c r="E611" s="22">
        <v>100.86044914341777</v>
      </c>
    </row>
    <row r="612" spans="1:5" x14ac:dyDescent="0.4">
      <c r="A612" s="27">
        <v>42887</v>
      </c>
      <c r="B612" s="21">
        <v>215.76920000000001</v>
      </c>
      <c r="C612">
        <v>246.6662</v>
      </c>
      <c r="D612">
        <v>130.97443799999999</v>
      </c>
      <c r="E612" s="22">
        <v>100.85947115465659</v>
      </c>
    </row>
    <row r="613" spans="1:5" x14ac:dyDescent="0.4">
      <c r="A613" s="27">
        <v>42888</v>
      </c>
      <c r="B613" s="21">
        <v>216.2756</v>
      </c>
      <c r="C613">
        <v>246.83519999999999</v>
      </c>
      <c r="D613">
        <v>130.973141</v>
      </c>
      <c r="E613" s="22">
        <v>100.85847237400836</v>
      </c>
    </row>
    <row r="614" spans="1:5" x14ac:dyDescent="0.4">
      <c r="A614" s="27">
        <v>42891</v>
      </c>
      <c r="B614" s="21">
        <v>216.08260000000001</v>
      </c>
      <c r="C614">
        <v>246.69720000000001</v>
      </c>
      <c r="D614">
        <v>130.969526</v>
      </c>
      <c r="E614" s="22">
        <v>100.8556885713535</v>
      </c>
    </row>
    <row r="615" spans="1:5" x14ac:dyDescent="0.4">
      <c r="A615" s="27">
        <v>42892</v>
      </c>
      <c r="B615" s="21">
        <v>214.69319999999999</v>
      </c>
      <c r="C615">
        <v>247.17099999999999</v>
      </c>
      <c r="D615">
        <v>130.968164</v>
      </c>
      <c r="E615" s="22">
        <v>100.85463973616235</v>
      </c>
    </row>
    <row r="616" spans="1:5" x14ac:dyDescent="0.4">
      <c r="A616" s="27">
        <v>42893</v>
      </c>
      <c r="B616" s="21">
        <v>214.5394</v>
      </c>
      <c r="C616">
        <v>247.03270000000001</v>
      </c>
      <c r="D616">
        <v>130.96686800000001</v>
      </c>
      <c r="E616" s="22">
        <v>100.85364172558403</v>
      </c>
    </row>
    <row r="617" spans="1:5" x14ac:dyDescent="0.4">
      <c r="A617" s="27">
        <v>42894</v>
      </c>
      <c r="B617" s="21">
        <v>214.6036</v>
      </c>
      <c r="C617">
        <v>247.4359</v>
      </c>
      <c r="D617">
        <v>130.96554499999999</v>
      </c>
      <c r="E617" s="22">
        <v>100.85262292311863</v>
      </c>
    </row>
    <row r="618" spans="1:5" x14ac:dyDescent="0.4">
      <c r="A618" s="27">
        <v>42895</v>
      </c>
      <c r="B618" s="21">
        <v>215.39009999999999</v>
      </c>
      <c r="C618">
        <v>247.55269999999999</v>
      </c>
      <c r="D618">
        <v>130.964248</v>
      </c>
      <c r="E618" s="22">
        <v>100.8516241424704</v>
      </c>
    </row>
    <row r="619" spans="1:5" x14ac:dyDescent="0.4">
      <c r="A619" s="27">
        <v>42898</v>
      </c>
      <c r="B619" s="21">
        <v>213.4111</v>
      </c>
      <c r="C619">
        <v>248.0506</v>
      </c>
      <c r="D619">
        <v>130.960319</v>
      </c>
      <c r="E619" s="22">
        <v>100.84859853786985</v>
      </c>
    </row>
    <row r="620" spans="1:5" x14ac:dyDescent="0.4">
      <c r="A620" s="27">
        <v>42899</v>
      </c>
      <c r="B620" s="21">
        <v>214.494</v>
      </c>
      <c r="C620">
        <v>248.06460000000001</v>
      </c>
      <c r="D620">
        <v>130.959023</v>
      </c>
      <c r="E620" s="22">
        <v>100.84760052729152</v>
      </c>
    </row>
    <row r="621" spans="1:5" x14ac:dyDescent="0.4">
      <c r="A621" s="27">
        <v>42900</v>
      </c>
      <c r="B621" s="21">
        <v>213.79339999999999</v>
      </c>
      <c r="C621">
        <v>248.58869999999999</v>
      </c>
      <c r="D621">
        <v>130.95772600000001</v>
      </c>
      <c r="E621" s="22">
        <v>100.84660174664329</v>
      </c>
    </row>
    <row r="622" spans="1:5" x14ac:dyDescent="0.4">
      <c r="A622" s="27">
        <v>42901</v>
      </c>
      <c r="B622" s="21">
        <v>213.12899999999999</v>
      </c>
      <c r="C622">
        <v>247.89160000000001</v>
      </c>
      <c r="D622">
        <v>130.95643000000001</v>
      </c>
      <c r="E622" s="22">
        <v>100.84560373606494</v>
      </c>
    </row>
    <row r="623" spans="1:5" x14ac:dyDescent="0.4">
      <c r="A623" s="27">
        <v>42902</v>
      </c>
      <c r="B623" s="21">
        <v>214.518</v>
      </c>
      <c r="C623">
        <v>247.9075</v>
      </c>
      <c r="D623">
        <v>130.95511999999999</v>
      </c>
      <c r="E623" s="22">
        <v>100.8445949445081</v>
      </c>
    </row>
    <row r="624" spans="1:5" x14ac:dyDescent="0.4">
      <c r="A624" s="27">
        <v>42905</v>
      </c>
      <c r="B624" s="21">
        <v>216.40530000000001</v>
      </c>
      <c r="C624">
        <v>248.04409999999999</v>
      </c>
      <c r="D624">
        <v>130.951244</v>
      </c>
      <c r="E624" s="22">
        <v>100.84161015361177</v>
      </c>
    </row>
    <row r="625" spans="1:5" x14ac:dyDescent="0.4">
      <c r="A625" s="27">
        <v>42906</v>
      </c>
      <c r="B625" s="21">
        <v>214.8458</v>
      </c>
      <c r="C625">
        <v>248.4323</v>
      </c>
      <c r="D625">
        <v>130.94993400000001</v>
      </c>
      <c r="E625" s="22">
        <v>100.84060136205497</v>
      </c>
    </row>
    <row r="626" spans="1:5" x14ac:dyDescent="0.4">
      <c r="A626" s="27">
        <v>42907</v>
      </c>
      <c r="B626" s="21">
        <v>214.4212</v>
      </c>
      <c r="C626">
        <v>248.59690000000001</v>
      </c>
      <c r="D626">
        <v>130.948612</v>
      </c>
      <c r="E626" s="22">
        <v>100.83958332965946</v>
      </c>
    </row>
    <row r="627" spans="1:5" x14ac:dyDescent="0.4">
      <c r="A627" s="27">
        <v>42908</v>
      </c>
      <c r="B627" s="21">
        <v>214.43770000000001</v>
      </c>
      <c r="C627">
        <v>248.68680000000001</v>
      </c>
      <c r="D627">
        <v>130.94728900000001</v>
      </c>
      <c r="E627" s="22">
        <v>100.83856452719408</v>
      </c>
    </row>
    <row r="628" spans="1:5" x14ac:dyDescent="0.4">
      <c r="A628" s="27">
        <v>42909</v>
      </c>
      <c r="B628" s="21">
        <v>213.92760000000001</v>
      </c>
      <c r="C628">
        <v>248.51929999999999</v>
      </c>
      <c r="D628">
        <v>130.945967</v>
      </c>
      <c r="E628" s="22">
        <v>100.83754649479857</v>
      </c>
    </row>
    <row r="629" spans="1:5" x14ac:dyDescent="0.4">
      <c r="A629" s="27">
        <v>42912</v>
      </c>
      <c r="B629" s="21">
        <v>214.77930000000001</v>
      </c>
      <c r="C629">
        <v>248.58369999999999</v>
      </c>
      <c r="D629">
        <v>130.94201200000001</v>
      </c>
      <c r="E629" s="22">
        <v>100.83450086838089</v>
      </c>
    </row>
    <row r="630" spans="1:5" x14ac:dyDescent="0.4">
      <c r="A630" s="27">
        <v>42913</v>
      </c>
      <c r="B630" s="21">
        <v>213.19300000000001</v>
      </c>
      <c r="C630">
        <v>247.25880000000001</v>
      </c>
      <c r="D630">
        <v>130.94068999999999</v>
      </c>
      <c r="E630" s="22">
        <v>100.83348283598536</v>
      </c>
    </row>
    <row r="631" spans="1:5" x14ac:dyDescent="0.4">
      <c r="A631" s="27">
        <v>42914</v>
      </c>
      <c r="B631" s="21">
        <v>213.1036</v>
      </c>
      <c r="C631">
        <v>247.2167</v>
      </c>
      <c r="D631">
        <v>130.939367</v>
      </c>
      <c r="E631" s="22">
        <v>100.83246403351997</v>
      </c>
    </row>
    <row r="632" spans="1:5" x14ac:dyDescent="0.4">
      <c r="A632" s="27">
        <v>42915</v>
      </c>
      <c r="B632" s="21">
        <v>210.2833</v>
      </c>
      <c r="C632">
        <v>245.88589999999999</v>
      </c>
      <c r="D632">
        <v>130.93804499999999</v>
      </c>
      <c r="E632" s="22">
        <v>100.83144600112448</v>
      </c>
    </row>
    <row r="633" spans="1:5" x14ac:dyDescent="0.4">
      <c r="A633" s="27">
        <v>42916</v>
      </c>
      <c r="B633" s="21">
        <v>209.4581</v>
      </c>
      <c r="C633">
        <v>245.65110000000001</v>
      </c>
      <c r="D633">
        <v>130.936735</v>
      </c>
      <c r="E633" s="22">
        <v>100.83043720956766</v>
      </c>
    </row>
    <row r="634" spans="1:5" x14ac:dyDescent="0.4">
      <c r="A634" s="27">
        <v>42919</v>
      </c>
      <c r="B634" s="21">
        <v>211.77600000000001</v>
      </c>
      <c r="C634">
        <v>245.584</v>
      </c>
      <c r="D634">
        <v>130.93291199999999</v>
      </c>
      <c r="E634" s="22">
        <v>100.82749323237552</v>
      </c>
    </row>
    <row r="635" spans="1:5" x14ac:dyDescent="0.4">
      <c r="A635" s="27">
        <v>42920</v>
      </c>
      <c r="B635" s="21">
        <v>211.1379</v>
      </c>
      <c r="C635">
        <v>245.7218</v>
      </c>
      <c r="D635">
        <v>130.93161599999999</v>
      </c>
      <c r="E635" s="22">
        <v>100.82649522179719</v>
      </c>
    </row>
    <row r="636" spans="1:5" x14ac:dyDescent="0.4">
      <c r="A636" s="27">
        <v>42921</v>
      </c>
      <c r="B636" s="21">
        <v>211.48779999999999</v>
      </c>
      <c r="C636">
        <v>245.78210000000001</v>
      </c>
      <c r="D636">
        <v>130.930319</v>
      </c>
      <c r="E636" s="22">
        <v>100.82549644114896</v>
      </c>
    </row>
    <row r="637" spans="1:5" x14ac:dyDescent="0.4">
      <c r="A637" s="27">
        <v>42922</v>
      </c>
      <c r="B637" s="21">
        <v>210.08850000000001</v>
      </c>
      <c r="C637">
        <v>244.44460000000001</v>
      </c>
      <c r="D637">
        <v>130.929023</v>
      </c>
      <c r="E637" s="22">
        <v>100.82449843057061</v>
      </c>
    </row>
    <row r="638" spans="1:5" x14ac:dyDescent="0.4">
      <c r="A638" s="27">
        <v>42923</v>
      </c>
      <c r="B638" s="21">
        <v>209.9333</v>
      </c>
      <c r="C638">
        <v>244.2329</v>
      </c>
      <c r="D638">
        <v>130.92771400000001</v>
      </c>
      <c r="E638" s="22">
        <v>100.82349040908369</v>
      </c>
    </row>
    <row r="639" spans="1:5" x14ac:dyDescent="0.4">
      <c r="A639" s="27">
        <v>42926</v>
      </c>
      <c r="B639" s="21">
        <v>210.7021</v>
      </c>
      <c r="C639">
        <v>244.77209999999999</v>
      </c>
      <c r="D639">
        <v>130.923799</v>
      </c>
      <c r="E639" s="22">
        <v>100.82047558546164</v>
      </c>
    </row>
    <row r="640" spans="1:5" x14ac:dyDescent="0.4">
      <c r="A640" s="27">
        <v>42927</v>
      </c>
      <c r="B640" s="21">
        <v>209.3537</v>
      </c>
      <c r="C640">
        <v>244.44669999999999</v>
      </c>
      <c r="D640">
        <v>130.92249000000001</v>
      </c>
      <c r="E640" s="22">
        <v>100.81946756397471</v>
      </c>
    </row>
    <row r="641" spans="1:5" x14ac:dyDescent="0.4">
      <c r="A641" s="27">
        <v>42928</v>
      </c>
      <c r="B641" s="21">
        <v>212.62350000000001</v>
      </c>
      <c r="C641">
        <v>245.21520000000001</v>
      </c>
      <c r="D641">
        <v>130.92118099999999</v>
      </c>
      <c r="E641" s="22">
        <v>100.81845954248776</v>
      </c>
    </row>
    <row r="642" spans="1:5" x14ac:dyDescent="0.4">
      <c r="A642" s="27">
        <v>42929</v>
      </c>
      <c r="B642" s="21">
        <v>213.26740000000001</v>
      </c>
      <c r="C642">
        <v>244.88939999999999</v>
      </c>
      <c r="D642">
        <v>130.919872</v>
      </c>
      <c r="E642" s="22">
        <v>100.81745152100086</v>
      </c>
    </row>
    <row r="643" spans="1:5" x14ac:dyDescent="0.4">
      <c r="A643" s="27">
        <v>42930</v>
      </c>
      <c r="B643" s="21">
        <v>213.6206</v>
      </c>
      <c r="C643">
        <v>244.97550000000001</v>
      </c>
      <c r="D643">
        <v>130.91856200000001</v>
      </c>
      <c r="E643" s="22">
        <v>100.81644272944405</v>
      </c>
    </row>
    <row r="644" spans="1:5" x14ac:dyDescent="0.4">
      <c r="A644" s="27">
        <v>42933</v>
      </c>
      <c r="B644" s="21">
        <v>213.5642</v>
      </c>
      <c r="C644">
        <v>245.37780000000001</v>
      </c>
      <c r="D644">
        <v>130.91462200000001</v>
      </c>
      <c r="E644" s="22">
        <v>100.81340865407471</v>
      </c>
    </row>
    <row r="645" spans="1:5" x14ac:dyDescent="0.4">
      <c r="A645" s="27">
        <v>42934</v>
      </c>
      <c r="B645" s="21">
        <v>211.13040000000001</v>
      </c>
      <c r="C645">
        <v>245.73220000000001</v>
      </c>
      <c r="D645">
        <v>130.91329899999999</v>
      </c>
      <c r="E645" s="22">
        <v>100.8123898516093</v>
      </c>
    </row>
    <row r="646" spans="1:5" x14ac:dyDescent="0.4">
      <c r="A646" s="27">
        <v>42935</v>
      </c>
      <c r="B646" s="21">
        <v>212.76349999999999</v>
      </c>
      <c r="C646">
        <v>246.04400000000001</v>
      </c>
      <c r="D646">
        <v>130.91197700000001</v>
      </c>
      <c r="E646" s="22">
        <v>100.81137181921382</v>
      </c>
    </row>
    <row r="647" spans="1:5" x14ac:dyDescent="0.4">
      <c r="A647" s="27">
        <v>42936</v>
      </c>
      <c r="B647" s="21">
        <v>211.99799999999999</v>
      </c>
      <c r="C647">
        <v>246.18600000000001</v>
      </c>
      <c r="D647">
        <v>130.91065499999999</v>
      </c>
      <c r="E647" s="22">
        <v>100.81035378681831</v>
      </c>
    </row>
    <row r="648" spans="1:5" x14ac:dyDescent="0.4">
      <c r="A648" s="27">
        <v>42937</v>
      </c>
      <c r="B648" s="21">
        <v>209.81020000000001</v>
      </c>
      <c r="C648">
        <v>246.6541</v>
      </c>
      <c r="D648">
        <v>130.909333</v>
      </c>
      <c r="E648" s="22">
        <v>100.80933575442282</v>
      </c>
    </row>
    <row r="649" spans="1:5" x14ac:dyDescent="0.4">
      <c r="A649" s="27">
        <v>42940</v>
      </c>
      <c r="B649" s="21">
        <v>209.29580000000001</v>
      </c>
      <c r="C649">
        <v>246.79089999999999</v>
      </c>
      <c r="D649">
        <v>130.90539200000001</v>
      </c>
      <c r="E649" s="22">
        <v>100.80630090898357</v>
      </c>
    </row>
    <row r="650" spans="1:5" x14ac:dyDescent="0.4">
      <c r="A650" s="27">
        <v>42941</v>
      </c>
      <c r="B650" s="21">
        <v>210.2389</v>
      </c>
      <c r="C650">
        <v>245.93549999999999</v>
      </c>
      <c r="D650">
        <v>130.90408300000001</v>
      </c>
      <c r="E650" s="22">
        <v>100.80529288749666</v>
      </c>
    </row>
    <row r="651" spans="1:5" x14ac:dyDescent="0.4">
      <c r="A651" s="27">
        <v>42942</v>
      </c>
      <c r="B651" s="21">
        <v>211.28630000000001</v>
      </c>
      <c r="C651">
        <v>246.07210000000001</v>
      </c>
      <c r="D651">
        <v>130.902761</v>
      </c>
      <c r="E651" s="22">
        <v>100.80427485510116</v>
      </c>
    </row>
    <row r="652" spans="1:5" x14ac:dyDescent="0.4">
      <c r="A652" s="27">
        <v>42943</v>
      </c>
      <c r="B652" s="21">
        <v>211.0171</v>
      </c>
      <c r="C652">
        <v>246.404</v>
      </c>
      <c r="D652">
        <v>130.90145200000001</v>
      </c>
      <c r="E652" s="22">
        <v>100.80326683361425</v>
      </c>
    </row>
    <row r="653" spans="1:5" x14ac:dyDescent="0.4">
      <c r="A653" s="27">
        <v>42944</v>
      </c>
      <c r="B653" s="21">
        <v>208.911</v>
      </c>
      <c r="C653">
        <v>246.15950000000001</v>
      </c>
      <c r="D653">
        <v>130.90014300000001</v>
      </c>
      <c r="E653" s="22">
        <v>100.80225881212732</v>
      </c>
    </row>
    <row r="654" spans="1:5" x14ac:dyDescent="0.4">
      <c r="A654" s="27">
        <v>42947</v>
      </c>
      <c r="B654" s="21">
        <v>208.6763</v>
      </c>
      <c r="C654">
        <v>246.32689999999999</v>
      </c>
      <c r="D654">
        <v>130.89622900000001</v>
      </c>
      <c r="E654" s="22">
        <v>100.79924475857513</v>
      </c>
    </row>
    <row r="655" spans="1:5" x14ac:dyDescent="0.4">
      <c r="A655" s="27">
        <v>42948</v>
      </c>
      <c r="B655" s="21">
        <v>209.99109999999999</v>
      </c>
      <c r="C655">
        <v>247.1919</v>
      </c>
      <c r="D655">
        <v>130.89496</v>
      </c>
      <c r="E655" s="22">
        <v>100.79826753988384</v>
      </c>
    </row>
    <row r="656" spans="1:5" x14ac:dyDescent="0.4">
      <c r="A656" s="27">
        <v>42949</v>
      </c>
      <c r="B656" s="21">
        <v>209.1241</v>
      </c>
      <c r="C656">
        <v>247.27160000000001</v>
      </c>
      <c r="D656">
        <v>130.893664</v>
      </c>
      <c r="E656" s="22">
        <v>100.7972695293055</v>
      </c>
    </row>
    <row r="657" spans="1:5" x14ac:dyDescent="0.4">
      <c r="A657" s="27">
        <v>42950</v>
      </c>
      <c r="B657" s="21">
        <v>209.41990000000001</v>
      </c>
      <c r="C657">
        <v>247.58189999999999</v>
      </c>
      <c r="D657">
        <v>130.892381</v>
      </c>
      <c r="E657" s="22">
        <v>100.79628152963573</v>
      </c>
    </row>
    <row r="658" spans="1:5" x14ac:dyDescent="0.4">
      <c r="A658" s="27">
        <v>42951</v>
      </c>
      <c r="B658" s="21">
        <v>211.47130000000001</v>
      </c>
      <c r="C658">
        <v>247.35839999999999</v>
      </c>
      <c r="D658">
        <v>130.891111</v>
      </c>
      <c r="E658" s="22">
        <v>100.79530354087454</v>
      </c>
    </row>
    <row r="659" spans="1:5" x14ac:dyDescent="0.4">
      <c r="A659" s="27">
        <v>42954</v>
      </c>
      <c r="B659" s="21">
        <v>211.18879999999999</v>
      </c>
      <c r="C659">
        <v>247.56110000000001</v>
      </c>
      <c r="D659">
        <v>130.887224</v>
      </c>
      <c r="E659" s="22">
        <v>100.7923102792094</v>
      </c>
    </row>
    <row r="660" spans="1:5" x14ac:dyDescent="0.4">
      <c r="A660" s="27">
        <v>42955</v>
      </c>
      <c r="B660" s="21">
        <v>211.6027</v>
      </c>
      <c r="C660">
        <v>247.36189999999999</v>
      </c>
      <c r="D660">
        <v>130.885941</v>
      </c>
      <c r="E660" s="22">
        <v>100.79132227953964</v>
      </c>
    </row>
    <row r="661" spans="1:5" x14ac:dyDescent="0.4">
      <c r="A661" s="27">
        <v>42956</v>
      </c>
      <c r="B661" s="21">
        <v>210.04050000000001</v>
      </c>
      <c r="C661">
        <v>247.85650000000001</v>
      </c>
      <c r="D661">
        <v>130.88464500000001</v>
      </c>
      <c r="E661" s="22">
        <v>100.79032426896131</v>
      </c>
    </row>
    <row r="662" spans="1:5" x14ac:dyDescent="0.4">
      <c r="A662" s="27">
        <v>42957</v>
      </c>
      <c r="B662" s="21">
        <v>208.1814</v>
      </c>
      <c r="C662">
        <v>247.91419999999999</v>
      </c>
      <c r="D662">
        <v>130.883363</v>
      </c>
      <c r="E662" s="22">
        <v>100.78933703936144</v>
      </c>
    </row>
    <row r="663" spans="1:5" x14ac:dyDescent="0.4">
      <c r="A663" s="27">
        <v>42958</v>
      </c>
      <c r="B663" s="21">
        <v>206.03309999999999</v>
      </c>
      <c r="C663">
        <v>248.1446</v>
      </c>
      <c r="D663">
        <v>130.88208</v>
      </c>
      <c r="E663" s="22">
        <v>100.78834903969167</v>
      </c>
    </row>
    <row r="664" spans="1:5" x14ac:dyDescent="0.4">
      <c r="A664" s="27">
        <v>42961</v>
      </c>
      <c r="B664" s="21">
        <v>208.21010000000001</v>
      </c>
      <c r="C664">
        <v>248.02279999999999</v>
      </c>
      <c r="D664">
        <v>130.87819300000001</v>
      </c>
      <c r="E664" s="22">
        <v>100.78535577802654</v>
      </c>
    </row>
    <row r="665" spans="1:5" x14ac:dyDescent="0.4">
      <c r="A665" s="27">
        <v>42962</v>
      </c>
      <c r="B665" s="21">
        <v>208.40960000000001</v>
      </c>
      <c r="C665">
        <v>247.64009999999999</v>
      </c>
      <c r="D665">
        <v>130.87689700000001</v>
      </c>
      <c r="E665" s="22">
        <v>100.78435776744821</v>
      </c>
    </row>
    <row r="666" spans="1:5" x14ac:dyDescent="0.4">
      <c r="A666" s="27">
        <v>42963</v>
      </c>
      <c r="B666" s="21">
        <v>209.79259999999999</v>
      </c>
      <c r="C666">
        <v>247.5573</v>
      </c>
      <c r="D666">
        <v>130.87560199999999</v>
      </c>
      <c r="E666" s="22">
        <v>100.78336052693973</v>
      </c>
    </row>
    <row r="667" spans="1:5" x14ac:dyDescent="0.4">
      <c r="A667" s="27">
        <v>42964</v>
      </c>
      <c r="B667" s="21">
        <v>208.62739999999999</v>
      </c>
      <c r="C667">
        <v>247.6746</v>
      </c>
      <c r="D667">
        <v>130.87430599999999</v>
      </c>
      <c r="E667" s="22">
        <v>100.78236251636139</v>
      </c>
    </row>
    <row r="668" spans="1:5" x14ac:dyDescent="0.4">
      <c r="A668" s="27">
        <v>42965</v>
      </c>
      <c r="B668" s="21">
        <v>207.1576</v>
      </c>
      <c r="C668">
        <v>247.9881</v>
      </c>
      <c r="D668">
        <v>130.87300999999999</v>
      </c>
      <c r="E668" s="22">
        <v>100.78136450578306</v>
      </c>
    </row>
    <row r="669" spans="1:5" x14ac:dyDescent="0.4">
      <c r="A669" s="27">
        <v>42968</v>
      </c>
      <c r="B669" s="21">
        <v>206.31720000000001</v>
      </c>
      <c r="C669">
        <v>248.0421</v>
      </c>
      <c r="D669">
        <v>130.86911000000001</v>
      </c>
      <c r="E669" s="22">
        <v>100.77836123320934</v>
      </c>
    </row>
    <row r="670" spans="1:5" x14ac:dyDescent="0.4">
      <c r="A670" s="27">
        <v>42969</v>
      </c>
      <c r="B670" s="21">
        <v>208.0162</v>
      </c>
      <c r="C670">
        <v>247.79810000000001</v>
      </c>
      <c r="D670">
        <v>130.86781500000001</v>
      </c>
      <c r="E670" s="22">
        <v>100.7773639927009</v>
      </c>
    </row>
    <row r="671" spans="1:5" x14ac:dyDescent="0.4">
      <c r="A671" s="27">
        <v>42970</v>
      </c>
      <c r="B671" s="21">
        <v>207.0249</v>
      </c>
      <c r="C671">
        <v>247.98650000000001</v>
      </c>
      <c r="D671">
        <v>130.86651900000001</v>
      </c>
      <c r="E671" s="22">
        <v>100.77636598212254</v>
      </c>
    </row>
    <row r="672" spans="1:5" x14ac:dyDescent="0.4">
      <c r="A672" s="27">
        <v>42971</v>
      </c>
      <c r="B672" s="21">
        <v>207.4134</v>
      </c>
      <c r="C672">
        <v>247.87379999999999</v>
      </c>
      <c r="D672">
        <v>130.86522299999999</v>
      </c>
      <c r="E672" s="22">
        <v>100.77536797154418</v>
      </c>
    </row>
    <row r="673" spans="1:5" x14ac:dyDescent="0.4">
      <c r="A673" s="27">
        <v>42972</v>
      </c>
      <c r="B673" s="21">
        <v>207.18270000000001</v>
      </c>
      <c r="C673">
        <v>247.82769999999999</v>
      </c>
      <c r="D673">
        <v>130.86392799999999</v>
      </c>
      <c r="E673" s="22">
        <v>100.77437073103575</v>
      </c>
    </row>
    <row r="674" spans="1:5" x14ac:dyDescent="0.4">
      <c r="A674" s="27">
        <v>42976</v>
      </c>
      <c r="B674" s="21">
        <v>204.1045</v>
      </c>
      <c r="C674">
        <v>248.4144</v>
      </c>
      <c r="D674">
        <v>130.858733</v>
      </c>
      <c r="E674" s="22">
        <v>100.77037021795358</v>
      </c>
    </row>
    <row r="675" spans="1:5" x14ac:dyDescent="0.4">
      <c r="A675" s="27">
        <v>42977</v>
      </c>
      <c r="B675" s="21">
        <v>205.50899999999999</v>
      </c>
      <c r="C675">
        <v>248.18969999999999</v>
      </c>
      <c r="D675">
        <v>130.85742400000001</v>
      </c>
      <c r="E675" s="22">
        <v>100.76936219646666</v>
      </c>
    </row>
    <row r="676" spans="1:5" x14ac:dyDescent="0.4">
      <c r="A676" s="27">
        <v>42978</v>
      </c>
      <c r="B676" s="21">
        <v>207.059</v>
      </c>
      <c r="C676">
        <v>248.26130000000001</v>
      </c>
      <c r="D676">
        <v>130.85611499999999</v>
      </c>
      <c r="E676" s="22">
        <v>100.76835417497973</v>
      </c>
    </row>
    <row r="677" spans="1:5" x14ac:dyDescent="0.4">
      <c r="A677" s="27">
        <v>42979</v>
      </c>
      <c r="B677" s="21">
        <v>208.31489999999999</v>
      </c>
      <c r="C677">
        <v>247.95050000000001</v>
      </c>
      <c r="D677">
        <v>130.854859</v>
      </c>
      <c r="E677" s="22">
        <v>100.76738696719703</v>
      </c>
    </row>
    <row r="678" spans="1:5" x14ac:dyDescent="0.4">
      <c r="A678" s="27">
        <v>42982</v>
      </c>
      <c r="B678" s="21">
        <v>207.23330000000001</v>
      </c>
      <c r="C678">
        <v>248.19030000000001</v>
      </c>
      <c r="D678">
        <v>130.85097300000001</v>
      </c>
      <c r="E678" s="22">
        <v>100.76439447560179</v>
      </c>
    </row>
    <row r="679" spans="1:5" x14ac:dyDescent="0.4">
      <c r="A679" s="27">
        <v>42983</v>
      </c>
      <c r="B679" s="21">
        <v>206.9451</v>
      </c>
      <c r="C679">
        <v>248.6644</v>
      </c>
      <c r="D679">
        <v>130.84967700000001</v>
      </c>
      <c r="E679" s="22">
        <v>100.76339646502346</v>
      </c>
    </row>
    <row r="680" spans="1:5" x14ac:dyDescent="0.4">
      <c r="A680" s="27">
        <v>42984</v>
      </c>
      <c r="B680" s="21">
        <v>207.10140000000001</v>
      </c>
      <c r="C680">
        <v>248.48500000000001</v>
      </c>
      <c r="D680">
        <v>130.84838199999999</v>
      </c>
      <c r="E680" s="22">
        <v>100.76239922451498</v>
      </c>
    </row>
    <row r="681" spans="1:5" x14ac:dyDescent="0.4">
      <c r="A681" s="27">
        <v>42985</v>
      </c>
      <c r="B681" s="21">
        <v>207.69669999999999</v>
      </c>
      <c r="C681">
        <v>249.1078</v>
      </c>
      <c r="D681">
        <v>130.84708699999999</v>
      </c>
      <c r="E681" s="22">
        <v>100.76140198400651</v>
      </c>
    </row>
    <row r="682" spans="1:5" x14ac:dyDescent="0.4">
      <c r="A682" s="27">
        <v>42986</v>
      </c>
      <c r="B682" s="21">
        <v>207.9794</v>
      </c>
      <c r="C682">
        <v>248.7561</v>
      </c>
      <c r="D682">
        <v>130.84579099999999</v>
      </c>
      <c r="E682" s="22">
        <v>100.76040397342818</v>
      </c>
    </row>
    <row r="683" spans="1:5" x14ac:dyDescent="0.4">
      <c r="A683" s="27">
        <v>42989</v>
      </c>
      <c r="B683" s="21">
        <v>210.15629999999999</v>
      </c>
      <c r="C683">
        <v>248.63059999999999</v>
      </c>
      <c r="D683">
        <v>130.84199699999999</v>
      </c>
      <c r="E683" s="22">
        <v>100.7574823282629</v>
      </c>
    </row>
    <row r="684" spans="1:5" x14ac:dyDescent="0.4">
      <c r="A684" s="27">
        <v>42990</v>
      </c>
      <c r="B684" s="21">
        <v>211.2664</v>
      </c>
      <c r="C684">
        <v>247.86080000000001</v>
      </c>
      <c r="D684">
        <v>130.840701</v>
      </c>
      <c r="E684" s="22">
        <v>100.75648431768454</v>
      </c>
    </row>
    <row r="685" spans="1:5" x14ac:dyDescent="0.4">
      <c r="A685" s="27">
        <v>42991</v>
      </c>
      <c r="B685" s="21">
        <v>211.24780000000001</v>
      </c>
      <c r="C685">
        <v>247.77860000000001</v>
      </c>
      <c r="D685">
        <v>130.839406</v>
      </c>
      <c r="E685" s="22">
        <v>100.7554870771761</v>
      </c>
    </row>
    <row r="686" spans="1:5" x14ac:dyDescent="0.4">
      <c r="A686" s="27">
        <v>42992</v>
      </c>
      <c r="B686" s="21">
        <v>211.45699999999999</v>
      </c>
      <c r="C686">
        <v>247.6086</v>
      </c>
      <c r="D686">
        <v>130.838111</v>
      </c>
      <c r="E686" s="22">
        <v>100.75448983666763</v>
      </c>
    </row>
    <row r="687" spans="1:5" x14ac:dyDescent="0.4">
      <c r="A687" s="27">
        <v>42993</v>
      </c>
      <c r="B687" s="21">
        <v>210.81039999999999</v>
      </c>
      <c r="C687">
        <v>247.38059999999999</v>
      </c>
      <c r="D687">
        <v>130.83680200000001</v>
      </c>
      <c r="E687" s="22">
        <v>100.75348181518073</v>
      </c>
    </row>
    <row r="688" spans="1:5" x14ac:dyDescent="0.4">
      <c r="A688" s="27">
        <v>42996</v>
      </c>
      <c r="B688" s="21">
        <v>211.5301</v>
      </c>
      <c r="C688">
        <v>247.2945</v>
      </c>
      <c r="D688">
        <v>130.832877</v>
      </c>
      <c r="E688" s="22">
        <v>100.75045929085972</v>
      </c>
    </row>
    <row r="689" spans="1:5" x14ac:dyDescent="0.4">
      <c r="A689" s="27">
        <v>42997</v>
      </c>
      <c r="B689" s="21">
        <v>211.6061</v>
      </c>
      <c r="C689">
        <v>247.50819999999999</v>
      </c>
      <c r="D689">
        <v>130.83155600000001</v>
      </c>
      <c r="E689" s="22">
        <v>100.74944202853413</v>
      </c>
    </row>
    <row r="690" spans="1:5" x14ac:dyDescent="0.4">
      <c r="A690" s="27">
        <v>42998</v>
      </c>
      <c r="B690" s="21">
        <v>211.54769999999999</v>
      </c>
      <c r="C690">
        <v>247.63079999999999</v>
      </c>
      <c r="D690">
        <v>130.83024700000001</v>
      </c>
      <c r="E690" s="22">
        <v>100.74843400704722</v>
      </c>
    </row>
    <row r="691" spans="1:5" x14ac:dyDescent="0.4">
      <c r="A691" s="27">
        <v>42999</v>
      </c>
      <c r="B691" s="21">
        <v>212.12479999999999</v>
      </c>
      <c r="C691">
        <v>247.3647</v>
      </c>
      <c r="D691">
        <v>130.82893899999999</v>
      </c>
      <c r="E691" s="22">
        <v>100.74742675563017</v>
      </c>
    </row>
    <row r="692" spans="1:5" x14ac:dyDescent="0.4">
      <c r="A692" s="27">
        <v>43000</v>
      </c>
      <c r="B692" s="21">
        <v>212.3038</v>
      </c>
      <c r="C692">
        <v>247.34530000000001</v>
      </c>
      <c r="D692">
        <v>130.82760500000001</v>
      </c>
      <c r="E692" s="22">
        <v>100.74639948239599</v>
      </c>
    </row>
    <row r="693" spans="1:5" x14ac:dyDescent="0.4">
      <c r="A693" s="27">
        <v>43003</v>
      </c>
      <c r="B693" s="21">
        <v>212.75309999999999</v>
      </c>
      <c r="C693">
        <v>247.90690000000001</v>
      </c>
      <c r="D693">
        <v>130.82369299999999</v>
      </c>
      <c r="E693" s="22">
        <v>100.74338696898357</v>
      </c>
    </row>
    <row r="694" spans="1:5" x14ac:dyDescent="0.4">
      <c r="A694" s="27">
        <v>43004</v>
      </c>
      <c r="B694" s="21">
        <v>212.90969999999999</v>
      </c>
      <c r="C694">
        <v>247.73349999999999</v>
      </c>
      <c r="D694">
        <v>130.822385</v>
      </c>
      <c r="E694" s="22">
        <v>100.74237971756655</v>
      </c>
    </row>
    <row r="695" spans="1:5" x14ac:dyDescent="0.4">
      <c r="A695" s="27">
        <v>43005</v>
      </c>
      <c r="B695" s="21">
        <v>213.75059999999999</v>
      </c>
      <c r="C695">
        <v>247.19309999999999</v>
      </c>
      <c r="D695">
        <v>130.821077</v>
      </c>
      <c r="E695" s="22">
        <v>100.74137246614954</v>
      </c>
    </row>
    <row r="696" spans="1:5" x14ac:dyDescent="0.4">
      <c r="A696" s="27">
        <v>43006</v>
      </c>
      <c r="B696" s="21">
        <v>214.12029999999999</v>
      </c>
      <c r="C696">
        <v>247.08760000000001</v>
      </c>
      <c r="D696">
        <v>130.81976800000001</v>
      </c>
      <c r="E696" s="22">
        <v>100.74036444466262</v>
      </c>
    </row>
    <row r="697" spans="1:5" x14ac:dyDescent="0.4">
      <c r="A697" s="27">
        <v>43007</v>
      </c>
      <c r="B697" s="21">
        <v>215.1036</v>
      </c>
      <c r="C697">
        <v>247.31739999999999</v>
      </c>
      <c r="D697">
        <v>130.81845999999999</v>
      </c>
      <c r="E697" s="22">
        <v>100.73935719324555</v>
      </c>
    </row>
    <row r="698" spans="1:5" x14ac:dyDescent="0.4">
      <c r="A698" s="27">
        <v>43010</v>
      </c>
      <c r="B698" s="21">
        <v>216.21700000000001</v>
      </c>
      <c r="C698">
        <v>247.35579999999999</v>
      </c>
      <c r="D698">
        <v>130.81465299999999</v>
      </c>
      <c r="E698" s="22">
        <v>100.73642553717168</v>
      </c>
    </row>
    <row r="699" spans="1:5" x14ac:dyDescent="0.4">
      <c r="A699" s="27">
        <v>43011</v>
      </c>
      <c r="B699" s="21">
        <v>216.53059999999999</v>
      </c>
      <c r="C699">
        <v>247.17689999999999</v>
      </c>
      <c r="D699">
        <v>130.81335799999999</v>
      </c>
      <c r="E699" s="22">
        <v>100.73542829666324</v>
      </c>
    </row>
    <row r="700" spans="1:5" x14ac:dyDescent="0.4">
      <c r="A700" s="27">
        <v>43012</v>
      </c>
      <c r="B700" s="21">
        <v>216.34970000000001</v>
      </c>
      <c r="C700">
        <v>247.1412</v>
      </c>
      <c r="D700">
        <v>130.81206299999999</v>
      </c>
      <c r="E700" s="22">
        <v>100.73443105615479</v>
      </c>
    </row>
    <row r="701" spans="1:5" x14ac:dyDescent="0.4">
      <c r="A701" s="27">
        <v>43013</v>
      </c>
      <c r="B701" s="21">
        <v>216.8005</v>
      </c>
      <c r="C701">
        <v>247.2704</v>
      </c>
      <c r="D701">
        <v>130.810755</v>
      </c>
      <c r="E701" s="22">
        <v>100.73342380473775</v>
      </c>
    </row>
    <row r="702" spans="1:5" x14ac:dyDescent="0.4">
      <c r="A702" s="27">
        <v>43014</v>
      </c>
      <c r="B702" s="21">
        <v>215.928</v>
      </c>
      <c r="C702">
        <v>247.17789999999999</v>
      </c>
      <c r="D702">
        <v>130.80944700000001</v>
      </c>
      <c r="E702" s="22">
        <v>100.73241655332072</v>
      </c>
    </row>
    <row r="703" spans="1:5" x14ac:dyDescent="0.4">
      <c r="A703" s="27">
        <v>43017</v>
      </c>
      <c r="B703" s="21">
        <v>216.34219999999999</v>
      </c>
      <c r="C703">
        <v>247.54810000000001</v>
      </c>
      <c r="D703">
        <v>130.80553599999999</v>
      </c>
      <c r="E703" s="22">
        <v>100.72940480997821</v>
      </c>
    </row>
    <row r="704" spans="1:5" x14ac:dyDescent="0.4">
      <c r="A704" s="27">
        <v>43018</v>
      </c>
      <c r="B704" s="21">
        <v>216.30369999999999</v>
      </c>
      <c r="C704">
        <v>247.49799999999999</v>
      </c>
      <c r="D704">
        <v>130.80422799999999</v>
      </c>
      <c r="E704" s="22">
        <v>100.72839755856118</v>
      </c>
    </row>
    <row r="705" spans="1:5" x14ac:dyDescent="0.4">
      <c r="A705" s="27">
        <v>43019</v>
      </c>
      <c r="B705" s="21">
        <v>216.31489999999999</v>
      </c>
      <c r="C705">
        <v>247.46549999999999</v>
      </c>
      <c r="D705">
        <v>130.80292</v>
      </c>
      <c r="E705" s="22">
        <v>100.72739030714415</v>
      </c>
    </row>
    <row r="706" spans="1:5" x14ac:dyDescent="0.4">
      <c r="A706" s="27">
        <v>43020</v>
      </c>
      <c r="B706" s="21">
        <v>216.4238</v>
      </c>
      <c r="C706">
        <v>247.715</v>
      </c>
      <c r="D706">
        <v>130.80159900000001</v>
      </c>
      <c r="E706" s="22">
        <v>100.72637304481856</v>
      </c>
    </row>
    <row r="707" spans="1:5" x14ac:dyDescent="0.4">
      <c r="A707" s="27">
        <v>43021</v>
      </c>
      <c r="B707" s="21">
        <v>217.03809999999999</v>
      </c>
      <c r="C707">
        <v>248.29519999999999</v>
      </c>
      <c r="D707">
        <v>130.80029099999999</v>
      </c>
      <c r="E707" s="22">
        <v>100.72536579340149</v>
      </c>
    </row>
    <row r="708" spans="1:5" x14ac:dyDescent="0.4">
      <c r="A708" s="27">
        <v>43024</v>
      </c>
      <c r="B708" s="21">
        <v>217.04570000000001</v>
      </c>
      <c r="C708">
        <v>248.73159999999999</v>
      </c>
      <c r="D708">
        <v>130.79638</v>
      </c>
      <c r="E708" s="22">
        <v>100.72235405005901</v>
      </c>
    </row>
    <row r="709" spans="1:5" x14ac:dyDescent="0.4">
      <c r="A709" s="27">
        <v>43025</v>
      </c>
      <c r="B709" s="21">
        <v>216.56229999999999</v>
      </c>
      <c r="C709">
        <v>248.95429999999999</v>
      </c>
      <c r="D709">
        <v>130.795072</v>
      </c>
      <c r="E709" s="22">
        <v>100.72134679864197</v>
      </c>
    </row>
    <row r="710" spans="1:5" x14ac:dyDescent="0.4">
      <c r="A710" s="27">
        <v>43026</v>
      </c>
      <c r="B710" s="21">
        <v>217.18719999999999</v>
      </c>
      <c r="C710">
        <v>248.53489999999999</v>
      </c>
      <c r="D710">
        <v>130.79376400000001</v>
      </c>
      <c r="E710" s="22">
        <v>100.72033954722495</v>
      </c>
    </row>
    <row r="711" spans="1:5" x14ac:dyDescent="0.4">
      <c r="A711" s="27">
        <v>43027</v>
      </c>
      <c r="B711" s="21">
        <v>215.94720000000001</v>
      </c>
      <c r="C711">
        <v>248.58070000000001</v>
      </c>
      <c r="D711">
        <v>130.79245599999999</v>
      </c>
      <c r="E711" s="22">
        <v>100.7193322958079</v>
      </c>
    </row>
    <row r="712" spans="1:5" x14ac:dyDescent="0.4">
      <c r="A712" s="27">
        <v>43028</v>
      </c>
      <c r="B712" s="21">
        <v>216.51660000000001</v>
      </c>
      <c r="C712">
        <v>247.92789999999999</v>
      </c>
      <c r="D712">
        <v>130.79114799999999</v>
      </c>
      <c r="E712" s="22">
        <v>100.71832504439087</v>
      </c>
    </row>
    <row r="713" spans="1:5" x14ac:dyDescent="0.4">
      <c r="A713" s="27">
        <v>43031</v>
      </c>
      <c r="B713" s="21">
        <v>216.8544</v>
      </c>
      <c r="C713">
        <v>248.30869999999999</v>
      </c>
      <c r="D713">
        <v>130.78721100000001</v>
      </c>
      <c r="E713" s="22">
        <v>100.7152932792312</v>
      </c>
    </row>
    <row r="714" spans="1:5" x14ac:dyDescent="0.4">
      <c r="A714" s="27">
        <v>43032</v>
      </c>
      <c r="B714" s="21">
        <v>216.1071</v>
      </c>
      <c r="C714">
        <v>247.81549999999999</v>
      </c>
      <c r="D714">
        <v>130.78588999999999</v>
      </c>
      <c r="E714" s="22">
        <v>100.71427601690559</v>
      </c>
    </row>
    <row r="715" spans="1:5" x14ac:dyDescent="0.4">
      <c r="A715" s="27">
        <v>43033</v>
      </c>
      <c r="B715" s="21">
        <v>214.821</v>
      </c>
      <c r="C715">
        <v>247.79329999999999</v>
      </c>
      <c r="D715">
        <v>130.784582</v>
      </c>
      <c r="E715" s="22">
        <v>100.71326876548856</v>
      </c>
    </row>
    <row r="716" spans="1:5" x14ac:dyDescent="0.4">
      <c r="A716" s="27">
        <v>43034</v>
      </c>
      <c r="B716" s="21">
        <v>217.0926</v>
      </c>
      <c r="C716">
        <v>248.37370000000001</v>
      </c>
      <c r="D716">
        <v>130.78326100000001</v>
      </c>
      <c r="E716" s="22">
        <v>100.71225150316296</v>
      </c>
    </row>
    <row r="717" spans="1:5" x14ac:dyDescent="0.4">
      <c r="A717" s="27">
        <v>43035</v>
      </c>
      <c r="B717" s="21">
        <v>218.33959999999999</v>
      </c>
      <c r="C717">
        <v>248.90960000000001</v>
      </c>
      <c r="D717">
        <v>130.78193999999999</v>
      </c>
      <c r="E717" s="22">
        <v>100.71123424083734</v>
      </c>
    </row>
    <row r="718" spans="1:5" x14ac:dyDescent="0.4">
      <c r="A718" s="27">
        <v>43038</v>
      </c>
      <c r="B718" s="21">
        <v>218.59350000000001</v>
      </c>
      <c r="C718">
        <v>249.5317</v>
      </c>
      <c r="D718">
        <v>130.77801700000001</v>
      </c>
      <c r="E718" s="22">
        <v>100.70821325665615</v>
      </c>
    </row>
    <row r="719" spans="1:5" x14ac:dyDescent="0.4">
      <c r="A719" s="27">
        <v>43039</v>
      </c>
      <c r="B719" s="21">
        <v>219.3152</v>
      </c>
      <c r="C719">
        <v>249.75810000000001</v>
      </c>
      <c r="D719">
        <v>130.776748</v>
      </c>
      <c r="E719" s="22">
        <v>100.70723603796485</v>
      </c>
    </row>
    <row r="720" spans="1:5" x14ac:dyDescent="0.4">
      <c r="A720" s="27">
        <v>43040</v>
      </c>
      <c r="B720" s="21">
        <v>220.13579999999999</v>
      </c>
      <c r="C720">
        <v>249.79929999999999</v>
      </c>
      <c r="D720">
        <v>130.77547999999999</v>
      </c>
      <c r="E720" s="22">
        <v>100.70625958934345</v>
      </c>
    </row>
    <row r="721" spans="1:5" x14ac:dyDescent="0.4">
      <c r="A721" s="27">
        <v>43041</v>
      </c>
      <c r="B721" s="21">
        <v>219.24799999999999</v>
      </c>
      <c r="C721">
        <v>249.80539999999999</v>
      </c>
      <c r="D721">
        <v>130.77421100000001</v>
      </c>
      <c r="E721" s="22">
        <v>100.70528237065217</v>
      </c>
    </row>
    <row r="722" spans="1:5" x14ac:dyDescent="0.4">
      <c r="A722" s="27">
        <v>43042</v>
      </c>
      <c r="B722" s="21">
        <v>219.77959999999999</v>
      </c>
      <c r="C722">
        <v>249.8699</v>
      </c>
      <c r="D722">
        <v>130.77293</v>
      </c>
      <c r="E722" s="22">
        <v>100.70429591112217</v>
      </c>
    </row>
    <row r="723" spans="1:5" x14ac:dyDescent="0.4">
      <c r="A723" s="27">
        <v>43045</v>
      </c>
      <c r="B723" s="21">
        <v>220.14089999999999</v>
      </c>
      <c r="C723">
        <v>250.19409999999999</v>
      </c>
      <c r="D723">
        <v>130.76908499999999</v>
      </c>
      <c r="E723" s="22">
        <v>100.70133499239245</v>
      </c>
    </row>
    <row r="724" spans="1:5" x14ac:dyDescent="0.4">
      <c r="A724" s="27">
        <v>43046</v>
      </c>
      <c r="B724" s="21">
        <v>219.05160000000001</v>
      </c>
      <c r="C724">
        <v>250.5949</v>
      </c>
      <c r="D724">
        <v>130.76780299999999</v>
      </c>
      <c r="E724" s="22">
        <v>100.70034776279257</v>
      </c>
    </row>
    <row r="725" spans="1:5" x14ac:dyDescent="0.4">
      <c r="A725" s="27">
        <v>43047</v>
      </c>
      <c r="B725" s="21">
        <v>219.0326</v>
      </c>
      <c r="C725">
        <v>250.4812</v>
      </c>
      <c r="D725">
        <v>130.76650900000001</v>
      </c>
      <c r="E725" s="22">
        <v>100.69935129235404</v>
      </c>
    </row>
    <row r="726" spans="1:5" x14ac:dyDescent="0.4">
      <c r="A726" s="27">
        <v>43048</v>
      </c>
      <c r="B726" s="21">
        <v>216.73570000000001</v>
      </c>
      <c r="C726">
        <v>249.53380000000001</v>
      </c>
      <c r="D726">
        <v>130.76521399999999</v>
      </c>
      <c r="E726" s="22">
        <v>100.69835405184556</v>
      </c>
    </row>
    <row r="727" spans="1:5" x14ac:dyDescent="0.4">
      <c r="A727" s="27">
        <v>43049</v>
      </c>
      <c r="B727" s="21">
        <v>215.93219999999999</v>
      </c>
      <c r="C727">
        <v>249.15790000000001</v>
      </c>
      <c r="D727">
        <v>130.76392000000001</v>
      </c>
      <c r="E727" s="22">
        <v>100.697357581407</v>
      </c>
    </row>
    <row r="728" spans="1:5" x14ac:dyDescent="0.4">
      <c r="A728" s="27">
        <v>43052</v>
      </c>
      <c r="B728" s="21">
        <v>214.60310000000001</v>
      </c>
      <c r="C728">
        <v>249.18270000000001</v>
      </c>
      <c r="D728">
        <v>130.76003600000001</v>
      </c>
      <c r="E728" s="22">
        <v>100.69436662995155</v>
      </c>
    </row>
    <row r="729" spans="1:5" x14ac:dyDescent="0.4">
      <c r="A729" s="27">
        <v>43053</v>
      </c>
      <c r="B729" s="21">
        <v>213.2509</v>
      </c>
      <c r="C729">
        <v>249.42699999999999</v>
      </c>
      <c r="D729">
        <v>130.75874099999999</v>
      </c>
      <c r="E729" s="22">
        <v>100.69336938944306</v>
      </c>
    </row>
    <row r="730" spans="1:5" x14ac:dyDescent="0.4">
      <c r="A730" s="27">
        <v>43054</v>
      </c>
      <c r="B730" s="21">
        <v>212.20320000000001</v>
      </c>
      <c r="C730">
        <v>249.55600000000001</v>
      </c>
      <c r="D730">
        <v>130.75744700000001</v>
      </c>
      <c r="E730" s="22">
        <v>100.69237291900454</v>
      </c>
    </row>
    <row r="731" spans="1:5" x14ac:dyDescent="0.4">
      <c r="A731" s="27">
        <v>43055</v>
      </c>
      <c r="B731" s="21">
        <v>213.7877</v>
      </c>
      <c r="C731">
        <v>249.5369</v>
      </c>
      <c r="D731">
        <v>130.75615199999999</v>
      </c>
      <c r="E731" s="22">
        <v>100.69137567849606</v>
      </c>
    </row>
    <row r="732" spans="1:5" x14ac:dyDescent="0.4">
      <c r="A732" s="27">
        <v>43056</v>
      </c>
      <c r="B732" s="21">
        <v>213.16229999999999</v>
      </c>
      <c r="C732">
        <v>249.68629999999999</v>
      </c>
      <c r="D732">
        <v>130.75485800000001</v>
      </c>
      <c r="E732" s="22">
        <v>100.69037920805752</v>
      </c>
    </row>
    <row r="733" spans="1:5" x14ac:dyDescent="0.4">
      <c r="A733" s="27">
        <v>43059</v>
      </c>
      <c r="B733" s="21">
        <v>214.61150000000001</v>
      </c>
      <c r="C733">
        <v>249.91890000000001</v>
      </c>
      <c r="D733">
        <v>130.75094799999999</v>
      </c>
      <c r="E733" s="22">
        <v>100.68736823478488</v>
      </c>
    </row>
    <row r="734" spans="1:5" x14ac:dyDescent="0.4">
      <c r="A734" s="27">
        <v>43060</v>
      </c>
      <c r="B734" s="21">
        <v>215.5307</v>
      </c>
      <c r="C734">
        <v>250.2895</v>
      </c>
      <c r="D734">
        <v>130.74965399999999</v>
      </c>
      <c r="E734" s="22">
        <v>100.68637176434632</v>
      </c>
    </row>
    <row r="735" spans="1:5" x14ac:dyDescent="0.4">
      <c r="A735" s="27">
        <v>43061</v>
      </c>
      <c r="B735" s="21">
        <v>214.94589999999999</v>
      </c>
      <c r="C735">
        <v>250.30799999999999</v>
      </c>
      <c r="D735">
        <v>130.748346</v>
      </c>
      <c r="E735" s="22">
        <v>100.68536451292928</v>
      </c>
    </row>
    <row r="736" spans="1:5" x14ac:dyDescent="0.4">
      <c r="A736" s="27">
        <v>43062</v>
      </c>
      <c r="B736" s="21">
        <v>215.0016</v>
      </c>
      <c r="C736">
        <v>250.27209999999999</v>
      </c>
      <c r="D736">
        <v>130.747052</v>
      </c>
      <c r="E736" s="22">
        <v>100.68436804249075</v>
      </c>
    </row>
    <row r="737" spans="1:5" x14ac:dyDescent="0.4">
      <c r="A737" s="27">
        <v>43063</v>
      </c>
      <c r="B737" s="21">
        <v>214.72739999999999</v>
      </c>
      <c r="C737">
        <v>250.0026</v>
      </c>
      <c r="D737">
        <v>130.745745</v>
      </c>
      <c r="E737" s="22">
        <v>100.68336156114358</v>
      </c>
    </row>
    <row r="738" spans="1:5" x14ac:dyDescent="0.4">
      <c r="A738" s="27">
        <v>43066</v>
      </c>
      <c r="B738" s="21">
        <v>213.72909999999999</v>
      </c>
      <c r="C738">
        <v>250.31010000000001</v>
      </c>
      <c r="D738">
        <v>130.74183500000001</v>
      </c>
      <c r="E738" s="22">
        <v>100.68035058787099</v>
      </c>
    </row>
    <row r="739" spans="1:5" x14ac:dyDescent="0.4">
      <c r="A739" s="27">
        <v>43067</v>
      </c>
      <c r="B739" s="21">
        <v>215.0256</v>
      </c>
      <c r="C739">
        <v>250.36709999999999</v>
      </c>
      <c r="D739">
        <v>130.74051499999999</v>
      </c>
      <c r="E739" s="22">
        <v>100.67933409561525</v>
      </c>
    </row>
    <row r="740" spans="1:5" x14ac:dyDescent="0.4">
      <c r="A740" s="27">
        <v>43068</v>
      </c>
      <c r="B740" s="21">
        <v>215.49860000000001</v>
      </c>
      <c r="C740">
        <v>249.8553</v>
      </c>
      <c r="D740">
        <v>130.739194</v>
      </c>
      <c r="E740" s="22">
        <v>100.67831683328964</v>
      </c>
    </row>
    <row r="741" spans="1:5" x14ac:dyDescent="0.4">
      <c r="A741" s="27">
        <v>43069</v>
      </c>
      <c r="B741" s="21">
        <v>214.7467</v>
      </c>
      <c r="C741">
        <v>250.18960000000001</v>
      </c>
      <c r="D741">
        <v>130.73809600000001</v>
      </c>
      <c r="E741" s="22">
        <v>100.67747129654967</v>
      </c>
    </row>
    <row r="742" spans="1:5" x14ac:dyDescent="0.4">
      <c r="A742" s="27">
        <v>43070</v>
      </c>
      <c r="B742" s="21">
        <v>213.24459999999999</v>
      </c>
      <c r="C742">
        <v>251.10650000000001</v>
      </c>
      <c r="D742">
        <v>130.73722000000001</v>
      </c>
      <c r="E742" s="22">
        <v>100.67679671532541</v>
      </c>
    </row>
    <row r="743" spans="1:5" x14ac:dyDescent="0.4">
      <c r="A743" s="27">
        <v>43073</v>
      </c>
      <c r="B743" s="21">
        <v>215.19059999999999</v>
      </c>
      <c r="C743">
        <v>250.79</v>
      </c>
      <c r="D743">
        <v>130.73405600000001</v>
      </c>
      <c r="E743" s="22">
        <v>100.67436021419125</v>
      </c>
    </row>
    <row r="744" spans="1:5" x14ac:dyDescent="0.4">
      <c r="A744" s="27">
        <v>43074</v>
      </c>
      <c r="B744" s="21">
        <v>214.83529999999999</v>
      </c>
      <c r="C744">
        <v>250.99639999999999</v>
      </c>
      <c r="D744">
        <v>130.73289299999999</v>
      </c>
      <c r="E744" s="22">
        <v>100.67346462290836</v>
      </c>
    </row>
    <row r="745" spans="1:5" x14ac:dyDescent="0.4">
      <c r="A745" s="27">
        <v>43075</v>
      </c>
      <c r="B745" s="21">
        <v>214.7944</v>
      </c>
      <c r="C745">
        <v>251.22620000000001</v>
      </c>
      <c r="D745">
        <v>130.73171600000001</v>
      </c>
      <c r="E745" s="22">
        <v>100.67255825064703</v>
      </c>
    </row>
    <row r="746" spans="1:5" x14ac:dyDescent="0.4">
      <c r="A746" s="27">
        <v>43076</v>
      </c>
      <c r="B746" s="21">
        <v>214.84389999999999</v>
      </c>
      <c r="C746">
        <v>251.34100000000001</v>
      </c>
      <c r="D746">
        <v>130.730527</v>
      </c>
      <c r="E746" s="22">
        <v>100.67164263754698</v>
      </c>
    </row>
    <row r="747" spans="1:5" x14ac:dyDescent="0.4">
      <c r="A747" s="27">
        <v>43077</v>
      </c>
      <c r="B747" s="21">
        <v>216.38650000000001</v>
      </c>
      <c r="C747">
        <v>251.2801</v>
      </c>
      <c r="D747">
        <v>130.72933699999999</v>
      </c>
      <c r="E747" s="22">
        <v>100.67072625437706</v>
      </c>
    </row>
    <row r="748" spans="1:5" x14ac:dyDescent="0.4">
      <c r="A748" s="27">
        <v>43080</v>
      </c>
      <c r="B748" s="21">
        <v>216.32769999999999</v>
      </c>
      <c r="C748">
        <v>251.33160000000001</v>
      </c>
      <c r="D748">
        <v>130.72575499999999</v>
      </c>
      <c r="E748" s="22">
        <v>100.66796786402858</v>
      </c>
    </row>
    <row r="749" spans="1:5" x14ac:dyDescent="0.4">
      <c r="A749" s="27">
        <v>43081</v>
      </c>
      <c r="B749" s="21">
        <v>217.8399</v>
      </c>
      <c r="C749">
        <v>250.90620000000001</v>
      </c>
      <c r="D749">
        <v>130.72455199999999</v>
      </c>
      <c r="E749" s="22">
        <v>100.66704146995006</v>
      </c>
    </row>
    <row r="750" spans="1:5" x14ac:dyDescent="0.4">
      <c r="A750" s="27">
        <v>43082</v>
      </c>
      <c r="B750" s="21">
        <v>217.30359999999999</v>
      </c>
      <c r="C750">
        <v>250.6722</v>
      </c>
      <c r="D750">
        <v>130.723297</v>
      </c>
      <c r="E750" s="22">
        <v>100.66607503223726</v>
      </c>
    </row>
    <row r="751" spans="1:5" x14ac:dyDescent="0.4">
      <c r="A751" s="27">
        <v>43083</v>
      </c>
      <c r="B751" s="21">
        <v>216.27969999999999</v>
      </c>
      <c r="C751">
        <v>250.67490000000001</v>
      </c>
      <c r="D751">
        <v>130.72199000000001</v>
      </c>
      <c r="E751" s="22">
        <v>100.66506855089013</v>
      </c>
    </row>
    <row r="752" spans="1:5" x14ac:dyDescent="0.4">
      <c r="A752" s="27">
        <v>43084</v>
      </c>
      <c r="B752" s="21">
        <v>215.92580000000001</v>
      </c>
      <c r="C752">
        <v>250.822</v>
      </c>
      <c r="D752">
        <v>130.72067000000001</v>
      </c>
      <c r="E752" s="22">
        <v>100.6640520586344</v>
      </c>
    </row>
    <row r="753" spans="1:5" x14ac:dyDescent="0.4">
      <c r="A753" s="27">
        <v>43087</v>
      </c>
      <c r="B753" s="21">
        <v>218.40090000000001</v>
      </c>
      <c r="C753">
        <v>250.87280000000001</v>
      </c>
      <c r="D753">
        <v>130.716722</v>
      </c>
      <c r="E753" s="22">
        <v>100.66101182270593</v>
      </c>
    </row>
    <row r="754" spans="1:5" x14ac:dyDescent="0.4">
      <c r="A754" s="27">
        <v>43088</v>
      </c>
      <c r="B754" s="21">
        <v>217.4717</v>
      </c>
      <c r="C754">
        <v>249.922</v>
      </c>
      <c r="D754">
        <v>130.715428</v>
      </c>
      <c r="E754" s="22">
        <v>100.66001535226737</v>
      </c>
    </row>
    <row r="755" spans="1:5" x14ac:dyDescent="0.4">
      <c r="A755" s="27">
        <v>43089</v>
      </c>
      <c r="B755" s="21">
        <v>215.96080000000001</v>
      </c>
      <c r="C755">
        <v>249.3312</v>
      </c>
      <c r="D755">
        <v>130.71415999999999</v>
      </c>
      <c r="E755" s="22">
        <v>100.65903890364596</v>
      </c>
    </row>
    <row r="756" spans="1:5" x14ac:dyDescent="0.4">
      <c r="A756" s="27">
        <v>43090</v>
      </c>
      <c r="B756" s="21">
        <v>217.30179999999999</v>
      </c>
      <c r="C756">
        <v>249.33539999999999</v>
      </c>
      <c r="D756">
        <v>130.71286599999999</v>
      </c>
      <c r="E756" s="22">
        <v>100.6580424332074</v>
      </c>
    </row>
    <row r="757" spans="1:5" x14ac:dyDescent="0.4">
      <c r="A757" s="27">
        <v>43091</v>
      </c>
      <c r="B757" s="21">
        <v>217.05879999999999</v>
      </c>
      <c r="C757">
        <v>249.364</v>
      </c>
      <c r="D757">
        <v>130.71158500000001</v>
      </c>
      <c r="E757" s="22">
        <v>100.65705597367742</v>
      </c>
    </row>
    <row r="758" spans="1:5" x14ac:dyDescent="0.4">
      <c r="A758" s="27">
        <v>43096</v>
      </c>
      <c r="B758" s="21">
        <v>217.1498</v>
      </c>
      <c r="C758">
        <v>249.66409999999999</v>
      </c>
      <c r="D758">
        <v>130.70518000000001</v>
      </c>
      <c r="E758" s="22">
        <v>100.65212367602751</v>
      </c>
    </row>
    <row r="759" spans="1:5" x14ac:dyDescent="0.4">
      <c r="A759" s="27">
        <v>43097</v>
      </c>
      <c r="B759" s="21">
        <v>216.62299999999999</v>
      </c>
      <c r="C759">
        <v>249.02809999999999</v>
      </c>
      <c r="D759">
        <v>130.70388600000001</v>
      </c>
      <c r="E759" s="22">
        <v>100.65112720558895</v>
      </c>
    </row>
    <row r="760" spans="1:5" x14ac:dyDescent="0.4">
      <c r="A760" s="27">
        <v>43098</v>
      </c>
      <c r="B760" s="21">
        <v>216.45060000000001</v>
      </c>
      <c r="C760">
        <v>248.68870000000001</v>
      </c>
      <c r="D760">
        <v>130.70259200000001</v>
      </c>
      <c r="E760" s="22">
        <v>100.65013073515038</v>
      </c>
    </row>
    <row r="761" spans="1:5" x14ac:dyDescent="0.4">
      <c r="A761" s="27">
        <v>43102</v>
      </c>
      <c r="B761" s="21">
        <v>215.9444</v>
      </c>
      <c r="C761">
        <v>248.15119999999999</v>
      </c>
      <c r="D761">
        <v>130.69757300000001</v>
      </c>
      <c r="E761" s="22">
        <v>100.646265754369</v>
      </c>
    </row>
    <row r="762" spans="1:5" x14ac:dyDescent="0.4">
      <c r="A762" s="27">
        <v>43103</v>
      </c>
      <c r="B762" s="21">
        <v>216.96459999999999</v>
      </c>
      <c r="C762">
        <v>248.53700000000001</v>
      </c>
      <c r="D762">
        <v>130.69622699999999</v>
      </c>
      <c r="E762" s="22">
        <v>100.6452292402961</v>
      </c>
    </row>
    <row r="763" spans="1:5" x14ac:dyDescent="0.4">
      <c r="A763" s="27">
        <v>43104</v>
      </c>
      <c r="B763" s="21">
        <v>218.92349999999999</v>
      </c>
      <c r="C763">
        <v>248.73570000000001</v>
      </c>
      <c r="D763">
        <v>130.69493299999999</v>
      </c>
      <c r="E763" s="22">
        <v>100.64423276985754</v>
      </c>
    </row>
    <row r="764" spans="1:5" x14ac:dyDescent="0.4">
      <c r="A764" s="27">
        <v>43105</v>
      </c>
      <c r="B764" s="21">
        <v>220.94309999999999</v>
      </c>
      <c r="C764">
        <v>248.84440000000001</v>
      </c>
      <c r="D764">
        <v>130.69363899999999</v>
      </c>
      <c r="E764" s="22">
        <v>100.64323629941899</v>
      </c>
    </row>
    <row r="765" spans="1:5" x14ac:dyDescent="0.4">
      <c r="A765" s="27">
        <v>43108</v>
      </c>
      <c r="B765" s="21">
        <v>221.5582</v>
      </c>
      <c r="C765">
        <v>249.09039999999999</v>
      </c>
      <c r="D765">
        <v>130.69234499999999</v>
      </c>
      <c r="E765" s="22">
        <v>100.64223982898042</v>
      </c>
    </row>
    <row r="766" spans="1:5" x14ac:dyDescent="0.4">
      <c r="A766" s="27">
        <v>43109</v>
      </c>
      <c r="B766" s="21">
        <v>222.52529999999999</v>
      </c>
      <c r="C766">
        <v>248.55629999999999</v>
      </c>
      <c r="D766">
        <v>130.69105099999999</v>
      </c>
      <c r="E766" s="22">
        <v>100.64124335854186</v>
      </c>
    </row>
    <row r="767" spans="1:5" x14ac:dyDescent="0.4">
      <c r="A767" s="27">
        <v>43110</v>
      </c>
      <c r="B767" s="21">
        <v>221.78219999999999</v>
      </c>
      <c r="C767">
        <v>248.33170000000001</v>
      </c>
      <c r="D767">
        <v>130.68975800000001</v>
      </c>
      <c r="E767" s="22">
        <v>100.64024765817321</v>
      </c>
    </row>
    <row r="768" spans="1:5" x14ac:dyDescent="0.4">
      <c r="A768" s="27">
        <v>43111</v>
      </c>
      <c r="B768" s="21">
        <v>221.0566</v>
      </c>
      <c r="C768">
        <v>247.78229999999999</v>
      </c>
      <c r="D768">
        <v>130.688411</v>
      </c>
      <c r="E768" s="22">
        <v>100.63921037403043</v>
      </c>
    </row>
    <row r="769" spans="1:5" x14ac:dyDescent="0.4">
      <c r="A769" s="27">
        <v>43112</v>
      </c>
      <c r="B769" s="21">
        <v>221.69139999999999</v>
      </c>
      <c r="C769">
        <v>248.05369999999999</v>
      </c>
      <c r="D769">
        <v>130.687105</v>
      </c>
      <c r="E769" s="22">
        <v>100.63820466275317</v>
      </c>
    </row>
    <row r="770" spans="1:5" x14ac:dyDescent="0.4">
      <c r="A770" s="27">
        <v>43115</v>
      </c>
      <c r="B770" s="21">
        <v>221.35429999999999</v>
      </c>
      <c r="C770">
        <v>247.9776</v>
      </c>
      <c r="D770">
        <v>130.68319700000001</v>
      </c>
      <c r="E770" s="22">
        <v>100.63519522962035</v>
      </c>
    </row>
    <row r="771" spans="1:5" x14ac:dyDescent="0.4">
      <c r="A771" s="27">
        <v>43116</v>
      </c>
      <c r="B771" s="21">
        <v>221.59030000000001</v>
      </c>
      <c r="C771">
        <v>248.43100000000001</v>
      </c>
      <c r="D771">
        <v>130.68186399999999</v>
      </c>
      <c r="E771" s="22">
        <v>100.63416872645602</v>
      </c>
    </row>
    <row r="772" spans="1:5" x14ac:dyDescent="0.4">
      <c r="A772" s="27">
        <v>43117</v>
      </c>
      <c r="B772" s="21">
        <v>221.35820000000001</v>
      </c>
      <c r="C772">
        <v>248.47540000000001</v>
      </c>
      <c r="D772">
        <v>130.68051800000001</v>
      </c>
      <c r="E772" s="22">
        <v>100.63313221238317</v>
      </c>
    </row>
    <row r="773" spans="1:5" x14ac:dyDescent="0.4">
      <c r="A773" s="27">
        <v>43118</v>
      </c>
      <c r="B773" s="21">
        <v>221.8038</v>
      </c>
      <c r="C773">
        <v>248.28870000000001</v>
      </c>
      <c r="D773">
        <v>130.67919800000001</v>
      </c>
      <c r="E773" s="22">
        <v>100.63211572012744</v>
      </c>
    </row>
    <row r="774" spans="1:5" x14ac:dyDescent="0.4">
      <c r="A774" s="27">
        <v>43119</v>
      </c>
      <c r="B774" s="21">
        <v>222.9803</v>
      </c>
      <c r="C774">
        <v>248.4648</v>
      </c>
      <c r="D774">
        <v>130.677852</v>
      </c>
      <c r="E774" s="22">
        <v>100.63107920605457</v>
      </c>
    </row>
    <row r="775" spans="1:5" x14ac:dyDescent="0.4">
      <c r="A775" s="27">
        <v>43122</v>
      </c>
      <c r="B775" s="21">
        <v>223.71719999999999</v>
      </c>
      <c r="C775">
        <v>248.703</v>
      </c>
      <c r="D775">
        <v>130.67390599999999</v>
      </c>
      <c r="E775" s="22">
        <v>100.62804051026586</v>
      </c>
    </row>
    <row r="776" spans="1:5" x14ac:dyDescent="0.4">
      <c r="A776" s="27">
        <v>43123</v>
      </c>
      <c r="B776" s="21">
        <v>224.0556</v>
      </c>
      <c r="C776">
        <v>248.8416</v>
      </c>
      <c r="D776">
        <v>130.672586</v>
      </c>
      <c r="E776" s="22">
        <v>100.62702401801016</v>
      </c>
    </row>
    <row r="777" spans="1:5" x14ac:dyDescent="0.4">
      <c r="A777" s="27">
        <v>43124</v>
      </c>
      <c r="B777" s="21">
        <v>222.90110000000001</v>
      </c>
      <c r="C777">
        <v>248.5395</v>
      </c>
      <c r="D777">
        <v>130.671266</v>
      </c>
      <c r="E777" s="22">
        <v>100.62600752575443</v>
      </c>
    </row>
    <row r="778" spans="1:5" x14ac:dyDescent="0.4">
      <c r="A778" s="27">
        <v>43125</v>
      </c>
      <c r="B778" s="21">
        <v>221.66640000000001</v>
      </c>
      <c r="C778">
        <v>248.2116</v>
      </c>
      <c r="D778">
        <v>130.66994600000001</v>
      </c>
      <c r="E778" s="22">
        <v>100.62499103349873</v>
      </c>
    </row>
    <row r="779" spans="1:5" x14ac:dyDescent="0.4">
      <c r="A779" s="27">
        <v>43126</v>
      </c>
      <c r="B779" s="21">
        <v>222.74770000000001</v>
      </c>
      <c r="C779">
        <v>248.02119999999999</v>
      </c>
      <c r="D779">
        <v>130.66862699999999</v>
      </c>
      <c r="E779" s="22">
        <v>100.62397531131289</v>
      </c>
    </row>
    <row r="780" spans="1:5" x14ac:dyDescent="0.4">
      <c r="A780" s="27">
        <v>43129</v>
      </c>
      <c r="B780" s="21">
        <v>222.36449999999999</v>
      </c>
      <c r="C780">
        <v>247.34700000000001</v>
      </c>
      <c r="D780">
        <v>130.66466700000001</v>
      </c>
      <c r="E780" s="22">
        <v>100.62092583454574</v>
      </c>
    </row>
    <row r="781" spans="1:5" x14ac:dyDescent="0.4">
      <c r="A781" s="27">
        <v>43130</v>
      </c>
      <c r="B781" s="21">
        <v>220.35919999999999</v>
      </c>
      <c r="C781">
        <v>247.45269999999999</v>
      </c>
      <c r="D781">
        <v>130.66334800000001</v>
      </c>
      <c r="E781" s="22">
        <v>100.61991011235992</v>
      </c>
    </row>
    <row r="782" spans="1:5" x14ac:dyDescent="0.4">
      <c r="A782" s="27">
        <v>43131</v>
      </c>
      <c r="B782" s="21">
        <v>219.91669999999999</v>
      </c>
      <c r="C782">
        <v>247.56489999999999</v>
      </c>
      <c r="D782">
        <v>130.66204099999999</v>
      </c>
      <c r="E782" s="22">
        <v>100.61890363101276</v>
      </c>
    </row>
    <row r="783" spans="1:5" x14ac:dyDescent="0.4">
      <c r="A783" s="27">
        <v>43132</v>
      </c>
      <c r="B783" s="21">
        <v>218.75479999999999</v>
      </c>
      <c r="C783">
        <v>247.6326</v>
      </c>
      <c r="D783">
        <v>130.66074699999999</v>
      </c>
      <c r="E783" s="22">
        <v>100.61790716057419</v>
      </c>
    </row>
    <row r="784" spans="1:5" x14ac:dyDescent="0.4">
      <c r="A784" s="27">
        <v>43133</v>
      </c>
      <c r="B784" s="21">
        <v>215.77209999999999</v>
      </c>
      <c r="C784">
        <v>247.0393</v>
      </c>
      <c r="D784">
        <v>130.65942799999999</v>
      </c>
      <c r="E784" s="22">
        <v>100.61689143838836</v>
      </c>
    </row>
    <row r="785" spans="1:5" x14ac:dyDescent="0.4">
      <c r="A785" s="27">
        <v>43136</v>
      </c>
      <c r="B785" s="21">
        <v>212.43119999999999</v>
      </c>
      <c r="C785">
        <v>247.1371</v>
      </c>
      <c r="D785">
        <v>130.65548200000001</v>
      </c>
      <c r="E785" s="22">
        <v>100.61385274259969</v>
      </c>
    </row>
    <row r="786" spans="1:5" x14ac:dyDescent="0.4">
      <c r="A786" s="27">
        <v>43137</v>
      </c>
      <c r="B786" s="21">
        <v>207.2379</v>
      </c>
      <c r="C786">
        <v>247.72020000000001</v>
      </c>
      <c r="D786">
        <v>130.65414899999999</v>
      </c>
      <c r="E786" s="22">
        <v>100.61282623943538</v>
      </c>
    </row>
    <row r="787" spans="1:5" x14ac:dyDescent="0.4">
      <c r="A787" s="27">
        <v>43138</v>
      </c>
      <c r="B787" s="21">
        <v>211.27180000000001</v>
      </c>
      <c r="C787">
        <v>247.5925</v>
      </c>
      <c r="D787">
        <v>130.652816</v>
      </c>
      <c r="E787" s="22">
        <v>100.6117997362711</v>
      </c>
    </row>
    <row r="788" spans="1:5" x14ac:dyDescent="0.4">
      <c r="A788" s="27">
        <v>43139</v>
      </c>
      <c r="B788" s="21">
        <v>207.93129999999999</v>
      </c>
      <c r="C788">
        <v>247.0966</v>
      </c>
      <c r="D788">
        <v>130.65149700000001</v>
      </c>
      <c r="E788" s="22">
        <v>100.61078401408527</v>
      </c>
    </row>
    <row r="789" spans="1:5" x14ac:dyDescent="0.4">
      <c r="A789" s="27">
        <v>43140</v>
      </c>
      <c r="B789" s="21">
        <v>204.86799999999999</v>
      </c>
      <c r="C789">
        <v>247.1045</v>
      </c>
      <c r="D789">
        <v>130.65017700000001</v>
      </c>
      <c r="E789" s="22">
        <v>100.60976752182955</v>
      </c>
    </row>
    <row r="790" spans="1:5" x14ac:dyDescent="0.4">
      <c r="A790" s="27">
        <v>43143</v>
      </c>
      <c r="B790" s="21">
        <v>207.3305</v>
      </c>
      <c r="C790">
        <v>247.14590000000001</v>
      </c>
      <c r="D790">
        <v>130.64620600000001</v>
      </c>
      <c r="E790" s="22">
        <v>100.60670957429359</v>
      </c>
    </row>
    <row r="791" spans="1:5" x14ac:dyDescent="0.4">
      <c r="A791" s="27">
        <v>43144</v>
      </c>
      <c r="B791" s="21">
        <v>206.0239</v>
      </c>
      <c r="C791">
        <v>246.82400000000001</v>
      </c>
      <c r="D791">
        <v>130.64488600000001</v>
      </c>
      <c r="E791" s="22">
        <v>100.60569308203789</v>
      </c>
    </row>
    <row r="792" spans="1:5" x14ac:dyDescent="0.4">
      <c r="A792" s="27">
        <v>43145</v>
      </c>
      <c r="B792" s="21">
        <v>208.17670000000001</v>
      </c>
      <c r="C792">
        <v>246.76990000000001</v>
      </c>
      <c r="D792">
        <v>130.64356599999999</v>
      </c>
      <c r="E792" s="22">
        <v>100.60467658978214</v>
      </c>
    </row>
    <row r="793" spans="1:5" x14ac:dyDescent="0.4">
      <c r="A793" s="27">
        <v>43146</v>
      </c>
      <c r="B793" s="21">
        <v>209.39259999999999</v>
      </c>
      <c r="C793">
        <v>246.7012</v>
      </c>
      <c r="D793">
        <v>130.642247</v>
      </c>
      <c r="E793" s="22">
        <v>100.60366086759632</v>
      </c>
    </row>
    <row r="794" spans="1:5" x14ac:dyDescent="0.4">
      <c r="A794" s="27">
        <v>43147</v>
      </c>
      <c r="B794" s="21">
        <v>211.6653</v>
      </c>
      <c r="C794">
        <v>247.3203</v>
      </c>
      <c r="D794">
        <v>130.640928</v>
      </c>
      <c r="E794" s="22">
        <v>100.60264514541051</v>
      </c>
    </row>
    <row r="795" spans="1:5" x14ac:dyDescent="0.4">
      <c r="A795" s="27">
        <v>43150</v>
      </c>
      <c r="B795" s="21">
        <v>210.34119999999999</v>
      </c>
      <c r="C795">
        <v>246.89179999999999</v>
      </c>
      <c r="D795">
        <v>130.636943</v>
      </c>
      <c r="E795" s="22">
        <v>100.59957641689607</v>
      </c>
    </row>
    <row r="796" spans="1:5" x14ac:dyDescent="0.4">
      <c r="A796" s="27">
        <v>43151</v>
      </c>
      <c r="B796" s="21">
        <v>211.6283</v>
      </c>
      <c r="C796">
        <v>246.87090000000001</v>
      </c>
      <c r="D796">
        <v>130.63561000000001</v>
      </c>
      <c r="E796" s="22">
        <v>100.59854991373179</v>
      </c>
    </row>
    <row r="797" spans="1:5" x14ac:dyDescent="0.4">
      <c r="A797" s="27">
        <v>43152</v>
      </c>
      <c r="B797" s="21">
        <v>211.9853</v>
      </c>
      <c r="C797">
        <v>246.9864</v>
      </c>
      <c r="D797">
        <v>130.63427799999999</v>
      </c>
      <c r="E797" s="22">
        <v>100.59752418063736</v>
      </c>
    </row>
    <row r="798" spans="1:5" x14ac:dyDescent="0.4">
      <c r="A798" s="27">
        <v>43153</v>
      </c>
      <c r="B798" s="21">
        <v>211.7569</v>
      </c>
      <c r="C798">
        <v>247.00139999999999</v>
      </c>
      <c r="D798">
        <v>130.632946</v>
      </c>
      <c r="E798" s="22">
        <v>100.59649844754297</v>
      </c>
    </row>
    <row r="799" spans="1:5" x14ac:dyDescent="0.4">
      <c r="A799" s="27">
        <v>43154</v>
      </c>
      <c r="B799" s="21">
        <v>212.2056</v>
      </c>
      <c r="C799">
        <v>247.4984</v>
      </c>
      <c r="D799">
        <v>130.63161299999999</v>
      </c>
      <c r="E799" s="22">
        <v>100.59547194437866</v>
      </c>
    </row>
    <row r="800" spans="1:5" x14ac:dyDescent="0.4">
      <c r="A800" s="27">
        <v>43157</v>
      </c>
      <c r="B800" s="21">
        <v>213.3057</v>
      </c>
      <c r="C800">
        <v>247.72489999999999</v>
      </c>
      <c r="D800">
        <v>130.62760299999999</v>
      </c>
      <c r="E800" s="22">
        <v>100.59238396411696</v>
      </c>
    </row>
    <row r="801" spans="1:5" x14ac:dyDescent="0.4">
      <c r="A801" s="27">
        <v>43158</v>
      </c>
      <c r="B801" s="21">
        <v>212.90979999999999</v>
      </c>
      <c r="C801">
        <v>247.59360000000001</v>
      </c>
      <c r="D801">
        <v>130.62625700000001</v>
      </c>
      <c r="E801" s="22">
        <v>100.5913474500441</v>
      </c>
    </row>
    <row r="802" spans="1:5" x14ac:dyDescent="0.4">
      <c r="A802" s="27">
        <v>43159</v>
      </c>
      <c r="B802" s="21">
        <v>211.41980000000001</v>
      </c>
      <c r="C802">
        <v>247.85929999999999</v>
      </c>
      <c r="D802">
        <v>130.62495100000001</v>
      </c>
      <c r="E802" s="22">
        <v>100.59034173876684</v>
      </c>
    </row>
    <row r="803" spans="1:5" x14ac:dyDescent="0.4">
      <c r="A803" s="27">
        <v>43160</v>
      </c>
      <c r="B803" s="21">
        <v>208.86340000000001</v>
      </c>
      <c r="C803">
        <v>248.10290000000001</v>
      </c>
      <c r="D803">
        <v>130.623684</v>
      </c>
      <c r="E803" s="22">
        <v>100.58936606021534</v>
      </c>
    </row>
    <row r="804" spans="1:5" x14ac:dyDescent="0.4">
      <c r="A804" s="27">
        <v>43161</v>
      </c>
      <c r="B804" s="21">
        <v>204.44329999999999</v>
      </c>
      <c r="C804">
        <v>248.04349999999999</v>
      </c>
      <c r="D804">
        <v>130.622378</v>
      </c>
      <c r="E804" s="22">
        <v>100.58836034893808</v>
      </c>
    </row>
    <row r="805" spans="1:5" x14ac:dyDescent="0.4">
      <c r="A805" s="27">
        <v>43164</v>
      </c>
      <c r="B805" s="21">
        <v>206.58629999999999</v>
      </c>
      <c r="C805">
        <v>248.0258</v>
      </c>
      <c r="D805">
        <v>130.61843300000001</v>
      </c>
      <c r="E805" s="22">
        <v>100.5853224232193</v>
      </c>
    </row>
    <row r="806" spans="1:5" x14ac:dyDescent="0.4">
      <c r="A806" s="27">
        <v>43165</v>
      </c>
      <c r="B806" s="21">
        <v>206.9265</v>
      </c>
      <c r="C806">
        <v>247.6919</v>
      </c>
      <c r="D806">
        <v>130.61711399999999</v>
      </c>
      <c r="E806" s="22">
        <v>100.58430670103344</v>
      </c>
    </row>
    <row r="807" spans="1:5" x14ac:dyDescent="0.4">
      <c r="A807" s="27">
        <v>43166</v>
      </c>
      <c r="B807" s="21">
        <v>207.59180000000001</v>
      </c>
      <c r="C807">
        <v>248.02420000000001</v>
      </c>
      <c r="D807">
        <v>130.61579399999999</v>
      </c>
      <c r="E807" s="22">
        <v>100.58329020877774</v>
      </c>
    </row>
    <row r="808" spans="1:5" x14ac:dyDescent="0.4">
      <c r="A808" s="27">
        <v>43167</v>
      </c>
      <c r="B808" s="21">
        <v>209.7801</v>
      </c>
      <c r="C808">
        <v>248.50210000000001</v>
      </c>
      <c r="D808">
        <v>130.614475</v>
      </c>
      <c r="E808" s="22">
        <v>100.58227448659191</v>
      </c>
    </row>
    <row r="809" spans="1:5" x14ac:dyDescent="0.4">
      <c r="A809" s="27">
        <v>43168</v>
      </c>
      <c r="B809" s="21">
        <v>210.6429</v>
      </c>
      <c r="C809">
        <v>248.19550000000001</v>
      </c>
      <c r="D809">
        <v>130.613169</v>
      </c>
      <c r="E809" s="22">
        <v>100.58126877531465</v>
      </c>
    </row>
    <row r="810" spans="1:5" x14ac:dyDescent="0.4">
      <c r="A810" s="27">
        <v>43171</v>
      </c>
      <c r="B810" s="21">
        <v>211.18109999999999</v>
      </c>
      <c r="C810">
        <v>248.4973</v>
      </c>
      <c r="D810">
        <v>130.609238</v>
      </c>
      <c r="E810" s="22">
        <v>100.57824163057434</v>
      </c>
    </row>
    <row r="811" spans="1:5" x14ac:dyDescent="0.4">
      <c r="A811" s="27">
        <v>43172</v>
      </c>
      <c r="B811" s="21">
        <v>209.0778</v>
      </c>
      <c r="C811">
        <v>248.61949999999999</v>
      </c>
      <c r="D811">
        <v>130.60791800000001</v>
      </c>
      <c r="E811" s="22">
        <v>100.57722513831861</v>
      </c>
    </row>
    <row r="812" spans="1:5" x14ac:dyDescent="0.4">
      <c r="A812" s="27">
        <v>43173</v>
      </c>
      <c r="B812" s="21">
        <v>208.7851</v>
      </c>
      <c r="C812">
        <v>248.81229999999999</v>
      </c>
      <c r="D812">
        <v>130.60659899999999</v>
      </c>
      <c r="E812" s="22">
        <v>100.57620941613277</v>
      </c>
    </row>
    <row r="813" spans="1:5" x14ac:dyDescent="0.4">
      <c r="A813" s="27">
        <v>43174</v>
      </c>
      <c r="B813" s="21">
        <v>209.96559999999999</v>
      </c>
      <c r="C813">
        <v>248.95840000000001</v>
      </c>
      <c r="D813">
        <v>130.60527999999999</v>
      </c>
      <c r="E813" s="22">
        <v>100.57519369394696</v>
      </c>
    </row>
    <row r="814" spans="1:5" x14ac:dyDescent="0.4">
      <c r="A814" s="27">
        <v>43175</v>
      </c>
      <c r="B814" s="21">
        <v>210.56639999999999</v>
      </c>
      <c r="C814">
        <v>249.03</v>
      </c>
      <c r="D814">
        <v>130.603948</v>
      </c>
      <c r="E814" s="22">
        <v>100.57416796085255</v>
      </c>
    </row>
    <row r="815" spans="1:5" x14ac:dyDescent="0.4">
      <c r="A815" s="27">
        <v>43178</v>
      </c>
      <c r="B815" s="21">
        <v>208.26609999999999</v>
      </c>
      <c r="C815">
        <v>249.11519999999999</v>
      </c>
      <c r="D815">
        <v>130.599965</v>
      </c>
      <c r="E815" s="22">
        <v>100.57110077247791</v>
      </c>
    </row>
    <row r="816" spans="1:5" x14ac:dyDescent="0.4">
      <c r="A816" s="27">
        <v>43179</v>
      </c>
      <c r="B816" s="21">
        <v>209.37119999999999</v>
      </c>
      <c r="C816">
        <v>249.2071</v>
      </c>
      <c r="D816">
        <v>130.59863200000001</v>
      </c>
      <c r="E816" s="22">
        <v>100.57007426931361</v>
      </c>
    </row>
    <row r="817" spans="1:5" x14ac:dyDescent="0.4">
      <c r="A817" s="27">
        <v>43180</v>
      </c>
      <c r="B817" s="21">
        <v>209.0718</v>
      </c>
      <c r="C817">
        <v>248.9864</v>
      </c>
      <c r="D817">
        <v>130.59729999999999</v>
      </c>
      <c r="E817" s="22">
        <v>100.5690485362192</v>
      </c>
    </row>
    <row r="818" spans="1:5" x14ac:dyDescent="0.4">
      <c r="A818" s="27">
        <v>43181</v>
      </c>
      <c r="B818" s="21">
        <v>205.94210000000001</v>
      </c>
      <c r="C818">
        <v>249.84209999999999</v>
      </c>
      <c r="D818">
        <v>130.595968</v>
      </c>
      <c r="E818" s="22">
        <v>100.5680228031248</v>
      </c>
    </row>
    <row r="819" spans="1:5" x14ac:dyDescent="0.4">
      <c r="A819" s="27">
        <v>43182</v>
      </c>
      <c r="B819" s="21">
        <v>204.09960000000001</v>
      </c>
      <c r="C819">
        <v>249.7784</v>
      </c>
      <c r="D819">
        <v>130.59463600000001</v>
      </c>
      <c r="E819" s="22">
        <v>100.56699707003038</v>
      </c>
    </row>
    <row r="820" spans="1:5" x14ac:dyDescent="0.4">
      <c r="A820" s="27">
        <v>43185</v>
      </c>
      <c r="B820" s="21">
        <v>202.70920000000001</v>
      </c>
      <c r="C820">
        <v>249.71199999999999</v>
      </c>
      <c r="D820">
        <v>130.590653</v>
      </c>
      <c r="E820" s="22">
        <v>100.56392988165574</v>
      </c>
    </row>
    <row r="821" spans="1:5" x14ac:dyDescent="0.4">
      <c r="A821" s="27">
        <v>43186</v>
      </c>
      <c r="B821" s="21">
        <v>205.20169999999999</v>
      </c>
      <c r="C821">
        <v>250.14940000000001</v>
      </c>
      <c r="D821">
        <v>130.58932100000001</v>
      </c>
      <c r="E821" s="22">
        <v>100.56290414856134</v>
      </c>
    </row>
    <row r="822" spans="1:5" x14ac:dyDescent="0.4">
      <c r="A822" s="27">
        <v>43187</v>
      </c>
      <c r="B822" s="21">
        <v>206.21090000000001</v>
      </c>
      <c r="C822">
        <v>250.233</v>
      </c>
      <c r="D822">
        <v>130.58798899999999</v>
      </c>
      <c r="E822" s="22">
        <v>100.56187841546694</v>
      </c>
    </row>
    <row r="823" spans="1:5" x14ac:dyDescent="0.4">
      <c r="A823" s="27">
        <v>43188</v>
      </c>
      <c r="B823" s="21">
        <v>207.14349999999999</v>
      </c>
      <c r="C823">
        <v>250.5103</v>
      </c>
      <c r="D823">
        <v>130.58667</v>
      </c>
      <c r="E823" s="22">
        <v>100.56086269328111</v>
      </c>
    </row>
    <row r="824" spans="1:5" x14ac:dyDescent="0.4">
      <c r="A824" s="27">
        <v>43189</v>
      </c>
      <c r="B824" s="21">
        <v>207.14349999999999</v>
      </c>
      <c r="C824">
        <v>250.5103</v>
      </c>
      <c r="D824">
        <v>130.58036300000001</v>
      </c>
      <c r="E824" s="22">
        <v>100.55600586248048</v>
      </c>
    </row>
    <row r="825" spans="1:5" x14ac:dyDescent="0.4">
      <c r="A825" s="27">
        <v>43192</v>
      </c>
      <c r="B825" s="21">
        <v>207.20769999999999</v>
      </c>
      <c r="C825">
        <v>250.5395</v>
      </c>
      <c r="D825">
        <v>130.58036300000001</v>
      </c>
      <c r="E825" s="22">
        <v>100.55600586248048</v>
      </c>
    </row>
    <row r="826" spans="1:5" x14ac:dyDescent="0.4">
      <c r="A826" s="27">
        <v>43193</v>
      </c>
      <c r="B826" s="21">
        <v>206.16069999999999</v>
      </c>
      <c r="C826">
        <v>250.37569999999999</v>
      </c>
      <c r="D826">
        <v>130.58036300000001</v>
      </c>
      <c r="E826" s="22">
        <v>100.55600586248048</v>
      </c>
    </row>
    <row r="827" spans="1:5" x14ac:dyDescent="0.4">
      <c r="A827" s="27">
        <v>43194</v>
      </c>
      <c r="B827" s="21">
        <v>205.3177</v>
      </c>
      <c r="C827">
        <v>250.6558</v>
      </c>
      <c r="D827">
        <v>130.57904400000001</v>
      </c>
      <c r="E827" s="22">
        <v>100.55499014029465</v>
      </c>
    </row>
    <row r="828" spans="1:5" x14ac:dyDescent="0.4">
      <c r="A828" s="27">
        <v>43195</v>
      </c>
      <c r="B828" s="21">
        <v>210.3492</v>
      </c>
      <c r="C828">
        <v>250.1841</v>
      </c>
      <c r="D828">
        <v>130.57772499999999</v>
      </c>
      <c r="E828" s="22">
        <v>100.55397441810881</v>
      </c>
    </row>
    <row r="829" spans="1:5" x14ac:dyDescent="0.4">
      <c r="A829" s="27">
        <v>43196</v>
      </c>
      <c r="B829" s="21">
        <v>209.78299999999999</v>
      </c>
      <c r="C829">
        <v>250.39169999999999</v>
      </c>
      <c r="D829">
        <v>130.576393</v>
      </c>
      <c r="E829" s="22">
        <v>100.55294868501441</v>
      </c>
    </row>
    <row r="830" spans="1:5" x14ac:dyDescent="0.4">
      <c r="A830" s="27">
        <v>43199</v>
      </c>
      <c r="B830" s="21">
        <v>210.06039999999999</v>
      </c>
      <c r="C830">
        <v>250.32679999999999</v>
      </c>
      <c r="D830">
        <v>130.572384</v>
      </c>
      <c r="E830" s="22">
        <v>100.54986147482261</v>
      </c>
    </row>
    <row r="831" spans="1:5" x14ac:dyDescent="0.4">
      <c r="A831" s="27">
        <v>43200</v>
      </c>
      <c r="B831" s="21">
        <v>211.8416</v>
      </c>
      <c r="C831">
        <v>250.06059999999999</v>
      </c>
      <c r="D831">
        <v>130.57105300000001</v>
      </c>
      <c r="E831" s="22">
        <v>100.54883651179811</v>
      </c>
    </row>
    <row r="832" spans="1:5" x14ac:dyDescent="0.4">
      <c r="A832" s="27">
        <v>43201</v>
      </c>
      <c r="B832" s="21">
        <v>210.6097</v>
      </c>
      <c r="C832">
        <v>250.39429999999999</v>
      </c>
      <c r="D832">
        <v>130.56972099999999</v>
      </c>
      <c r="E832" s="22">
        <v>100.54781077870368</v>
      </c>
    </row>
    <row r="833" spans="1:5" x14ac:dyDescent="0.4">
      <c r="A833" s="27">
        <v>43202</v>
      </c>
      <c r="B833" s="21">
        <v>212.02549999999999</v>
      </c>
      <c r="C833">
        <v>250.16390000000001</v>
      </c>
      <c r="D833">
        <v>130.56840199999999</v>
      </c>
      <c r="E833" s="22">
        <v>100.54679505651785</v>
      </c>
    </row>
    <row r="834" spans="1:5" x14ac:dyDescent="0.4">
      <c r="A834" s="27">
        <v>43203</v>
      </c>
      <c r="B834" s="21">
        <v>212.27010000000001</v>
      </c>
      <c r="C834">
        <v>250.28659999999999</v>
      </c>
      <c r="D834">
        <v>130.567083</v>
      </c>
      <c r="E834" s="22">
        <v>100.54577933433204</v>
      </c>
    </row>
    <row r="835" spans="1:5" x14ac:dyDescent="0.4">
      <c r="A835" s="27">
        <v>43206</v>
      </c>
      <c r="B835" s="21">
        <v>211.56549999999999</v>
      </c>
      <c r="C835">
        <v>250.1866</v>
      </c>
      <c r="D835">
        <v>130.56312700000001</v>
      </c>
      <c r="E835" s="22">
        <v>100.54273293784443</v>
      </c>
    </row>
    <row r="836" spans="1:5" x14ac:dyDescent="0.4">
      <c r="A836" s="27">
        <v>43207</v>
      </c>
      <c r="B836" s="21">
        <v>213.32740000000001</v>
      </c>
      <c r="C836">
        <v>250.50810000000001</v>
      </c>
      <c r="D836">
        <v>130.56179499999999</v>
      </c>
      <c r="E836" s="22">
        <v>100.54170720475003</v>
      </c>
    </row>
    <row r="837" spans="1:5" x14ac:dyDescent="0.4">
      <c r="A837" s="27">
        <v>43208</v>
      </c>
      <c r="B837" s="21">
        <v>213.97280000000001</v>
      </c>
      <c r="C837">
        <v>250.4042</v>
      </c>
      <c r="D837">
        <v>130.560464</v>
      </c>
      <c r="E837" s="22">
        <v>100.54068224172552</v>
      </c>
    </row>
    <row r="838" spans="1:5" x14ac:dyDescent="0.4">
      <c r="A838" s="27">
        <v>43209</v>
      </c>
      <c r="B838" s="21">
        <v>214.09540000000001</v>
      </c>
      <c r="C838">
        <v>249.62379999999999</v>
      </c>
      <c r="D838">
        <v>130.55913200000001</v>
      </c>
      <c r="E838" s="22">
        <v>100.5396565086311</v>
      </c>
    </row>
    <row r="839" spans="1:5" x14ac:dyDescent="0.4">
      <c r="A839" s="27">
        <v>43210</v>
      </c>
      <c r="B839" s="21">
        <v>214.11689999999999</v>
      </c>
      <c r="C839">
        <v>249.55019999999999</v>
      </c>
      <c r="D839">
        <v>130.55779999999999</v>
      </c>
      <c r="E839" s="22">
        <v>100.53863077553669</v>
      </c>
    </row>
    <row r="840" spans="1:5" x14ac:dyDescent="0.4">
      <c r="A840" s="27">
        <v>43213</v>
      </c>
      <c r="B840" s="21">
        <v>214.8853</v>
      </c>
      <c r="C840">
        <v>249.25970000000001</v>
      </c>
      <c r="D840">
        <v>130.55379199999999</v>
      </c>
      <c r="E840" s="22">
        <v>100.53554433541478</v>
      </c>
    </row>
    <row r="841" spans="1:5" x14ac:dyDescent="0.4">
      <c r="A841" s="27">
        <v>43214</v>
      </c>
      <c r="B841" s="21">
        <v>214.96979999999999</v>
      </c>
      <c r="C841">
        <v>249.27879999999999</v>
      </c>
      <c r="D841">
        <v>130.55246</v>
      </c>
      <c r="E841" s="22">
        <v>100.53451860232039</v>
      </c>
    </row>
    <row r="842" spans="1:5" x14ac:dyDescent="0.4">
      <c r="A842" s="27">
        <v>43215</v>
      </c>
      <c r="B842" s="21">
        <v>213.47499999999999</v>
      </c>
      <c r="C842">
        <v>249.17949999999999</v>
      </c>
      <c r="D842">
        <v>130.551129</v>
      </c>
      <c r="E842" s="22">
        <v>100.53349363929587</v>
      </c>
    </row>
    <row r="843" spans="1:5" x14ac:dyDescent="0.4">
      <c r="A843" s="27">
        <v>43216</v>
      </c>
      <c r="B843" s="21">
        <v>215.57939999999999</v>
      </c>
      <c r="C843">
        <v>249.66679999999999</v>
      </c>
      <c r="D843">
        <v>130.54979700000001</v>
      </c>
      <c r="E843" s="22">
        <v>100.53246790620148</v>
      </c>
    </row>
    <row r="844" spans="1:5" x14ac:dyDescent="0.4">
      <c r="A844" s="27">
        <v>43217</v>
      </c>
      <c r="B844" s="21">
        <v>216.2157</v>
      </c>
      <c r="C844">
        <v>249.92679999999999</v>
      </c>
      <c r="D844">
        <v>130.54846599999999</v>
      </c>
      <c r="E844" s="22">
        <v>100.53144294317693</v>
      </c>
    </row>
    <row r="845" spans="1:5" x14ac:dyDescent="0.4">
      <c r="A845" s="27">
        <v>43220</v>
      </c>
      <c r="B845" s="21">
        <v>216.69</v>
      </c>
      <c r="C845">
        <v>249.86940000000001</v>
      </c>
      <c r="D845">
        <v>130.54447099999999</v>
      </c>
      <c r="E845" s="22">
        <v>100.52836651396359</v>
      </c>
    </row>
    <row r="846" spans="1:5" x14ac:dyDescent="0.4">
      <c r="A846" s="27">
        <v>43221</v>
      </c>
      <c r="B846" s="21">
        <v>216.44649999999999</v>
      </c>
      <c r="C846">
        <v>249.88220000000001</v>
      </c>
      <c r="D846">
        <v>130.541899</v>
      </c>
      <c r="E846" s="22">
        <v>100.52638589420475</v>
      </c>
    </row>
    <row r="847" spans="1:5" x14ac:dyDescent="0.4">
      <c r="A847" s="27">
        <v>43222</v>
      </c>
      <c r="B847" s="21">
        <v>217.82830000000001</v>
      </c>
      <c r="C847">
        <v>249.71940000000001</v>
      </c>
      <c r="D847">
        <v>130.541899</v>
      </c>
      <c r="E847" s="22">
        <v>100.52638589420475</v>
      </c>
    </row>
    <row r="848" spans="1:5" x14ac:dyDescent="0.4">
      <c r="A848" s="27">
        <v>43223</v>
      </c>
      <c r="B848" s="21">
        <v>216.28579999999999</v>
      </c>
      <c r="C848">
        <v>250.2079</v>
      </c>
      <c r="D848">
        <v>130.54060699999999</v>
      </c>
      <c r="E848" s="22">
        <v>100.52539096390596</v>
      </c>
    </row>
    <row r="849" spans="1:5" x14ac:dyDescent="0.4">
      <c r="A849" s="27">
        <v>43224</v>
      </c>
      <c r="B849" s="21">
        <v>217.8477</v>
      </c>
      <c r="C849">
        <v>249.85169999999999</v>
      </c>
      <c r="D849">
        <v>130.53930099999999</v>
      </c>
      <c r="E849" s="22">
        <v>100.5243852526287</v>
      </c>
    </row>
    <row r="850" spans="1:5" x14ac:dyDescent="0.4">
      <c r="A850" s="27">
        <v>43228</v>
      </c>
      <c r="B850" s="21">
        <v>219.57040000000001</v>
      </c>
      <c r="C850">
        <v>249.47460000000001</v>
      </c>
      <c r="D850">
        <v>130.53406699999999</v>
      </c>
      <c r="E850" s="22">
        <v>100.52035470682081</v>
      </c>
    </row>
    <row r="851" spans="1:5" x14ac:dyDescent="0.4">
      <c r="A851" s="27">
        <v>43229</v>
      </c>
      <c r="B851" s="21">
        <v>221.0694</v>
      </c>
      <c r="C851">
        <v>249.5087</v>
      </c>
      <c r="D851">
        <v>130.532748</v>
      </c>
      <c r="E851" s="22">
        <v>100.51933898463498</v>
      </c>
    </row>
    <row r="852" spans="1:5" x14ac:dyDescent="0.4">
      <c r="A852" s="27">
        <v>43230</v>
      </c>
      <c r="B852" s="21">
        <v>221.1121</v>
      </c>
      <c r="C852">
        <v>249.51249999999999</v>
      </c>
      <c r="D852">
        <v>130.531443</v>
      </c>
      <c r="E852" s="22">
        <v>100.51833404342763</v>
      </c>
    </row>
    <row r="853" spans="1:5" x14ac:dyDescent="0.4">
      <c r="A853" s="27">
        <v>43231</v>
      </c>
      <c r="B853" s="21">
        <v>221.44319999999999</v>
      </c>
      <c r="C853">
        <v>249.524</v>
      </c>
      <c r="D853">
        <v>130.530125</v>
      </c>
      <c r="E853" s="22">
        <v>100.51731909131168</v>
      </c>
    </row>
    <row r="854" spans="1:5" x14ac:dyDescent="0.4">
      <c r="A854" s="27">
        <v>43234</v>
      </c>
      <c r="B854" s="21">
        <v>221.488</v>
      </c>
      <c r="C854">
        <v>248.9615</v>
      </c>
      <c r="D854">
        <v>130.526196</v>
      </c>
      <c r="E854" s="22">
        <v>100.51429348671115</v>
      </c>
    </row>
    <row r="855" spans="1:5" x14ac:dyDescent="0.4">
      <c r="A855" s="27">
        <v>43235</v>
      </c>
      <c r="B855" s="21">
        <v>221.64529999999999</v>
      </c>
      <c r="C855">
        <v>248.56559999999999</v>
      </c>
      <c r="D855">
        <v>130.52489</v>
      </c>
      <c r="E855" s="22">
        <v>100.51328777543389</v>
      </c>
    </row>
    <row r="856" spans="1:5" x14ac:dyDescent="0.4">
      <c r="A856" s="27">
        <v>43236</v>
      </c>
      <c r="B856" s="21">
        <v>222.09970000000001</v>
      </c>
      <c r="C856">
        <v>248.26910000000001</v>
      </c>
      <c r="D856">
        <v>130.523585</v>
      </c>
      <c r="E856" s="22">
        <v>100.51228283422653</v>
      </c>
    </row>
    <row r="857" spans="1:5" x14ac:dyDescent="0.4">
      <c r="A857" s="27">
        <v>43237</v>
      </c>
      <c r="B857" s="21">
        <v>223.6035</v>
      </c>
      <c r="C857">
        <v>247.92699999999999</v>
      </c>
      <c r="D857">
        <v>130.522254</v>
      </c>
      <c r="E857" s="22">
        <v>100.51125787120201</v>
      </c>
    </row>
    <row r="858" spans="1:5" x14ac:dyDescent="0.4">
      <c r="A858" s="27">
        <v>43238</v>
      </c>
      <c r="B858" s="21">
        <v>223.1446</v>
      </c>
      <c r="C858">
        <v>248.11429999999999</v>
      </c>
      <c r="D858">
        <v>130.52093500000001</v>
      </c>
      <c r="E858" s="22">
        <v>100.51024214901618</v>
      </c>
    </row>
    <row r="859" spans="1:5" x14ac:dyDescent="0.4">
      <c r="A859" s="27">
        <v>43241</v>
      </c>
      <c r="B859" s="21">
        <v>223.9871</v>
      </c>
      <c r="C859">
        <v>247.84389999999999</v>
      </c>
      <c r="D859">
        <v>130.51690199999999</v>
      </c>
      <c r="E859" s="22">
        <v>100.507136457147</v>
      </c>
    </row>
    <row r="860" spans="1:5" x14ac:dyDescent="0.4">
      <c r="A860" s="27">
        <v>43242</v>
      </c>
      <c r="B860" s="21">
        <v>224.59010000000001</v>
      </c>
      <c r="C860">
        <v>247.83189999999999</v>
      </c>
      <c r="D860">
        <v>130.51557099999999</v>
      </c>
      <c r="E860" s="22">
        <v>100.50611149412249</v>
      </c>
    </row>
    <row r="861" spans="1:5" x14ac:dyDescent="0.4">
      <c r="A861" s="27">
        <v>43243</v>
      </c>
      <c r="B861" s="21">
        <v>222.02019999999999</v>
      </c>
      <c r="C861">
        <v>248.01990000000001</v>
      </c>
      <c r="D861">
        <v>130.514253</v>
      </c>
      <c r="E861" s="22">
        <v>100.50509654200654</v>
      </c>
    </row>
    <row r="862" spans="1:5" x14ac:dyDescent="0.4">
      <c r="A862" s="27">
        <v>43244</v>
      </c>
      <c r="B862" s="21">
        <v>220.77709999999999</v>
      </c>
      <c r="C862">
        <v>248.52459999999999</v>
      </c>
      <c r="D862">
        <v>130.512935</v>
      </c>
      <c r="E862" s="22">
        <v>100.50408158989062</v>
      </c>
    </row>
    <row r="863" spans="1:5" x14ac:dyDescent="0.4">
      <c r="A863" s="27">
        <v>43245</v>
      </c>
      <c r="B863" s="21">
        <v>221.05520000000001</v>
      </c>
      <c r="C863">
        <v>248.6156</v>
      </c>
      <c r="D863">
        <v>130.511617</v>
      </c>
      <c r="E863" s="22">
        <v>100.50306663777468</v>
      </c>
    </row>
    <row r="864" spans="1:5" x14ac:dyDescent="0.4">
      <c r="A864" s="27">
        <v>43249</v>
      </c>
      <c r="B864" s="21">
        <v>217.57140000000001</v>
      </c>
      <c r="C864">
        <v>247.5249</v>
      </c>
      <c r="D864">
        <v>130.506305</v>
      </c>
      <c r="E864" s="22">
        <v>100.49897602651529</v>
      </c>
    </row>
    <row r="865" spans="1:5" x14ac:dyDescent="0.4">
      <c r="A865" s="27">
        <v>43250</v>
      </c>
      <c r="B865" s="21">
        <v>218.3032</v>
      </c>
      <c r="C865">
        <v>247.20699999999999</v>
      </c>
      <c r="D865">
        <v>130.504987</v>
      </c>
      <c r="E865" s="22">
        <v>100.49796107439937</v>
      </c>
    </row>
    <row r="866" spans="1:5" x14ac:dyDescent="0.4">
      <c r="A866" s="27">
        <v>43251</v>
      </c>
      <c r="B866" s="21">
        <v>216.91890000000001</v>
      </c>
      <c r="C866">
        <v>248.13159999999999</v>
      </c>
      <c r="D866">
        <v>130.50369499999999</v>
      </c>
      <c r="E866" s="22">
        <v>100.49696614410057</v>
      </c>
    </row>
    <row r="867" spans="1:5" x14ac:dyDescent="0.4">
      <c r="A867" s="27">
        <v>43252</v>
      </c>
      <c r="B867" s="21">
        <v>219.0264</v>
      </c>
      <c r="C867">
        <v>248.18600000000001</v>
      </c>
      <c r="D867">
        <v>130.50241600000001</v>
      </c>
      <c r="E867" s="22">
        <v>100.49598122471039</v>
      </c>
    </row>
    <row r="868" spans="1:5" x14ac:dyDescent="0.4">
      <c r="A868" s="27">
        <v>43255</v>
      </c>
      <c r="B868" s="21">
        <v>219.68289999999999</v>
      </c>
      <c r="C868">
        <v>248.52449999999999</v>
      </c>
      <c r="D868">
        <v>130.498527</v>
      </c>
      <c r="E868" s="22">
        <v>100.49298642290547</v>
      </c>
    </row>
    <row r="869" spans="1:5" x14ac:dyDescent="0.4">
      <c r="A869" s="27">
        <v>43256</v>
      </c>
      <c r="B869" s="21">
        <v>218.98259999999999</v>
      </c>
      <c r="C869">
        <v>248.4016</v>
      </c>
      <c r="D869">
        <v>130.49723499999999</v>
      </c>
      <c r="E869" s="22">
        <v>100.49199149260669</v>
      </c>
    </row>
    <row r="870" spans="1:5" x14ac:dyDescent="0.4">
      <c r="A870" s="27">
        <v>43257</v>
      </c>
      <c r="B870" s="21">
        <v>218.91050000000001</v>
      </c>
      <c r="C870">
        <v>246.85130000000001</v>
      </c>
      <c r="D870">
        <v>130.49592999999999</v>
      </c>
      <c r="E870" s="22">
        <v>100.49098655139932</v>
      </c>
    </row>
    <row r="871" spans="1:5" x14ac:dyDescent="0.4">
      <c r="A871" s="27">
        <v>43258</v>
      </c>
      <c r="B871" s="21">
        <v>218.5102</v>
      </c>
      <c r="C871">
        <v>246.4229</v>
      </c>
      <c r="D871">
        <v>130.49463800000001</v>
      </c>
      <c r="E871" s="22">
        <v>100.48999162110054</v>
      </c>
    </row>
    <row r="872" spans="1:5" x14ac:dyDescent="0.4">
      <c r="A872" s="27">
        <v>43259</v>
      </c>
      <c r="B872" s="21">
        <v>218.089</v>
      </c>
      <c r="C872">
        <v>246.46289999999999</v>
      </c>
      <c r="D872">
        <v>130.493346</v>
      </c>
      <c r="E872" s="22">
        <v>100.48899669080178</v>
      </c>
    </row>
    <row r="873" spans="1:5" x14ac:dyDescent="0.4">
      <c r="A873" s="27">
        <v>43262</v>
      </c>
      <c r="B873" s="21">
        <v>219.69499999999999</v>
      </c>
      <c r="C873">
        <v>246.7413</v>
      </c>
      <c r="D873">
        <v>130.48947000000001</v>
      </c>
      <c r="E873" s="22">
        <v>100.48601189990545</v>
      </c>
    </row>
    <row r="874" spans="1:5" x14ac:dyDescent="0.4">
      <c r="A874" s="27">
        <v>43263</v>
      </c>
      <c r="B874" s="21">
        <v>219.41040000000001</v>
      </c>
      <c r="C874">
        <v>246.79419999999999</v>
      </c>
      <c r="D874">
        <v>130.48816500000001</v>
      </c>
      <c r="E874" s="22">
        <v>100.48500695869808</v>
      </c>
    </row>
    <row r="875" spans="1:5" x14ac:dyDescent="0.4">
      <c r="A875" s="27">
        <v>43264</v>
      </c>
      <c r="B875" s="21">
        <v>219.7784</v>
      </c>
      <c r="C875">
        <v>247.20910000000001</v>
      </c>
      <c r="D875">
        <v>130.48684800000001</v>
      </c>
      <c r="E875" s="22">
        <v>100.48399277665203</v>
      </c>
    </row>
    <row r="876" spans="1:5" x14ac:dyDescent="0.4">
      <c r="A876" s="27">
        <v>43265</v>
      </c>
      <c r="B876" s="21">
        <v>222.54589999999999</v>
      </c>
      <c r="C876">
        <v>247.97059999999999</v>
      </c>
      <c r="D876">
        <v>130.48553000000001</v>
      </c>
      <c r="E876" s="22">
        <v>100.48297782453611</v>
      </c>
    </row>
    <row r="877" spans="1:5" x14ac:dyDescent="0.4">
      <c r="A877" s="27">
        <v>43266</v>
      </c>
      <c r="B877" s="21">
        <v>220.35220000000001</v>
      </c>
      <c r="C877">
        <v>248.69149999999999</v>
      </c>
      <c r="D877">
        <v>130.48421200000001</v>
      </c>
      <c r="E877" s="22">
        <v>100.48196287242016</v>
      </c>
    </row>
    <row r="878" spans="1:5" x14ac:dyDescent="0.4">
      <c r="A878" s="27">
        <v>43269</v>
      </c>
      <c r="B878" s="21">
        <v>218.57390000000001</v>
      </c>
      <c r="C878">
        <v>248.87979999999999</v>
      </c>
      <c r="D878">
        <v>130.480245</v>
      </c>
      <c r="E878" s="22">
        <v>100.47890800516375</v>
      </c>
    </row>
    <row r="879" spans="1:5" x14ac:dyDescent="0.4">
      <c r="A879" s="27">
        <v>43270</v>
      </c>
      <c r="B879" s="21">
        <v>217.0685</v>
      </c>
      <c r="C879">
        <v>249.14169999999999</v>
      </c>
      <c r="D879">
        <v>130.478927</v>
      </c>
      <c r="E879" s="22">
        <v>100.47789305304782</v>
      </c>
    </row>
    <row r="880" spans="1:5" x14ac:dyDescent="0.4">
      <c r="A880" s="27">
        <v>43271</v>
      </c>
      <c r="B880" s="21">
        <v>217.60990000000001</v>
      </c>
      <c r="C880">
        <v>249.10910000000001</v>
      </c>
      <c r="D880">
        <v>130.477609</v>
      </c>
      <c r="E880" s="22">
        <v>100.47687810093188</v>
      </c>
    </row>
    <row r="881" spans="1:5" x14ac:dyDescent="0.4">
      <c r="A881" s="27">
        <v>43272</v>
      </c>
      <c r="B881" s="21">
        <v>215.73580000000001</v>
      </c>
      <c r="C881">
        <v>248.77789999999999</v>
      </c>
      <c r="D881">
        <v>130.476291</v>
      </c>
      <c r="E881" s="22">
        <v>100.47586314881593</v>
      </c>
    </row>
    <row r="882" spans="1:5" x14ac:dyDescent="0.4">
      <c r="A882" s="27">
        <v>43273</v>
      </c>
      <c r="B882" s="21">
        <v>218.13800000000001</v>
      </c>
      <c r="C882">
        <v>248.71459999999999</v>
      </c>
      <c r="D882">
        <v>130.474974</v>
      </c>
      <c r="E882" s="22">
        <v>100.4748489667699</v>
      </c>
    </row>
    <row r="883" spans="1:5" x14ac:dyDescent="0.4">
      <c r="A883" s="27">
        <v>43276</v>
      </c>
      <c r="B883" s="21">
        <v>213.51820000000001</v>
      </c>
      <c r="C883">
        <v>248.51390000000001</v>
      </c>
      <c r="D883">
        <v>130.47102000000001</v>
      </c>
      <c r="E883" s="22">
        <v>100.47180411042208</v>
      </c>
    </row>
    <row r="884" spans="1:5" x14ac:dyDescent="0.4">
      <c r="A884" s="27">
        <v>43277</v>
      </c>
      <c r="B884" s="21">
        <v>213.70830000000001</v>
      </c>
      <c r="C884">
        <v>248.09809999999999</v>
      </c>
      <c r="D884">
        <v>130.46970300000001</v>
      </c>
      <c r="E884" s="22">
        <v>100.47078992837604</v>
      </c>
    </row>
    <row r="885" spans="1:5" x14ac:dyDescent="0.4">
      <c r="A885" s="27">
        <v>43278</v>
      </c>
      <c r="B885" s="21">
        <v>215.37200000000001</v>
      </c>
      <c r="C885">
        <v>248.5384</v>
      </c>
      <c r="D885">
        <v>130.46838500000001</v>
      </c>
      <c r="E885" s="22">
        <v>100.46977497626011</v>
      </c>
    </row>
    <row r="886" spans="1:5" x14ac:dyDescent="0.4">
      <c r="A886" s="27">
        <v>43279</v>
      </c>
      <c r="B886" s="21">
        <v>213.8031</v>
      </c>
      <c r="C886">
        <v>248.71250000000001</v>
      </c>
      <c r="D886">
        <v>130.46705399999999</v>
      </c>
      <c r="E886" s="22">
        <v>100.46875001323559</v>
      </c>
    </row>
    <row r="887" spans="1:5" x14ac:dyDescent="0.4">
      <c r="A887" s="27">
        <v>43280</v>
      </c>
      <c r="B887" s="21">
        <v>215.41900000000001</v>
      </c>
      <c r="C887">
        <v>249.3229</v>
      </c>
      <c r="D887">
        <v>130.465723</v>
      </c>
      <c r="E887" s="22">
        <v>100.46772505021107</v>
      </c>
    </row>
    <row r="888" spans="1:5" x14ac:dyDescent="0.4">
      <c r="A888" s="27">
        <v>43283</v>
      </c>
      <c r="B888" s="21">
        <v>213.66409999999999</v>
      </c>
      <c r="C888">
        <v>249.58770000000001</v>
      </c>
      <c r="D888">
        <v>130.46183500000001</v>
      </c>
      <c r="E888" s="22">
        <v>100.46473101847604</v>
      </c>
    </row>
    <row r="889" spans="1:5" x14ac:dyDescent="0.4">
      <c r="A889" s="27">
        <v>43284</v>
      </c>
      <c r="B889" s="21">
        <v>215.41370000000001</v>
      </c>
      <c r="C889">
        <v>249.66839999999999</v>
      </c>
      <c r="D889">
        <v>130.460531</v>
      </c>
      <c r="E889" s="22">
        <v>100.46372684733858</v>
      </c>
    </row>
    <row r="890" spans="1:5" x14ac:dyDescent="0.4">
      <c r="A890" s="27">
        <v>43285</v>
      </c>
      <c r="B890" s="21">
        <v>215.56309999999999</v>
      </c>
      <c r="C890">
        <v>249.59059999999999</v>
      </c>
      <c r="D890">
        <v>130.45921300000001</v>
      </c>
      <c r="E890" s="22">
        <v>100.46271189522264</v>
      </c>
    </row>
    <row r="891" spans="1:5" x14ac:dyDescent="0.4">
      <c r="A891" s="27">
        <v>43286</v>
      </c>
      <c r="B891" s="21">
        <v>216.48310000000001</v>
      </c>
      <c r="C891">
        <v>249.4658</v>
      </c>
      <c r="D891">
        <v>130.45789500000001</v>
      </c>
      <c r="E891" s="22">
        <v>100.46169694310669</v>
      </c>
    </row>
    <row r="892" spans="1:5" x14ac:dyDescent="0.4">
      <c r="A892" s="27">
        <v>43287</v>
      </c>
      <c r="B892" s="21">
        <v>216.91550000000001</v>
      </c>
      <c r="C892">
        <v>249.47550000000001</v>
      </c>
      <c r="D892">
        <v>130.456591</v>
      </c>
      <c r="E892" s="22">
        <v>100.46069277196924</v>
      </c>
    </row>
    <row r="893" spans="1:5" x14ac:dyDescent="0.4">
      <c r="A893" s="27">
        <v>43290</v>
      </c>
      <c r="B893" s="21">
        <v>218.2216</v>
      </c>
      <c r="C893">
        <v>249.49</v>
      </c>
      <c r="D893">
        <v>130.452651</v>
      </c>
      <c r="E893" s="22">
        <v>100.45765869659988</v>
      </c>
    </row>
    <row r="894" spans="1:5" x14ac:dyDescent="0.4">
      <c r="A894" s="27">
        <v>43291</v>
      </c>
      <c r="B894" s="21">
        <v>219.16739999999999</v>
      </c>
      <c r="C894">
        <v>249.4273</v>
      </c>
      <c r="D894">
        <v>130.451347</v>
      </c>
      <c r="E894" s="22">
        <v>100.45665452546243</v>
      </c>
    </row>
    <row r="895" spans="1:5" x14ac:dyDescent="0.4">
      <c r="A895" s="27">
        <v>43292</v>
      </c>
      <c r="B895" s="21">
        <v>216.3689</v>
      </c>
      <c r="C895">
        <v>249.41370000000001</v>
      </c>
      <c r="D895">
        <v>130.450029</v>
      </c>
      <c r="E895" s="22">
        <v>100.45563957334649</v>
      </c>
    </row>
    <row r="896" spans="1:5" x14ac:dyDescent="0.4">
      <c r="A896" s="27">
        <v>43293</v>
      </c>
      <c r="B896" s="21">
        <v>218.02770000000001</v>
      </c>
      <c r="C896">
        <v>249.6163</v>
      </c>
      <c r="D896">
        <v>130.448711</v>
      </c>
      <c r="E896" s="22">
        <v>100.45462462123054</v>
      </c>
    </row>
    <row r="897" spans="1:5" x14ac:dyDescent="0.4">
      <c r="A897" s="27">
        <v>43294</v>
      </c>
      <c r="B897" s="21">
        <v>218.44409999999999</v>
      </c>
      <c r="C897">
        <v>249.95509999999999</v>
      </c>
      <c r="D897">
        <v>130.447394</v>
      </c>
      <c r="E897" s="22">
        <v>100.4536104391845</v>
      </c>
    </row>
    <row r="898" spans="1:5" x14ac:dyDescent="0.4">
      <c r="A898" s="27">
        <v>43297</v>
      </c>
      <c r="B898" s="21">
        <v>217.72190000000001</v>
      </c>
      <c r="C898">
        <v>249.61420000000001</v>
      </c>
      <c r="D898">
        <v>130.443454</v>
      </c>
      <c r="E898" s="22">
        <v>100.45057636381516</v>
      </c>
    </row>
    <row r="899" spans="1:5" x14ac:dyDescent="0.4">
      <c r="A899" s="27">
        <v>43298</v>
      </c>
      <c r="B899" s="21">
        <v>218.24719999999999</v>
      </c>
      <c r="C899">
        <v>250.1395</v>
      </c>
      <c r="D899">
        <v>130.442137</v>
      </c>
      <c r="E899" s="22">
        <v>100.4495621817691</v>
      </c>
    </row>
    <row r="900" spans="1:5" x14ac:dyDescent="0.4">
      <c r="A900" s="27">
        <v>43299</v>
      </c>
      <c r="B900" s="21">
        <v>219.50530000000001</v>
      </c>
      <c r="C900">
        <v>250.05699999999999</v>
      </c>
      <c r="D900">
        <v>130.440819</v>
      </c>
      <c r="E900" s="22">
        <v>100.44854722965317</v>
      </c>
    </row>
    <row r="901" spans="1:5" x14ac:dyDescent="0.4">
      <c r="A901" s="27">
        <v>43300</v>
      </c>
      <c r="B901" s="21">
        <v>219.06489999999999</v>
      </c>
      <c r="C901">
        <v>250.08500000000001</v>
      </c>
      <c r="D901">
        <v>130.43948900000001</v>
      </c>
      <c r="E901" s="22">
        <v>100.44752303669856</v>
      </c>
    </row>
    <row r="902" spans="1:5" x14ac:dyDescent="0.4">
      <c r="A902" s="27">
        <v>43301</v>
      </c>
      <c r="B902" s="21">
        <v>218.70410000000001</v>
      </c>
      <c r="C902">
        <v>249.48779999999999</v>
      </c>
      <c r="D902">
        <v>130.43815799999999</v>
      </c>
      <c r="E902" s="22">
        <v>100.44649807367401</v>
      </c>
    </row>
    <row r="903" spans="1:5" x14ac:dyDescent="0.4">
      <c r="A903" s="27">
        <v>43304</v>
      </c>
      <c r="B903" s="21">
        <v>218.33930000000001</v>
      </c>
      <c r="C903">
        <v>249.12360000000001</v>
      </c>
      <c r="D903">
        <v>130.434167</v>
      </c>
      <c r="E903" s="22">
        <v>100.44342472474025</v>
      </c>
    </row>
    <row r="904" spans="1:5" x14ac:dyDescent="0.4">
      <c r="A904" s="27">
        <v>43305</v>
      </c>
      <c r="B904" s="21">
        <v>220.20079999999999</v>
      </c>
      <c r="C904">
        <v>249.29409999999999</v>
      </c>
      <c r="D904">
        <v>130.43283700000001</v>
      </c>
      <c r="E904" s="22">
        <v>100.44240053178564</v>
      </c>
    </row>
    <row r="905" spans="1:5" x14ac:dyDescent="0.4">
      <c r="A905" s="27">
        <v>43306</v>
      </c>
      <c r="B905" s="21">
        <v>219.60400000000001</v>
      </c>
      <c r="C905">
        <v>249.4314</v>
      </c>
      <c r="D905">
        <v>130.43150600000001</v>
      </c>
      <c r="E905" s="22">
        <v>100.44137556876112</v>
      </c>
    </row>
    <row r="906" spans="1:5" x14ac:dyDescent="0.4">
      <c r="A906" s="27">
        <v>43307</v>
      </c>
      <c r="B906" s="21">
        <v>221.35489999999999</v>
      </c>
      <c r="C906">
        <v>249.26230000000001</v>
      </c>
      <c r="D906">
        <v>130.43018900000001</v>
      </c>
      <c r="E906" s="22">
        <v>100.44036138671508</v>
      </c>
    </row>
    <row r="907" spans="1:5" x14ac:dyDescent="0.4">
      <c r="A907" s="27">
        <v>43308</v>
      </c>
      <c r="B907" s="21">
        <v>222.25389999999999</v>
      </c>
      <c r="C907">
        <v>249.13560000000001</v>
      </c>
      <c r="D907">
        <v>130.42885799999999</v>
      </c>
      <c r="E907" s="22">
        <v>100.43933642369053</v>
      </c>
    </row>
    <row r="908" spans="1:5" x14ac:dyDescent="0.4">
      <c r="A908" s="27">
        <v>43311</v>
      </c>
      <c r="B908" s="21">
        <v>221.62530000000001</v>
      </c>
      <c r="C908">
        <v>248.517</v>
      </c>
      <c r="D908">
        <v>130.42488</v>
      </c>
      <c r="E908" s="22">
        <v>100.43627308566536</v>
      </c>
    </row>
    <row r="909" spans="1:5" x14ac:dyDescent="0.4">
      <c r="A909" s="27">
        <v>43312</v>
      </c>
      <c r="B909" s="21">
        <v>222.11410000000001</v>
      </c>
      <c r="C909">
        <v>248.8279</v>
      </c>
      <c r="D909">
        <v>130.423563</v>
      </c>
      <c r="E909" s="22">
        <v>100.43525890361931</v>
      </c>
    </row>
    <row r="910" spans="1:5" x14ac:dyDescent="0.4">
      <c r="A910" s="27">
        <v>43313</v>
      </c>
      <c r="B910" s="21">
        <v>221.04349999999999</v>
      </c>
      <c r="C910">
        <v>248.20099999999999</v>
      </c>
      <c r="D910">
        <v>130.42227199999999</v>
      </c>
      <c r="E910" s="22">
        <v>100.43426474339041</v>
      </c>
    </row>
    <row r="911" spans="1:5" x14ac:dyDescent="0.4">
      <c r="A911" s="27">
        <v>43314</v>
      </c>
      <c r="B911" s="21">
        <v>219.2799</v>
      </c>
      <c r="C911">
        <v>248.08709999999999</v>
      </c>
      <c r="D911">
        <v>130.42098100000001</v>
      </c>
      <c r="E911" s="22">
        <v>100.43327058316154</v>
      </c>
    </row>
    <row r="912" spans="1:5" x14ac:dyDescent="0.4">
      <c r="A912" s="27">
        <v>43315</v>
      </c>
      <c r="B912" s="21">
        <v>220.76249999999999</v>
      </c>
      <c r="C912">
        <v>248.52670000000001</v>
      </c>
      <c r="D912">
        <v>130.41969</v>
      </c>
      <c r="E912" s="22">
        <v>100.43227642293265</v>
      </c>
    </row>
    <row r="913" spans="1:5" x14ac:dyDescent="0.4">
      <c r="A913" s="27">
        <v>43318</v>
      </c>
      <c r="B913" s="21">
        <v>220.49799999999999</v>
      </c>
      <c r="C913">
        <v>248.9</v>
      </c>
      <c r="D913">
        <v>130.415829</v>
      </c>
      <c r="E913" s="22">
        <v>100.42930318308467</v>
      </c>
    </row>
    <row r="914" spans="1:5" x14ac:dyDescent="0.4">
      <c r="A914" s="27">
        <v>43319</v>
      </c>
      <c r="B914" s="21">
        <v>221.5702</v>
      </c>
      <c r="C914">
        <v>248.72460000000001</v>
      </c>
      <c r="D914">
        <v>130.414525</v>
      </c>
      <c r="E914" s="22">
        <v>100.4282990119472</v>
      </c>
    </row>
    <row r="915" spans="1:5" x14ac:dyDescent="0.4">
      <c r="A915" s="27">
        <v>43320</v>
      </c>
      <c r="B915" s="21">
        <v>221.131</v>
      </c>
      <c r="C915">
        <v>248.77510000000001</v>
      </c>
      <c r="D915">
        <v>130.41323399999999</v>
      </c>
      <c r="E915" s="22">
        <v>100.42730485171832</v>
      </c>
    </row>
    <row r="916" spans="1:5" x14ac:dyDescent="0.4">
      <c r="A916" s="27">
        <v>43321</v>
      </c>
      <c r="B916" s="21">
        <v>221.54560000000001</v>
      </c>
      <c r="C916">
        <v>248.94900000000001</v>
      </c>
      <c r="D916">
        <v>130.41194300000001</v>
      </c>
      <c r="E916" s="22">
        <v>100.42631069148943</v>
      </c>
    </row>
    <row r="917" spans="1:5" x14ac:dyDescent="0.4">
      <c r="A917" s="27">
        <v>43322</v>
      </c>
      <c r="B917" s="21">
        <v>219.1198</v>
      </c>
      <c r="C917">
        <v>249.2277</v>
      </c>
      <c r="D917">
        <v>130.410652</v>
      </c>
      <c r="E917" s="22">
        <v>100.42531653126055</v>
      </c>
    </row>
    <row r="918" spans="1:5" x14ac:dyDescent="0.4">
      <c r="A918" s="27">
        <v>43325</v>
      </c>
      <c r="B918" s="21">
        <v>218.5744</v>
      </c>
      <c r="C918">
        <v>248.84829999999999</v>
      </c>
      <c r="D918">
        <v>130.406779</v>
      </c>
      <c r="E918" s="22">
        <v>100.42233405057388</v>
      </c>
    </row>
    <row r="919" spans="1:5" x14ac:dyDescent="0.4">
      <c r="A919" s="27">
        <v>43326</v>
      </c>
      <c r="B919" s="21">
        <v>218.59979999999999</v>
      </c>
      <c r="C919">
        <v>248.88820000000001</v>
      </c>
      <c r="D919">
        <v>130.40548699999999</v>
      </c>
      <c r="E919" s="22">
        <v>100.42133912027509</v>
      </c>
    </row>
    <row r="920" spans="1:5" x14ac:dyDescent="0.4">
      <c r="A920" s="27">
        <v>43327</v>
      </c>
      <c r="B920" s="21">
        <v>215.60599999999999</v>
      </c>
      <c r="C920">
        <v>248.89169999999999</v>
      </c>
      <c r="D920">
        <v>130.40418299999999</v>
      </c>
      <c r="E920" s="22">
        <v>100.42033494913763</v>
      </c>
    </row>
    <row r="921" spans="1:5" x14ac:dyDescent="0.4">
      <c r="A921" s="27">
        <v>43328</v>
      </c>
      <c r="B921" s="21">
        <v>216.7302</v>
      </c>
      <c r="C921">
        <v>248.84399999999999</v>
      </c>
      <c r="D921">
        <v>130.40286599999999</v>
      </c>
      <c r="E921" s="22">
        <v>100.41932076709156</v>
      </c>
    </row>
    <row r="922" spans="1:5" x14ac:dyDescent="0.4">
      <c r="A922" s="27">
        <v>43329</v>
      </c>
      <c r="B922" s="21">
        <v>216.57159999999999</v>
      </c>
      <c r="C922">
        <v>248.9032</v>
      </c>
      <c r="D922">
        <v>130.40156200000001</v>
      </c>
      <c r="E922" s="22">
        <v>100.41831659595412</v>
      </c>
    </row>
    <row r="923" spans="1:5" x14ac:dyDescent="0.4">
      <c r="A923" s="27">
        <v>43332</v>
      </c>
      <c r="B923" s="21">
        <v>217.81620000000001</v>
      </c>
      <c r="C923">
        <v>249.21250000000001</v>
      </c>
      <c r="D923">
        <v>130.39765</v>
      </c>
      <c r="E923" s="22">
        <v>100.41530408254171</v>
      </c>
    </row>
    <row r="924" spans="1:5" x14ac:dyDescent="0.4">
      <c r="A924" s="27">
        <v>43333</v>
      </c>
      <c r="B924" s="21">
        <v>218.3091</v>
      </c>
      <c r="C924">
        <v>249.1995</v>
      </c>
      <c r="D924">
        <v>130.39634599999999</v>
      </c>
      <c r="E924" s="22">
        <v>100.41429991140423</v>
      </c>
    </row>
    <row r="925" spans="1:5" x14ac:dyDescent="0.4">
      <c r="A925" s="27">
        <v>43334</v>
      </c>
      <c r="B925" s="21">
        <v>218.20859999999999</v>
      </c>
      <c r="C925">
        <v>248.8706</v>
      </c>
      <c r="D925">
        <v>130.39502899999999</v>
      </c>
      <c r="E925" s="22">
        <v>100.41328572935819</v>
      </c>
    </row>
    <row r="926" spans="1:5" x14ac:dyDescent="0.4">
      <c r="A926" s="27">
        <v>43335</v>
      </c>
      <c r="B926" s="21">
        <v>217.8426</v>
      </c>
      <c r="C926">
        <v>248.7807</v>
      </c>
      <c r="D926">
        <v>130.39371199999999</v>
      </c>
      <c r="E926" s="22">
        <v>100.41227154731214</v>
      </c>
    </row>
    <row r="927" spans="1:5" x14ac:dyDescent="0.4">
      <c r="A927" s="27">
        <v>43336</v>
      </c>
      <c r="B927" s="21">
        <v>217.9709</v>
      </c>
      <c r="C927">
        <v>248.67689999999999</v>
      </c>
      <c r="D927">
        <v>130.39239499999999</v>
      </c>
      <c r="E927" s="22">
        <v>100.41125736526608</v>
      </c>
    </row>
    <row r="928" spans="1:5" x14ac:dyDescent="0.4">
      <c r="A928" s="27">
        <v>43340</v>
      </c>
      <c r="B928" s="21">
        <v>219.0515</v>
      </c>
      <c r="C928">
        <v>248.0883</v>
      </c>
      <c r="D928">
        <v>130.38714100000001</v>
      </c>
      <c r="E928" s="22">
        <v>100.4072114180604</v>
      </c>
    </row>
    <row r="929" spans="1:5" x14ac:dyDescent="0.4">
      <c r="A929" s="27">
        <v>43341</v>
      </c>
      <c r="B929" s="21">
        <v>219.6721</v>
      </c>
      <c r="C929">
        <v>247.9195</v>
      </c>
      <c r="D929">
        <v>130.38582400000001</v>
      </c>
      <c r="E929" s="22">
        <v>100.40619723601434</v>
      </c>
    </row>
    <row r="930" spans="1:5" x14ac:dyDescent="0.4">
      <c r="A930" s="27">
        <v>43342</v>
      </c>
      <c r="B930" s="21">
        <v>218.99860000000001</v>
      </c>
      <c r="C930">
        <v>248.21190000000001</v>
      </c>
      <c r="D930">
        <v>130.38450700000001</v>
      </c>
      <c r="E930" s="22">
        <v>100.40518305396829</v>
      </c>
    </row>
    <row r="931" spans="1:5" x14ac:dyDescent="0.4">
      <c r="A931" s="27">
        <v>43343</v>
      </c>
      <c r="B931" s="21">
        <v>217.1258</v>
      </c>
      <c r="C931">
        <v>248.19630000000001</v>
      </c>
      <c r="D931">
        <v>130.38320300000001</v>
      </c>
      <c r="E931" s="22">
        <v>100.40417888283082</v>
      </c>
    </row>
    <row r="932" spans="1:5" x14ac:dyDescent="0.4">
      <c r="A932" s="27">
        <v>43346</v>
      </c>
      <c r="B932" s="21">
        <v>217.35079999999999</v>
      </c>
      <c r="C932">
        <v>248.2364</v>
      </c>
      <c r="D932">
        <v>130.37948700000001</v>
      </c>
      <c r="E932" s="22">
        <v>100.40131730311698</v>
      </c>
    </row>
    <row r="933" spans="1:5" x14ac:dyDescent="0.4">
      <c r="A933" s="27">
        <v>43347</v>
      </c>
      <c r="B933" s="21">
        <v>215.8562</v>
      </c>
      <c r="C933">
        <v>248.4196</v>
      </c>
      <c r="D933">
        <v>130.378196</v>
      </c>
      <c r="E933" s="22">
        <v>100.4003231428881</v>
      </c>
    </row>
    <row r="934" spans="1:5" x14ac:dyDescent="0.4">
      <c r="A934" s="27">
        <v>43348</v>
      </c>
      <c r="B934" s="21">
        <v>213.47389999999999</v>
      </c>
      <c r="C934">
        <v>248.31899999999999</v>
      </c>
      <c r="D934">
        <v>130.37691899999999</v>
      </c>
      <c r="E934" s="22">
        <v>100.39933976363767</v>
      </c>
    </row>
    <row r="935" spans="1:5" x14ac:dyDescent="0.4">
      <c r="A935" s="27">
        <v>43349</v>
      </c>
      <c r="B935" s="21">
        <v>212.27930000000001</v>
      </c>
      <c r="C935">
        <v>248.70650000000001</v>
      </c>
      <c r="D935">
        <v>130.37562800000001</v>
      </c>
      <c r="E935" s="22">
        <v>100.39834560340879</v>
      </c>
    </row>
    <row r="936" spans="1:5" x14ac:dyDescent="0.4">
      <c r="A936" s="27">
        <v>43350</v>
      </c>
      <c r="B936" s="21">
        <v>212.48249999999999</v>
      </c>
      <c r="C936">
        <v>248.4529</v>
      </c>
      <c r="D936">
        <v>130.374337</v>
      </c>
      <c r="E936" s="22">
        <v>100.3973514431799</v>
      </c>
    </row>
    <row r="937" spans="1:5" x14ac:dyDescent="0.4">
      <c r="A937" s="27">
        <v>43353</v>
      </c>
      <c r="B937" s="21">
        <v>213.4092</v>
      </c>
      <c r="C937">
        <v>248.6439</v>
      </c>
      <c r="D937">
        <v>130.37041300000001</v>
      </c>
      <c r="E937" s="22">
        <v>100.39432968892883</v>
      </c>
    </row>
    <row r="938" spans="1:5" x14ac:dyDescent="0.4">
      <c r="A938" s="27">
        <v>43354</v>
      </c>
      <c r="B938" s="21">
        <v>213.27330000000001</v>
      </c>
      <c r="C938">
        <v>248.358</v>
      </c>
      <c r="D938">
        <v>130.369122</v>
      </c>
      <c r="E938" s="22">
        <v>100.39333552869994</v>
      </c>
    </row>
    <row r="939" spans="1:5" x14ac:dyDescent="0.4">
      <c r="A939" s="27">
        <v>43355</v>
      </c>
      <c r="B939" s="21">
        <v>214.25</v>
      </c>
      <c r="C939">
        <v>248.50839999999999</v>
      </c>
      <c r="D939">
        <v>130.367805</v>
      </c>
      <c r="E939" s="22">
        <v>100.39232134665387</v>
      </c>
    </row>
    <row r="940" spans="1:5" x14ac:dyDescent="0.4">
      <c r="A940" s="27">
        <v>43356</v>
      </c>
      <c r="B940" s="21">
        <v>214.0558</v>
      </c>
      <c r="C940">
        <v>248.41800000000001</v>
      </c>
      <c r="D940">
        <v>130.36646300000001</v>
      </c>
      <c r="E940" s="22">
        <v>100.39128791286056</v>
      </c>
    </row>
    <row r="941" spans="1:5" x14ac:dyDescent="0.4">
      <c r="A941" s="27">
        <v>43357</v>
      </c>
      <c r="B941" s="21">
        <v>214.76859999999999</v>
      </c>
      <c r="C941">
        <v>248.15649999999999</v>
      </c>
      <c r="D941">
        <v>130.36514600000001</v>
      </c>
      <c r="E941" s="22">
        <v>100.39027373081453</v>
      </c>
    </row>
    <row r="942" spans="1:5" x14ac:dyDescent="0.4">
      <c r="A942" s="27">
        <v>43360</v>
      </c>
      <c r="B942" s="21">
        <v>215.02590000000001</v>
      </c>
      <c r="C942">
        <v>248.3723</v>
      </c>
      <c r="D942">
        <v>130.36116999999999</v>
      </c>
      <c r="E942" s="22">
        <v>100.38721193292911</v>
      </c>
    </row>
    <row r="943" spans="1:5" x14ac:dyDescent="0.4">
      <c r="A943" s="27">
        <v>43361</v>
      </c>
      <c r="B943" s="21">
        <v>215.28829999999999</v>
      </c>
      <c r="C943">
        <v>248.3648</v>
      </c>
      <c r="D943">
        <v>130.35983999999999</v>
      </c>
      <c r="E943" s="22">
        <v>100.38618773997447</v>
      </c>
    </row>
    <row r="944" spans="1:5" x14ac:dyDescent="0.4">
      <c r="A944" s="27">
        <v>43362</v>
      </c>
      <c r="B944" s="21">
        <v>216.09970000000001</v>
      </c>
      <c r="C944">
        <v>248.0959</v>
      </c>
      <c r="D944">
        <v>130.35851</v>
      </c>
      <c r="E944" s="22">
        <v>100.38516354701986</v>
      </c>
    </row>
    <row r="945" spans="1:5" x14ac:dyDescent="0.4">
      <c r="A945" s="27">
        <v>43363</v>
      </c>
      <c r="B945" s="21">
        <v>217.6653</v>
      </c>
      <c r="C945">
        <v>248.08529999999999</v>
      </c>
      <c r="D945">
        <v>130.35719399999999</v>
      </c>
      <c r="E945" s="22">
        <v>100.3841501350437</v>
      </c>
    </row>
    <row r="946" spans="1:5" x14ac:dyDescent="0.4">
      <c r="A946" s="27">
        <v>43364</v>
      </c>
      <c r="B946" s="21">
        <v>218.73</v>
      </c>
      <c r="C946">
        <v>248.4188</v>
      </c>
      <c r="D946">
        <v>130.355864</v>
      </c>
      <c r="E946" s="22">
        <v>100.38312594208907</v>
      </c>
    </row>
    <row r="947" spans="1:5" x14ac:dyDescent="0.4">
      <c r="A947" s="27">
        <v>43367</v>
      </c>
      <c r="B947" s="21">
        <v>217.51179999999999</v>
      </c>
      <c r="C947">
        <v>247.68889999999999</v>
      </c>
      <c r="D947">
        <v>130.35187500000001</v>
      </c>
      <c r="E947" s="22">
        <v>100.38005413329509</v>
      </c>
    </row>
    <row r="948" spans="1:5" x14ac:dyDescent="0.4">
      <c r="A948" s="27">
        <v>43368</v>
      </c>
      <c r="B948" s="21">
        <v>218.5455</v>
      </c>
      <c r="C948">
        <v>247.50659999999999</v>
      </c>
      <c r="D948">
        <v>130.35054600000001</v>
      </c>
      <c r="E948" s="22">
        <v>100.37903071041036</v>
      </c>
    </row>
    <row r="949" spans="1:5" x14ac:dyDescent="0.4">
      <c r="A949" s="27">
        <v>43369</v>
      </c>
      <c r="B949" s="21">
        <v>219.20760000000001</v>
      </c>
      <c r="C949">
        <v>247.76580000000001</v>
      </c>
      <c r="D949">
        <v>130.34921600000001</v>
      </c>
      <c r="E949" s="22">
        <v>100.37800651745574</v>
      </c>
    </row>
    <row r="950" spans="1:5" x14ac:dyDescent="0.4">
      <c r="A950" s="27">
        <v>43370</v>
      </c>
      <c r="B950" s="21">
        <v>220.09479999999999</v>
      </c>
      <c r="C950">
        <v>247.66929999999999</v>
      </c>
      <c r="D950">
        <v>130.34788699999999</v>
      </c>
      <c r="E950" s="22">
        <v>100.37698309457097</v>
      </c>
    </row>
    <row r="951" spans="1:5" x14ac:dyDescent="0.4">
      <c r="A951" s="27">
        <v>43371</v>
      </c>
      <c r="B951" s="21">
        <v>218.27430000000001</v>
      </c>
      <c r="C951">
        <v>247.56559999999999</v>
      </c>
      <c r="D951">
        <v>130.34657000000001</v>
      </c>
      <c r="E951" s="22">
        <v>100.37596891252495</v>
      </c>
    </row>
    <row r="952" spans="1:5" x14ac:dyDescent="0.4">
      <c r="A952" s="27">
        <v>43374</v>
      </c>
      <c r="B952" s="21">
        <v>218.68680000000001</v>
      </c>
      <c r="C952">
        <v>247.1662</v>
      </c>
      <c r="D952">
        <v>130.34276399999999</v>
      </c>
      <c r="E952" s="22">
        <v>100.37303802652093</v>
      </c>
    </row>
    <row r="953" spans="1:5" x14ac:dyDescent="0.4">
      <c r="A953" s="27">
        <v>43375</v>
      </c>
      <c r="B953" s="21">
        <v>217.59899999999999</v>
      </c>
      <c r="C953">
        <v>247.28540000000001</v>
      </c>
      <c r="D953">
        <v>130.34144699999999</v>
      </c>
      <c r="E953" s="22">
        <v>100.3720238444749</v>
      </c>
    </row>
    <row r="954" spans="1:5" x14ac:dyDescent="0.4">
      <c r="A954" s="27">
        <v>43376</v>
      </c>
      <c r="B954" s="21">
        <v>218.70320000000001</v>
      </c>
      <c r="C954">
        <v>247.1892</v>
      </c>
      <c r="D954">
        <v>130.34013100000001</v>
      </c>
      <c r="E954" s="22">
        <v>100.37101043249876</v>
      </c>
    </row>
    <row r="955" spans="1:5" x14ac:dyDescent="0.4">
      <c r="A955" s="27">
        <v>43377</v>
      </c>
      <c r="B955" s="21">
        <v>216.44669999999999</v>
      </c>
      <c r="C955">
        <v>246.5823</v>
      </c>
      <c r="D955">
        <v>130.33881500000001</v>
      </c>
      <c r="E955" s="22">
        <v>100.3699970205226</v>
      </c>
    </row>
    <row r="956" spans="1:5" x14ac:dyDescent="0.4">
      <c r="A956" s="27">
        <v>43378</v>
      </c>
      <c r="B956" s="21">
        <v>214.6045</v>
      </c>
      <c r="C956">
        <v>246.04140000000001</v>
      </c>
      <c r="D956">
        <v>130.33749800000001</v>
      </c>
      <c r="E956" s="22">
        <v>100.36898283847655</v>
      </c>
    </row>
    <row r="957" spans="1:5" x14ac:dyDescent="0.4">
      <c r="A957" s="27">
        <v>43381</v>
      </c>
      <c r="B957" s="21">
        <v>212.3485</v>
      </c>
      <c r="C957">
        <v>245.88749999999999</v>
      </c>
      <c r="D957">
        <v>130.333562</v>
      </c>
      <c r="E957" s="22">
        <v>100.36595184338677</v>
      </c>
    </row>
    <row r="958" spans="1:5" x14ac:dyDescent="0.4">
      <c r="A958" s="27">
        <v>43382</v>
      </c>
      <c r="B958" s="21">
        <v>212.8167</v>
      </c>
      <c r="C958">
        <v>245.97800000000001</v>
      </c>
      <c r="D958">
        <v>130.332246</v>
      </c>
      <c r="E958" s="22">
        <v>100.36493843141061</v>
      </c>
    </row>
    <row r="959" spans="1:5" x14ac:dyDescent="0.4">
      <c r="A959" s="27">
        <v>43383</v>
      </c>
      <c r="B959" s="21">
        <v>209.5034</v>
      </c>
      <c r="C959">
        <v>245.86580000000001</v>
      </c>
      <c r="D959">
        <v>130.330929</v>
      </c>
      <c r="E959" s="22">
        <v>100.36392424936456</v>
      </c>
    </row>
    <row r="960" spans="1:5" x14ac:dyDescent="0.4">
      <c r="A960" s="27">
        <v>43384</v>
      </c>
      <c r="B960" s="21">
        <v>205.38120000000001</v>
      </c>
      <c r="C960">
        <v>245.88149999999999</v>
      </c>
      <c r="D960">
        <v>130.3296</v>
      </c>
      <c r="E960" s="22">
        <v>100.36290082647983</v>
      </c>
    </row>
    <row r="961" spans="1:5" x14ac:dyDescent="0.4">
      <c r="A961" s="27">
        <v>43385</v>
      </c>
      <c r="B961" s="21">
        <v>204.88249999999999</v>
      </c>
      <c r="C961">
        <v>245.98939999999999</v>
      </c>
      <c r="D961">
        <v>130.32827</v>
      </c>
      <c r="E961" s="22">
        <v>100.3618766335252</v>
      </c>
    </row>
    <row r="962" spans="1:5" x14ac:dyDescent="0.4">
      <c r="A962" s="27">
        <v>43388</v>
      </c>
      <c r="B962" s="21">
        <v>205.23929999999999</v>
      </c>
      <c r="C962">
        <v>246.0292</v>
      </c>
      <c r="D962">
        <v>130.32426899999999</v>
      </c>
      <c r="E962" s="22">
        <v>100.35879558389252</v>
      </c>
    </row>
    <row r="963" spans="1:5" x14ac:dyDescent="0.4">
      <c r="A963" s="27">
        <v>43389</v>
      </c>
      <c r="B963" s="21">
        <v>208.31479999999999</v>
      </c>
      <c r="C963">
        <v>246.45820000000001</v>
      </c>
      <c r="D963">
        <v>130.32293999999999</v>
      </c>
      <c r="E963" s="22">
        <v>100.35777216100779</v>
      </c>
    </row>
    <row r="964" spans="1:5" x14ac:dyDescent="0.4">
      <c r="A964" s="27">
        <v>43390</v>
      </c>
      <c r="B964" s="21">
        <v>207.49289999999999</v>
      </c>
      <c r="C964">
        <v>246.6216</v>
      </c>
      <c r="D964">
        <v>130.32159799999999</v>
      </c>
      <c r="E964" s="22">
        <v>100.35673872721446</v>
      </c>
    </row>
    <row r="965" spans="1:5" x14ac:dyDescent="0.4">
      <c r="A965" s="27">
        <v>43391</v>
      </c>
      <c r="B965" s="21">
        <v>206.42439999999999</v>
      </c>
      <c r="C965">
        <v>246.37379999999999</v>
      </c>
      <c r="D965">
        <v>130.320255</v>
      </c>
      <c r="E965" s="22">
        <v>100.35570452335128</v>
      </c>
    </row>
    <row r="966" spans="1:5" x14ac:dyDescent="0.4">
      <c r="A966" s="27">
        <v>43392</v>
      </c>
      <c r="B966" s="21">
        <v>206.32650000000001</v>
      </c>
      <c r="C966">
        <v>246.36940000000001</v>
      </c>
      <c r="D966">
        <v>130.31891300000001</v>
      </c>
      <c r="E966" s="22">
        <v>100.35467108955795</v>
      </c>
    </row>
    <row r="967" spans="1:5" x14ac:dyDescent="0.4">
      <c r="A967" s="27">
        <v>43395</v>
      </c>
      <c r="B967" s="21">
        <v>205.45169999999999</v>
      </c>
      <c r="C967">
        <v>246.62530000000001</v>
      </c>
      <c r="D967">
        <v>130.31491199999999</v>
      </c>
      <c r="E967" s="22">
        <v>100.35159003992528</v>
      </c>
    </row>
    <row r="968" spans="1:5" x14ac:dyDescent="0.4">
      <c r="A968" s="27">
        <v>43396</v>
      </c>
      <c r="B968" s="21">
        <v>202.39920000000001</v>
      </c>
      <c r="C968">
        <v>246.80690000000001</v>
      </c>
      <c r="D968">
        <v>130.31358299999999</v>
      </c>
      <c r="E968" s="22">
        <v>100.35056661704054</v>
      </c>
    </row>
    <row r="969" spans="1:5" x14ac:dyDescent="0.4">
      <c r="A969" s="27">
        <v>43397</v>
      </c>
      <c r="B969" s="21">
        <v>201.852</v>
      </c>
      <c r="C969">
        <v>246.95330000000001</v>
      </c>
      <c r="D969">
        <v>130.312254</v>
      </c>
      <c r="E969" s="22">
        <v>100.34954319415581</v>
      </c>
    </row>
    <row r="970" spans="1:5" x14ac:dyDescent="0.4">
      <c r="A970" s="27">
        <v>43398</v>
      </c>
      <c r="B970" s="21">
        <v>202.90029999999999</v>
      </c>
      <c r="C970">
        <v>247.1369</v>
      </c>
      <c r="D970">
        <v>130.310925</v>
      </c>
      <c r="E970" s="22">
        <v>100.34851977127109</v>
      </c>
    </row>
    <row r="971" spans="1:5" x14ac:dyDescent="0.4">
      <c r="A971" s="27">
        <v>43399</v>
      </c>
      <c r="B971" s="21">
        <v>201.39930000000001</v>
      </c>
      <c r="C971">
        <v>247.64830000000001</v>
      </c>
      <c r="D971">
        <v>130.309596</v>
      </c>
      <c r="E971" s="22">
        <v>100.34749634838633</v>
      </c>
    </row>
    <row r="972" spans="1:5" x14ac:dyDescent="0.4">
      <c r="A972" s="27">
        <v>43402</v>
      </c>
      <c r="B972" s="21">
        <v>203.11660000000001</v>
      </c>
      <c r="C972">
        <v>247.721</v>
      </c>
      <c r="D972">
        <v>130.30559500000001</v>
      </c>
      <c r="E972" s="22">
        <v>100.34441529875366</v>
      </c>
    </row>
    <row r="973" spans="1:5" x14ac:dyDescent="0.4">
      <c r="A973" s="27">
        <v>43403</v>
      </c>
      <c r="B973" s="21">
        <v>203.16589999999999</v>
      </c>
      <c r="C973">
        <v>247.43360000000001</v>
      </c>
      <c r="D973">
        <v>130.30425299999999</v>
      </c>
      <c r="E973" s="22">
        <v>100.34338186496035</v>
      </c>
    </row>
    <row r="974" spans="1:5" x14ac:dyDescent="0.4">
      <c r="A974" s="27">
        <v>43404</v>
      </c>
      <c r="B974" s="21">
        <v>206.6788</v>
      </c>
      <c r="C974">
        <v>247.5078</v>
      </c>
      <c r="D974">
        <v>130.30292399999999</v>
      </c>
      <c r="E974" s="22">
        <v>100.34235844207562</v>
      </c>
    </row>
    <row r="975" spans="1:5" x14ac:dyDescent="0.4">
      <c r="A975" s="27">
        <v>43405</v>
      </c>
      <c r="B975" s="21">
        <v>207.49080000000001</v>
      </c>
      <c r="C975">
        <v>247.39949999999999</v>
      </c>
      <c r="D975">
        <v>130.30168599999999</v>
      </c>
      <c r="E975" s="22">
        <v>100.34140509555091</v>
      </c>
    </row>
    <row r="976" spans="1:5" x14ac:dyDescent="0.4">
      <c r="A976" s="27">
        <v>43406</v>
      </c>
      <c r="B976" s="21">
        <v>208.01859999999999</v>
      </c>
      <c r="C976">
        <v>247.34460000000001</v>
      </c>
      <c r="D976">
        <v>130.300409</v>
      </c>
      <c r="E976" s="22">
        <v>100.34042171630051</v>
      </c>
    </row>
    <row r="977" spans="1:5" x14ac:dyDescent="0.4">
      <c r="A977" s="27">
        <v>43409</v>
      </c>
      <c r="B977" s="21">
        <v>207.80199999999999</v>
      </c>
      <c r="C977">
        <v>247.45849999999999</v>
      </c>
      <c r="D977">
        <v>130.29647399999999</v>
      </c>
      <c r="E977" s="22">
        <v>100.33739149128063</v>
      </c>
    </row>
    <row r="978" spans="1:5" x14ac:dyDescent="0.4">
      <c r="A978" s="27">
        <v>43410</v>
      </c>
      <c r="B978" s="21">
        <v>207.13409999999999</v>
      </c>
      <c r="C978">
        <v>247.22790000000001</v>
      </c>
      <c r="D978">
        <v>130.29515799999999</v>
      </c>
      <c r="E978" s="22">
        <v>100.33637807930447</v>
      </c>
    </row>
    <row r="979" spans="1:5" x14ac:dyDescent="0.4">
      <c r="A979" s="27">
        <v>43411</v>
      </c>
      <c r="B979" s="21">
        <v>209.2705</v>
      </c>
      <c r="C979">
        <v>247.19970000000001</v>
      </c>
      <c r="D979">
        <v>130.29384200000001</v>
      </c>
      <c r="E979" s="22">
        <v>100.33536466732834</v>
      </c>
    </row>
    <row r="980" spans="1:5" x14ac:dyDescent="0.4">
      <c r="A980" s="27">
        <v>43412</v>
      </c>
      <c r="B980" s="21">
        <v>209.71039999999999</v>
      </c>
      <c r="C980">
        <v>246.9607</v>
      </c>
      <c r="D980">
        <v>130.29252600000001</v>
      </c>
      <c r="E980" s="22">
        <v>100.33435125535217</v>
      </c>
    </row>
    <row r="981" spans="1:5" x14ac:dyDescent="0.4">
      <c r="A981" s="27">
        <v>43413</v>
      </c>
      <c r="B981" s="21">
        <v>209.0137</v>
      </c>
      <c r="C981">
        <v>247.30590000000001</v>
      </c>
      <c r="D981">
        <v>130.29121000000001</v>
      </c>
      <c r="E981" s="22">
        <v>100.33333784337601</v>
      </c>
    </row>
    <row r="982" spans="1:5" x14ac:dyDescent="0.4">
      <c r="A982" s="27">
        <v>43416</v>
      </c>
      <c r="B982" s="21">
        <v>207.065</v>
      </c>
      <c r="C982">
        <v>247.32130000000001</v>
      </c>
      <c r="D982">
        <v>130.28728799999999</v>
      </c>
      <c r="E982" s="22">
        <v>100.33031762926467</v>
      </c>
    </row>
    <row r="983" spans="1:5" x14ac:dyDescent="0.4">
      <c r="A983" s="27">
        <v>43417</v>
      </c>
      <c r="B983" s="21">
        <v>208.4693</v>
      </c>
      <c r="C983">
        <v>247.11600000000001</v>
      </c>
      <c r="D983">
        <v>130.28598500000001</v>
      </c>
      <c r="E983" s="22">
        <v>100.32931422819713</v>
      </c>
    </row>
    <row r="984" spans="1:5" x14ac:dyDescent="0.4">
      <c r="A984" s="27">
        <v>43418</v>
      </c>
      <c r="B984" s="21">
        <v>207.27789999999999</v>
      </c>
      <c r="C984">
        <v>246.91329999999999</v>
      </c>
      <c r="D984">
        <v>130.28467000000001</v>
      </c>
      <c r="E984" s="22">
        <v>100.32830158629085</v>
      </c>
    </row>
    <row r="985" spans="1:5" x14ac:dyDescent="0.4">
      <c r="A985" s="27">
        <v>43419</v>
      </c>
      <c r="B985" s="21">
        <v>205.37370000000001</v>
      </c>
      <c r="C985">
        <v>247.136</v>
      </c>
      <c r="D985">
        <v>130.283367</v>
      </c>
      <c r="E985" s="22">
        <v>100.32729818522328</v>
      </c>
    </row>
    <row r="986" spans="1:5" x14ac:dyDescent="0.4">
      <c r="A986" s="27">
        <v>43420</v>
      </c>
      <c r="B986" s="21">
        <v>205.00790000000001</v>
      </c>
      <c r="C986">
        <v>246.91220000000001</v>
      </c>
      <c r="D986">
        <v>130.282038</v>
      </c>
      <c r="E986" s="22">
        <v>100.32627476233853</v>
      </c>
    </row>
    <row r="987" spans="1:5" x14ac:dyDescent="0.4">
      <c r="A987" s="27">
        <v>43423</v>
      </c>
      <c r="B987" s="21">
        <v>203.4761</v>
      </c>
      <c r="C987">
        <v>246.56280000000001</v>
      </c>
      <c r="D987">
        <v>130.27810299999999</v>
      </c>
      <c r="E987" s="22">
        <v>100.32324453731864</v>
      </c>
    </row>
    <row r="988" spans="1:5" x14ac:dyDescent="0.4">
      <c r="A988" s="27">
        <v>43424</v>
      </c>
      <c r="B988" s="21">
        <v>201.16900000000001</v>
      </c>
      <c r="C988">
        <v>246.61779999999999</v>
      </c>
      <c r="D988">
        <v>130.27678700000001</v>
      </c>
      <c r="E988" s="22">
        <v>100.32223112534251</v>
      </c>
    </row>
    <row r="989" spans="1:5" x14ac:dyDescent="0.4">
      <c r="A989" s="27">
        <v>43425</v>
      </c>
      <c r="B989" s="21">
        <v>203.5154</v>
      </c>
      <c r="C989">
        <v>246.7577</v>
      </c>
      <c r="D989">
        <v>130.27547200000001</v>
      </c>
      <c r="E989" s="22">
        <v>100.32121848343623</v>
      </c>
    </row>
    <row r="990" spans="1:5" x14ac:dyDescent="0.4">
      <c r="A990" s="27">
        <v>43426</v>
      </c>
      <c r="B990" s="21">
        <v>202.11879999999999</v>
      </c>
      <c r="C990">
        <v>246.93450000000001</v>
      </c>
      <c r="D990">
        <v>130.274156</v>
      </c>
      <c r="E990" s="22">
        <v>100.32020507146007</v>
      </c>
    </row>
    <row r="991" spans="1:5" x14ac:dyDescent="0.4">
      <c r="A991" s="27">
        <v>43427</v>
      </c>
      <c r="B991" s="21">
        <v>202.79480000000001</v>
      </c>
      <c r="C991">
        <v>247.31039999999999</v>
      </c>
      <c r="D991">
        <v>130.27284</v>
      </c>
      <c r="E991" s="22">
        <v>100.31919165948391</v>
      </c>
    </row>
    <row r="992" spans="1:5" x14ac:dyDescent="0.4">
      <c r="A992" s="27">
        <v>43430</v>
      </c>
      <c r="B992" s="21">
        <v>205.36439999999999</v>
      </c>
      <c r="C992">
        <v>247.50020000000001</v>
      </c>
      <c r="D992">
        <v>130.26890599999999</v>
      </c>
      <c r="E992" s="22">
        <v>100.3161622045339</v>
      </c>
    </row>
    <row r="993" spans="1:5" x14ac:dyDescent="0.4">
      <c r="A993" s="27">
        <v>43431</v>
      </c>
      <c r="B993" s="21">
        <v>204.87549999999999</v>
      </c>
      <c r="C993">
        <v>247.5872</v>
      </c>
      <c r="D993">
        <v>130.26759000000001</v>
      </c>
      <c r="E993" s="22">
        <v>100.31514879255776</v>
      </c>
    </row>
    <row r="994" spans="1:5" x14ac:dyDescent="0.4">
      <c r="A994" s="27">
        <v>43432</v>
      </c>
      <c r="B994" s="21">
        <v>204.8912</v>
      </c>
      <c r="C994">
        <v>247.5179</v>
      </c>
      <c r="D994">
        <v>130.26627400000001</v>
      </c>
      <c r="E994" s="22">
        <v>100.3141353805816</v>
      </c>
    </row>
    <row r="995" spans="1:5" x14ac:dyDescent="0.4">
      <c r="A995" s="27">
        <v>43433</v>
      </c>
      <c r="B995" s="21">
        <v>205.2286</v>
      </c>
      <c r="C995">
        <v>248.04239999999999</v>
      </c>
      <c r="D995">
        <v>130.264959</v>
      </c>
      <c r="E995" s="22">
        <v>100.31312273867535</v>
      </c>
    </row>
    <row r="996" spans="1:5" x14ac:dyDescent="0.4">
      <c r="A996" s="27">
        <v>43434</v>
      </c>
      <c r="B996" s="21">
        <v>204.898</v>
      </c>
      <c r="C996">
        <v>248.10890000000001</v>
      </c>
      <c r="D996">
        <v>130.263643</v>
      </c>
      <c r="E996" s="22">
        <v>100.31210932669919</v>
      </c>
    </row>
    <row r="997" spans="1:5" x14ac:dyDescent="0.4">
      <c r="A997" s="27">
        <v>43437</v>
      </c>
      <c r="B997" s="21">
        <v>207.02799999999999</v>
      </c>
      <c r="C997">
        <v>248.30609999999999</v>
      </c>
      <c r="D997">
        <v>130.259852</v>
      </c>
      <c r="E997" s="22">
        <v>100.30918999174354</v>
      </c>
    </row>
    <row r="998" spans="1:5" x14ac:dyDescent="0.4">
      <c r="A998" s="27">
        <v>43438</v>
      </c>
      <c r="B998" s="21">
        <v>205.49100000000001</v>
      </c>
      <c r="C998">
        <v>248.64830000000001</v>
      </c>
      <c r="D998">
        <v>130.25856300000001</v>
      </c>
      <c r="E998" s="22">
        <v>100.30819737165444</v>
      </c>
    </row>
    <row r="999" spans="1:5" x14ac:dyDescent="0.4">
      <c r="A999" s="27">
        <v>43439</v>
      </c>
      <c r="B999" s="21">
        <v>203.02420000000001</v>
      </c>
      <c r="C999">
        <v>248.64949999999999</v>
      </c>
      <c r="D999">
        <v>130.25723400000001</v>
      </c>
      <c r="E999" s="22">
        <v>100.30717394876972</v>
      </c>
    </row>
    <row r="1000" spans="1:5" x14ac:dyDescent="0.4">
      <c r="A1000" s="27">
        <v>43440</v>
      </c>
      <c r="B1000" s="21">
        <v>196.76259999999999</v>
      </c>
      <c r="C1000">
        <v>248.77350000000001</v>
      </c>
      <c r="D1000">
        <v>130.255945</v>
      </c>
      <c r="E1000" s="22">
        <v>100.30618132868059</v>
      </c>
    </row>
    <row r="1001" spans="1:5" x14ac:dyDescent="0.4">
      <c r="A1001" s="27">
        <v>43441</v>
      </c>
      <c r="B1001" s="21">
        <v>198.05879999999999</v>
      </c>
      <c r="C1001">
        <v>248.5581</v>
      </c>
      <c r="D1001">
        <v>130.25464199999999</v>
      </c>
      <c r="E1001" s="22">
        <v>100.30517792761302</v>
      </c>
    </row>
    <row r="1002" spans="1:5" x14ac:dyDescent="0.4">
      <c r="A1002" s="27">
        <v>43444</v>
      </c>
      <c r="B1002" s="21">
        <v>194.35040000000001</v>
      </c>
      <c r="C1002">
        <v>248.7698</v>
      </c>
      <c r="D1002">
        <v>130.25074699999999</v>
      </c>
      <c r="E1002" s="22">
        <v>100.30217850538877</v>
      </c>
    </row>
    <row r="1003" spans="1:5" x14ac:dyDescent="0.4">
      <c r="A1003" s="27">
        <v>43445</v>
      </c>
      <c r="B1003" s="21">
        <v>197.3184</v>
      </c>
      <c r="C1003">
        <v>248.76480000000001</v>
      </c>
      <c r="D1003">
        <v>130.249458</v>
      </c>
      <c r="E1003" s="22">
        <v>100.30118588529966</v>
      </c>
    </row>
    <row r="1004" spans="1:5" x14ac:dyDescent="0.4">
      <c r="A1004" s="27">
        <v>43446</v>
      </c>
      <c r="B1004" s="21">
        <v>200.6302</v>
      </c>
      <c r="C1004">
        <v>248.839</v>
      </c>
      <c r="D1004">
        <v>130.24815599999999</v>
      </c>
      <c r="E1004" s="22">
        <v>100.30018325430197</v>
      </c>
    </row>
    <row r="1005" spans="1:5" x14ac:dyDescent="0.4">
      <c r="A1005" s="27">
        <v>43447</v>
      </c>
      <c r="B1005" s="21">
        <v>200.35400000000001</v>
      </c>
      <c r="C1005">
        <v>248.92410000000001</v>
      </c>
      <c r="D1005">
        <v>130.24685299999999</v>
      </c>
      <c r="E1005" s="22">
        <v>100.29917985323438</v>
      </c>
    </row>
    <row r="1006" spans="1:5" x14ac:dyDescent="0.4">
      <c r="A1006" s="27">
        <v>43448</v>
      </c>
      <c r="B1006" s="21">
        <v>199.09569999999999</v>
      </c>
      <c r="C1006">
        <v>249.09719999999999</v>
      </c>
      <c r="D1006">
        <v>130.24555100000001</v>
      </c>
      <c r="E1006" s="22">
        <v>100.2981772222367</v>
      </c>
    </row>
    <row r="1007" spans="1:5" x14ac:dyDescent="0.4">
      <c r="A1007" s="27">
        <v>43451</v>
      </c>
      <c r="B1007" s="21">
        <v>196.83150000000001</v>
      </c>
      <c r="C1007">
        <v>249.04</v>
      </c>
      <c r="D1007">
        <v>130.24161699999999</v>
      </c>
      <c r="E1007" s="22">
        <v>100.29514776728669</v>
      </c>
    </row>
    <row r="1008" spans="1:5" x14ac:dyDescent="0.4">
      <c r="A1008" s="27">
        <v>43452</v>
      </c>
      <c r="B1008" s="21">
        <v>195.191</v>
      </c>
      <c r="C1008">
        <v>249.23699999999999</v>
      </c>
      <c r="D1008">
        <v>130.24030200000001</v>
      </c>
      <c r="E1008" s="22">
        <v>100.29413512538045</v>
      </c>
    </row>
    <row r="1009" spans="1:5" x14ac:dyDescent="0.4">
      <c r="A1009" s="27">
        <v>43453</v>
      </c>
      <c r="B1009" s="21">
        <v>195.75360000000001</v>
      </c>
      <c r="C1009">
        <v>249.51740000000001</v>
      </c>
      <c r="D1009">
        <v>130.23897299999999</v>
      </c>
      <c r="E1009" s="22">
        <v>100.29311170249568</v>
      </c>
    </row>
    <row r="1010" spans="1:5" x14ac:dyDescent="0.4">
      <c r="A1010" s="27">
        <v>43454</v>
      </c>
      <c r="B1010" s="21">
        <v>192.97319999999999</v>
      </c>
      <c r="C1010">
        <v>249.84399999999999</v>
      </c>
      <c r="D1010">
        <v>130.23764499999999</v>
      </c>
      <c r="E1010" s="22">
        <v>100.29208904968085</v>
      </c>
    </row>
    <row r="1011" spans="1:5" x14ac:dyDescent="0.4">
      <c r="A1011" s="27">
        <v>43455</v>
      </c>
      <c r="B1011" s="21">
        <v>192.98560000000001</v>
      </c>
      <c r="C1011">
        <v>249.49799999999999</v>
      </c>
      <c r="D1011">
        <v>130.23632900000001</v>
      </c>
      <c r="E1011" s="22">
        <v>100.29107563770472</v>
      </c>
    </row>
    <row r="1012" spans="1:5" x14ac:dyDescent="0.4">
      <c r="A1012" s="27">
        <v>43458</v>
      </c>
      <c r="B1012" s="21">
        <v>192.17910000000001</v>
      </c>
      <c r="C1012">
        <v>249.5401</v>
      </c>
      <c r="D1012">
        <v>130.23226600000001</v>
      </c>
      <c r="E1012" s="22">
        <v>100.28794684373881</v>
      </c>
    </row>
    <row r="1013" spans="1:5" x14ac:dyDescent="0.4">
      <c r="A1013" s="27">
        <v>43461</v>
      </c>
      <c r="B1013" s="21">
        <v>188.96809999999999</v>
      </c>
      <c r="C1013">
        <v>249.88669999999999</v>
      </c>
      <c r="D1013">
        <v>130.22826800000001</v>
      </c>
      <c r="E1013" s="22">
        <v>100.28486810431581</v>
      </c>
    </row>
    <row r="1014" spans="1:5" x14ac:dyDescent="0.4">
      <c r="A1014" s="27">
        <v>43462</v>
      </c>
      <c r="B1014" s="21">
        <v>192.76070000000001</v>
      </c>
      <c r="C1014">
        <v>249.66640000000001</v>
      </c>
      <c r="D1014">
        <v>130.227057</v>
      </c>
      <c r="E1014" s="22">
        <v>100.28393554967816</v>
      </c>
    </row>
    <row r="1015" spans="1:5" x14ac:dyDescent="0.4">
      <c r="A1015" s="27">
        <v>43465</v>
      </c>
      <c r="B1015" s="21">
        <v>193.571</v>
      </c>
      <c r="C1015">
        <v>249.70840000000001</v>
      </c>
      <c r="D1015">
        <v>130.22320199999999</v>
      </c>
      <c r="E1015" s="22">
        <v>100.28096693024952</v>
      </c>
    </row>
    <row r="1016" spans="1:5" x14ac:dyDescent="0.4">
      <c r="A1016" s="27">
        <v>43467</v>
      </c>
      <c r="B1016" s="21">
        <v>193.30600000000001</v>
      </c>
      <c r="C1016">
        <v>250.4076</v>
      </c>
      <c r="D1016">
        <v>130.22062399999999</v>
      </c>
      <c r="E1016" s="22">
        <v>100.2789816900713</v>
      </c>
    </row>
    <row r="1017" spans="1:5" x14ac:dyDescent="0.4">
      <c r="A1017" s="27">
        <v>43468</v>
      </c>
      <c r="B1017" s="21">
        <v>191.5498</v>
      </c>
      <c r="C1017">
        <v>249.9605</v>
      </c>
      <c r="D1017">
        <v>130.21929499999999</v>
      </c>
      <c r="E1017" s="22">
        <v>100.27795826718658</v>
      </c>
    </row>
    <row r="1018" spans="1:5" x14ac:dyDescent="0.4">
      <c r="A1018" s="27">
        <v>43469</v>
      </c>
      <c r="B1018" s="21">
        <v>196.9708</v>
      </c>
      <c r="C1018">
        <v>249.32159999999999</v>
      </c>
      <c r="D1018">
        <v>130.21796699999999</v>
      </c>
      <c r="E1018" s="22">
        <v>100.27693561437172</v>
      </c>
    </row>
    <row r="1019" spans="1:5" x14ac:dyDescent="0.4">
      <c r="A1019" s="27">
        <v>43472</v>
      </c>
      <c r="B1019" s="21">
        <v>196.48939999999999</v>
      </c>
      <c r="C1019">
        <v>249.05350000000001</v>
      </c>
      <c r="D1019">
        <v>130.214009</v>
      </c>
      <c r="E1019" s="22">
        <v>100.27388767774437</v>
      </c>
    </row>
    <row r="1020" spans="1:5" x14ac:dyDescent="0.4">
      <c r="A1020" s="27">
        <v>43473</v>
      </c>
      <c r="B1020" s="21">
        <v>198.12459999999999</v>
      </c>
      <c r="C1020">
        <v>248.7433</v>
      </c>
      <c r="D1020">
        <v>130.212693</v>
      </c>
      <c r="E1020" s="22">
        <v>100.27287426576821</v>
      </c>
    </row>
    <row r="1021" spans="1:5" x14ac:dyDescent="0.4">
      <c r="A1021" s="27">
        <v>43474</v>
      </c>
      <c r="B1021" s="21">
        <v>199.1619</v>
      </c>
      <c r="C1021">
        <v>249.1037</v>
      </c>
      <c r="D1021">
        <v>130.211378</v>
      </c>
      <c r="E1021" s="22">
        <v>100.27186162386195</v>
      </c>
    </row>
    <row r="1022" spans="1:5" x14ac:dyDescent="0.4">
      <c r="A1022" s="27">
        <v>43475</v>
      </c>
      <c r="B1022" s="21">
        <v>199.88480000000001</v>
      </c>
      <c r="C1022">
        <v>249.3006</v>
      </c>
      <c r="D1022">
        <v>130.21006299999999</v>
      </c>
      <c r="E1022" s="22">
        <v>100.27084898195567</v>
      </c>
    </row>
    <row r="1023" spans="1:5" x14ac:dyDescent="0.4">
      <c r="A1023" s="27">
        <v>43476</v>
      </c>
      <c r="B1023" s="21">
        <v>200.00890000000001</v>
      </c>
      <c r="C1023">
        <v>249.55969999999999</v>
      </c>
      <c r="D1023">
        <v>130.20873499999999</v>
      </c>
      <c r="E1023" s="22">
        <v>100.26982632914083</v>
      </c>
    </row>
    <row r="1024" spans="1:5" x14ac:dyDescent="0.4">
      <c r="A1024" s="27">
        <v>43479</v>
      </c>
      <c r="B1024" s="21">
        <v>199.08609999999999</v>
      </c>
      <c r="C1024">
        <v>249.8843</v>
      </c>
      <c r="D1024">
        <v>130.20476400000001</v>
      </c>
      <c r="E1024" s="22">
        <v>100.26676838160489</v>
      </c>
    </row>
    <row r="1025" spans="1:5" x14ac:dyDescent="0.4">
      <c r="A1025" s="27">
        <v>43480</v>
      </c>
      <c r="B1025" s="21">
        <v>199.7876</v>
      </c>
      <c r="C1025">
        <v>250.13059999999999</v>
      </c>
      <c r="D1025">
        <v>130.20343500000001</v>
      </c>
      <c r="E1025" s="22">
        <v>100.26574495872016</v>
      </c>
    </row>
    <row r="1026" spans="1:5" x14ac:dyDescent="0.4">
      <c r="A1026" s="27">
        <v>43481</v>
      </c>
      <c r="B1026" s="21">
        <v>200.70050000000001</v>
      </c>
      <c r="C1026">
        <v>250.2218</v>
      </c>
      <c r="D1026">
        <v>130.20210700000001</v>
      </c>
      <c r="E1026" s="22">
        <v>100.26472230590531</v>
      </c>
    </row>
    <row r="1027" spans="1:5" x14ac:dyDescent="0.4">
      <c r="A1027" s="27">
        <v>43482</v>
      </c>
      <c r="B1027" s="21">
        <v>200.7748</v>
      </c>
      <c r="C1027">
        <v>250.1011</v>
      </c>
      <c r="D1027">
        <v>130.20076599999999</v>
      </c>
      <c r="E1027" s="22">
        <v>100.26368964218186</v>
      </c>
    </row>
    <row r="1028" spans="1:5" x14ac:dyDescent="0.4">
      <c r="A1028" s="27">
        <v>43483</v>
      </c>
      <c r="B1028" s="21">
        <v>204.47489999999999</v>
      </c>
      <c r="C1028">
        <v>250.1293</v>
      </c>
      <c r="D1028">
        <v>130.19943799999999</v>
      </c>
      <c r="E1028" s="22">
        <v>100.26266698936701</v>
      </c>
    </row>
    <row r="1029" spans="1:5" x14ac:dyDescent="0.4">
      <c r="A1029" s="27">
        <v>43486</v>
      </c>
      <c r="B1029" s="21">
        <v>204.07490000000001</v>
      </c>
      <c r="C1029">
        <v>250.10640000000001</v>
      </c>
      <c r="D1029">
        <v>130.195415</v>
      </c>
      <c r="E1029" s="22">
        <v>100.25956899819674</v>
      </c>
    </row>
    <row r="1030" spans="1:5" x14ac:dyDescent="0.4">
      <c r="A1030" s="27">
        <v>43487</v>
      </c>
      <c r="B1030" s="21">
        <v>203.2029</v>
      </c>
      <c r="C1030">
        <v>250.43809999999999</v>
      </c>
      <c r="D1030">
        <v>130.194087</v>
      </c>
      <c r="E1030" s="22">
        <v>100.25854634538192</v>
      </c>
    </row>
    <row r="1031" spans="1:5" x14ac:dyDescent="0.4">
      <c r="A1031" s="27">
        <v>43488</v>
      </c>
      <c r="B1031" s="21">
        <v>203.04310000000001</v>
      </c>
      <c r="C1031">
        <v>250.55459999999999</v>
      </c>
      <c r="D1031">
        <v>130.192759</v>
      </c>
      <c r="E1031" s="22">
        <v>100.25752369256706</v>
      </c>
    </row>
    <row r="1032" spans="1:5" x14ac:dyDescent="0.4">
      <c r="A1032" s="27">
        <v>43489</v>
      </c>
      <c r="B1032" s="21">
        <v>203.5378</v>
      </c>
      <c r="C1032">
        <v>251.3621</v>
      </c>
      <c r="D1032">
        <v>130.19143099999999</v>
      </c>
      <c r="E1032" s="22">
        <v>100.25650103975221</v>
      </c>
    </row>
    <row r="1033" spans="1:5" x14ac:dyDescent="0.4">
      <c r="A1033" s="27">
        <v>43490</v>
      </c>
      <c r="B1033" s="21">
        <v>204.76439999999999</v>
      </c>
      <c r="C1033">
        <v>251.386</v>
      </c>
      <c r="D1033">
        <v>130.19010299999999</v>
      </c>
      <c r="E1033" s="22">
        <v>100.25547838693738</v>
      </c>
    </row>
    <row r="1034" spans="1:5" x14ac:dyDescent="0.4">
      <c r="A1034" s="27">
        <v>43493</v>
      </c>
      <c r="B1034" s="21">
        <v>202.79239999999999</v>
      </c>
      <c r="C1034">
        <v>251.25470000000001</v>
      </c>
      <c r="D1034">
        <v>130.186106</v>
      </c>
      <c r="E1034" s="22">
        <v>100.25240041758425</v>
      </c>
    </row>
    <row r="1035" spans="1:5" x14ac:dyDescent="0.4">
      <c r="A1035" s="27">
        <v>43494</v>
      </c>
      <c r="B1035" s="21">
        <v>204.4254</v>
      </c>
      <c r="C1035">
        <v>251.39439999999999</v>
      </c>
      <c r="D1035">
        <v>130.18477799999999</v>
      </c>
      <c r="E1035" s="22">
        <v>100.25137776476942</v>
      </c>
    </row>
    <row r="1036" spans="1:5" x14ac:dyDescent="0.4">
      <c r="A1036" s="27">
        <v>43495</v>
      </c>
      <c r="B1036" s="21">
        <v>205.28059999999999</v>
      </c>
      <c r="C1036">
        <v>251.52699999999999</v>
      </c>
      <c r="D1036">
        <v>130.18345099999999</v>
      </c>
      <c r="E1036" s="22">
        <v>100.25035588202446</v>
      </c>
    </row>
    <row r="1037" spans="1:5" x14ac:dyDescent="0.4">
      <c r="A1037" s="27">
        <v>43496</v>
      </c>
      <c r="B1037" s="21">
        <v>205.5504</v>
      </c>
      <c r="C1037">
        <v>252.09909999999999</v>
      </c>
      <c r="D1037">
        <v>130.18212299999999</v>
      </c>
      <c r="E1037" s="22">
        <v>100.24933322920961</v>
      </c>
    </row>
    <row r="1038" spans="1:5" x14ac:dyDescent="0.4">
      <c r="A1038" s="27">
        <v>43497</v>
      </c>
      <c r="B1038" s="21">
        <v>206.18199999999999</v>
      </c>
      <c r="C1038">
        <v>251.66480000000001</v>
      </c>
      <c r="D1038">
        <v>130.180834</v>
      </c>
      <c r="E1038" s="22">
        <v>100.24834060912052</v>
      </c>
    </row>
    <row r="1039" spans="1:5" x14ac:dyDescent="0.4">
      <c r="A1039" s="27">
        <v>43500</v>
      </c>
      <c r="B1039" s="21">
        <v>206.30950000000001</v>
      </c>
      <c r="C1039">
        <v>251.51</v>
      </c>
      <c r="D1039">
        <v>130.17687599999999</v>
      </c>
      <c r="E1039" s="22">
        <v>100.24529267249314</v>
      </c>
    </row>
    <row r="1040" spans="1:5" x14ac:dyDescent="0.4">
      <c r="A1040" s="27">
        <v>43501</v>
      </c>
      <c r="B1040" s="21">
        <v>209.3039</v>
      </c>
      <c r="C1040">
        <v>251.56870000000001</v>
      </c>
      <c r="D1040">
        <v>130.17556200000001</v>
      </c>
      <c r="E1040" s="22">
        <v>100.24428080065677</v>
      </c>
    </row>
    <row r="1041" spans="1:5" x14ac:dyDescent="0.4">
      <c r="A1041" s="27">
        <v>43502</v>
      </c>
      <c r="B1041" s="21">
        <v>209.62190000000001</v>
      </c>
      <c r="C1041">
        <v>251.5675</v>
      </c>
      <c r="D1041">
        <v>130.17424700000001</v>
      </c>
      <c r="E1041" s="22">
        <v>100.24326815875051</v>
      </c>
    </row>
    <row r="1042" spans="1:5" x14ac:dyDescent="0.4">
      <c r="A1042" s="27">
        <v>43503</v>
      </c>
      <c r="B1042" s="21">
        <v>206.54580000000001</v>
      </c>
      <c r="C1042">
        <v>251.76820000000001</v>
      </c>
      <c r="D1042">
        <v>130.172932</v>
      </c>
      <c r="E1042" s="22">
        <v>100.24225551684425</v>
      </c>
    </row>
    <row r="1043" spans="1:5" x14ac:dyDescent="0.4">
      <c r="A1043" s="27">
        <v>43504</v>
      </c>
      <c r="B1043" s="21">
        <v>205.4084</v>
      </c>
      <c r="C1043">
        <v>251.81800000000001</v>
      </c>
      <c r="D1043">
        <v>130.171617</v>
      </c>
      <c r="E1043" s="22">
        <v>100.24124287493797</v>
      </c>
    </row>
    <row r="1044" spans="1:5" x14ac:dyDescent="0.4">
      <c r="A1044" s="27">
        <v>43507</v>
      </c>
      <c r="B1044" s="21">
        <v>207.15190000000001</v>
      </c>
      <c r="C1044">
        <v>251.7587</v>
      </c>
      <c r="D1044">
        <v>130.167686</v>
      </c>
      <c r="E1044" s="22">
        <v>100.23821573019764</v>
      </c>
    </row>
    <row r="1045" spans="1:5" x14ac:dyDescent="0.4">
      <c r="A1045" s="27">
        <v>43508</v>
      </c>
      <c r="B1045" s="21">
        <v>208.1069</v>
      </c>
      <c r="C1045">
        <v>251.7088</v>
      </c>
      <c r="D1045">
        <v>130.166358</v>
      </c>
      <c r="E1045" s="22">
        <v>100.23719307738278</v>
      </c>
    </row>
    <row r="1046" spans="1:5" x14ac:dyDescent="0.4">
      <c r="A1046" s="27">
        <v>43509</v>
      </c>
      <c r="B1046" s="21">
        <v>209.34520000000001</v>
      </c>
      <c r="C1046">
        <v>251.9264</v>
      </c>
      <c r="D1046">
        <v>130.165031</v>
      </c>
      <c r="E1046" s="22">
        <v>100.23617119463783</v>
      </c>
    </row>
    <row r="1047" spans="1:5" x14ac:dyDescent="0.4">
      <c r="A1047" s="27">
        <v>43510</v>
      </c>
      <c r="B1047" s="21">
        <v>208.8091</v>
      </c>
      <c r="C1047">
        <v>252.18389999999999</v>
      </c>
      <c r="D1047">
        <v>130.163703</v>
      </c>
      <c r="E1047" s="22">
        <v>100.23514854182301</v>
      </c>
    </row>
    <row r="1048" spans="1:5" x14ac:dyDescent="0.4">
      <c r="A1048" s="27">
        <v>43511</v>
      </c>
      <c r="B1048" s="21">
        <v>211.75479999999999</v>
      </c>
      <c r="C1048">
        <v>252.0977</v>
      </c>
      <c r="D1048">
        <v>130.162362</v>
      </c>
      <c r="E1048" s="22">
        <v>100.23411587809959</v>
      </c>
    </row>
    <row r="1049" spans="1:5" x14ac:dyDescent="0.4">
      <c r="A1049" s="27">
        <v>43514</v>
      </c>
      <c r="B1049" s="21">
        <v>212.15969999999999</v>
      </c>
      <c r="C1049">
        <v>252.21270000000001</v>
      </c>
      <c r="D1049">
        <v>130.158366</v>
      </c>
      <c r="E1049" s="22">
        <v>100.23103867881635</v>
      </c>
    </row>
    <row r="1050" spans="1:5" x14ac:dyDescent="0.4">
      <c r="A1050" s="27">
        <v>43515</v>
      </c>
      <c r="B1050" s="21">
        <v>211.7655</v>
      </c>
      <c r="C1050">
        <v>252.32259999999999</v>
      </c>
      <c r="D1050">
        <v>130.157026</v>
      </c>
      <c r="E1050" s="22">
        <v>100.23000678516283</v>
      </c>
    </row>
    <row r="1051" spans="1:5" x14ac:dyDescent="0.4">
      <c r="A1051" s="27">
        <v>43516</v>
      </c>
      <c r="B1051" s="21">
        <v>213.19030000000001</v>
      </c>
      <c r="C1051">
        <v>252.32079999999999</v>
      </c>
      <c r="D1051">
        <v>130.155698</v>
      </c>
      <c r="E1051" s="22">
        <v>100.22898413234797</v>
      </c>
    </row>
    <row r="1052" spans="1:5" x14ac:dyDescent="0.4">
      <c r="A1052" s="27">
        <v>43517</v>
      </c>
      <c r="B1052" s="21">
        <v>212.73580000000001</v>
      </c>
      <c r="C1052">
        <v>252.0412</v>
      </c>
      <c r="D1052">
        <v>130.154358</v>
      </c>
      <c r="E1052" s="22">
        <v>100.22795223869446</v>
      </c>
    </row>
    <row r="1053" spans="1:5" x14ac:dyDescent="0.4">
      <c r="A1053" s="27">
        <v>43518</v>
      </c>
      <c r="B1053" s="21">
        <v>213.20169999999999</v>
      </c>
      <c r="C1053">
        <v>252.34039999999999</v>
      </c>
      <c r="D1053">
        <v>130.15301700000001</v>
      </c>
      <c r="E1053" s="22">
        <v>100.22691957497103</v>
      </c>
    </row>
    <row r="1054" spans="1:5" x14ac:dyDescent="0.4">
      <c r="A1054" s="27">
        <v>43521</v>
      </c>
      <c r="B1054" s="21">
        <v>213.7346</v>
      </c>
      <c r="C1054">
        <v>252.48500000000001</v>
      </c>
      <c r="D1054">
        <v>130.149021</v>
      </c>
      <c r="E1054" s="22">
        <v>100.22384237568779</v>
      </c>
    </row>
    <row r="1055" spans="1:5" x14ac:dyDescent="0.4">
      <c r="A1055" s="27">
        <v>43522</v>
      </c>
      <c r="B1055" s="21">
        <v>214.47980000000001</v>
      </c>
      <c r="C1055">
        <v>252.55420000000001</v>
      </c>
      <c r="D1055">
        <v>130.14768100000001</v>
      </c>
      <c r="E1055" s="22">
        <v>100.22281048203428</v>
      </c>
    </row>
    <row r="1056" spans="1:5" x14ac:dyDescent="0.4">
      <c r="A1056" s="27">
        <v>43523</v>
      </c>
      <c r="B1056" s="21">
        <v>213.9007</v>
      </c>
      <c r="C1056">
        <v>252.01900000000001</v>
      </c>
      <c r="D1056">
        <v>130.14634000000001</v>
      </c>
      <c r="E1056" s="22">
        <v>100.22177781831085</v>
      </c>
    </row>
    <row r="1057" spans="1:5" x14ac:dyDescent="0.4">
      <c r="A1057" s="27">
        <v>43524</v>
      </c>
      <c r="B1057" s="21">
        <v>214.08680000000001</v>
      </c>
      <c r="C1057">
        <v>251.904</v>
      </c>
      <c r="D1057">
        <v>130.14500000000001</v>
      </c>
      <c r="E1057" s="22">
        <v>100.22074592465731</v>
      </c>
    </row>
    <row r="1058" spans="1:5" x14ac:dyDescent="0.4">
      <c r="A1058" s="27">
        <v>43525</v>
      </c>
      <c r="B1058" s="21">
        <v>214.88679999999999</v>
      </c>
      <c r="C1058">
        <v>251.7929</v>
      </c>
      <c r="D1058">
        <v>130.143685</v>
      </c>
      <c r="E1058" s="22">
        <v>100.21973328275105</v>
      </c>
    </row>
    <row r="1059" spans="1:5" x14ac:dyDescent="0.4">
      <c r="A1059" s="27">
        <v>43528</v>
      </c>
      <c r="B1059" s="21">
        <v>215.50980000000001</v>
      </c>
      <c r="C1059">
        <v>252.1293</v>
      </c>
      <c r="D1059">
        <v>130.13969</v>
      </c>
      <c r="E1059" s="22">
        <v>100.21665685353771</v>
      </c>
    </row>
    <row r="1060" spans="1:5" x14ac:dyDescent="0.4">
      <c r="A1060" s="27">
        <v>43529</v>
      </c>
      <c r="B1060" s="21">
        <v>215.83279999999999</v>
      </c>
      <c r="C1060">
        <v>252.2022</v>
      </c>
      <c r="D1060">
        <v>130.13834900000001</v>
      </c>
      <c r="E1060" s="22">
        <v>100.21562418981429</v>
      </c>
    </row>
    <row r="1061" spans="1:5" x14ac:dyDescent="0.4">
      <c r="A1061" s="27">
        <v>43530</v>
      </c>
      <c r="B1061" s="21">
        <v>215.7535</v>
      </c>
      <c r="C1061">
        <v>252.83340000000001</v>
      </c>
      <c r="D1061">
        <v>130.13700900000001</v>
      </c>
      <c r="E1061" s="22">
        <v>100.21459229616076</v>
      </c>
    </row>
    <row r="1062" spans="1:5" x14ac:dyDescent="0.4">
      <c r="A1062" s="27">
        <v>43531</v>
      </c>
      <c r="B1062" s="21">
        <v>215.1491</v>
      </c>
      <c r="C1062">
        <v>253.89359999999999</v>
      </c>
      <c r="D1062">
        <v>130.135682</v>
      </c>
      <c r="E1062" s="22">
        <v>100.21357041341581</v>
      </c>
    </row>
    <row r="1063" spans="1:5" x14ac:dyDescent="0.4">
      <c r="A1063" s="27">
        <v>43532</v>
      </c>
      <c r="B1063" s="21">
        <v>213.18289999999999</v>
      </c>
      <c r="C1063">
        <v>253.88499999999999</v>
      </c>
      <c r="D1063">
        <v>130.134367</v>
      </c>
      <c r="E1063" s="22">
        <v>100.21255777150952</v>
      </c>
    </row>
    <row r="1064" spans="1:5" x14ac:dyDescent="0.4">
      <c r="A1064" s="27">
        <v>43535</v>
      </c>
      <c r="B1064" s="21">
        <v>214.85820000000001</v>
      </c>
      <c r="C1064">
        <v>253.82380000000001</v>
      </c>
      <c r="D1064">
        <v>130.13037199999999</v>
      </c>
      <c r="E1064" s="22">
        <v>100.20948134229619</v>
      </c>
    </row>
    <row r="1065" spans="1:5" x14ac:dyDescent="0.4">
      <c r="A1065" s="27">
        <v>43536</v>
      </c>
      <c r="B1065" s="21">
        <v>214.6978</v>
      </c>
      <c r="C1065">
        <v>253.79499999999999</v>
      </c>
      <c r="D1065">
        <v>130.129032</v>
      </c>
      <c r="E1065" s="22">
        <v>100.20844944864267</v>
      </c>
    </row>
    <row r="1066" spans="1:5" x14ac:dyDescent="0.4">
      <c r="A1066" s="27">
        <v>43537</v>
      </c>
      <c r="B1066" s="21">
        <v>216.03229999999999</v>
      </c>
      <c r="C1066">
        <v>253.72649999999999</v>
      </c>
      <c r="D1066">
        <v>130.12770399999999</v>
      </c>
      <c r="E1066" s="22">
        <v>100.20742679582781</v>
      </c>
    </row>
    <row r="1067" spans="1:5" x14ac:dyDescent="0.4">
      <c r="A1067" s="27">
        <v>43538</v>
      </c>
      <c r="B1067" s="21">
        <v>217.74090000000001</v>
      </c>
      <c r="C1067">
        <v>253.82429999999999</v>
      </c>
      <c r="D1067">
        <v>130.12637699999999</v>
      </c>
      <c r="E1067" s="22">
        <v>100.20640491308286</v>
      </c>
    </row>
    <row r="1068" spans="1:5" x14ac:dyDescent="0.4">
      <c r="A1068" s="27">
        <v>43539</v>
      </c>
      <c r="B1068" s="21">
        <v>219.22030000000001</v>
      </c>
      <c r="C1068">
        <v>253.90129999999999</v>
      </c>
      <c r="D1068">
        <v>130.12504999999999</v>
      </c>
      <c r="E1068" s="22">
        <v>100.2053830303379</v>
      </c>
    </row>
    <row r="1069" spans="1:5" x14ac:dyDescent="0.4">
      <c r="A1069" s="27">
        <v>43542</v>
      </c>
      <c r="B1069" s="21">
        <v>219.89709999999999</v>
      </c>
      <c r="C1069">
        <v>254.3528</v>
      </c>
      <c r="D1069">
        <v>130.121081</v>
      </c>
      <c r="E1069" s="22">
        <v>100.20232662294175</v>
      </c>
    </row>
    <row r="1070" spans="1:5" x14ac:dyDescent="0.4">
      <c r="A1070" s="27">
        <v>43543</v>
      </c>
      <c r="B1070" s="21">
        <v>221.18369999999999</v>
      </c>
      <c r="C1070">
        <v>254.09800000000001</v>
      </c>
      <c r="D1070">
        <v>130.119754</v>
      </c>
      <c r="E1070" s="22">
        <v>100.20130474019679</v>
      </c>
    </row>
    <row r="1071" spans="1:5" x14ac:dyDescent="0.4">
      <c r="A1071" s="27">
        <v>43544</v>
      </c>
      <c r="B1071" s="21">
        <v>219.1557</v>
      </c>
      <c r="C1071">
        <v>254.18010000000001</v>
      </c>
      <c r="D1071">
        <v>130.118427</v>
      </c>
      <c r="E1071" s="22">
        <v>100.20028285745184</v>
      </c>
    </row>
    <row r="1072" spans="1:5" x14ac:dyDescent="0.4">
      <c r="A1072" s="27">
        <v>43545</v>
      </c>
      <c r="B1072" s="21">
        <v>219.21430000000001</v>
      </c>
      <c r="C1072">
        <v>254.89160000000001</v>
      </c>
      <c r="D1072">
        <v>130.117086</v>
      </c>
      <c r="E1072" s="22">
        <v>100.19925019372842</v>
      </c>
    </row>
    <row r="1073" spans="1:5" x14ac:dyDescent="0.4">
      <c r="A1073" s="27">
        <v>43546</v>
      </c>
      <c r="B1073" s="21">
        <v>216.55500000000001</v>
      </c>
      <c r="C1073">
        <v>255.6679</v>
      </c>
      <c r="D1073">
        <v>130.115746</v>
      </c>
      <c r="E1073" s="22">
        <v>100.1982183000749</v>
      </c>
    </row>
    <row r="1074" spans="1:5" x14ac:dyDescent="0.4">
      <c r="A1074" s="27">
        <v>43549</v>
      </c>
      <c r="B1074" s="21">
        <v>215.56899999999999</v>
      </c>
      <c r="C1074">
        <v>255.47040000000001</v>
      </c>
      <c r="D1074">
        <v>130.111752</v>
      </c>
      <c r="E1074" s="22">
        <v>100.19514264093144</v>
      </c>
    </row>
    <row r="1075" spans="1:5" x14ac:dyDescent="0.4">
      <c r="A1075" s="27">
        <v>43550</v>
      </c>
      <c r="B1075" s="21">
        <v>217.20859999999999</v>
      </c>
      <c r="C1075">
        <v>255.52719999999999</v>
      </c>
      <c r="D1075">
        <v>130.11042399999999</v>
      </c>
      <c r="E1075" s="22">
        <v>100.1941199881166</v>
      </c>
    </row>
    <row r="1076" spans="1:5" x14ac:dyDescent="0.4">
      <c r="A1076" s="27">
        <v>43551</v>
      </c>
      <c r="B1076" s="21">
        <v>217.3075</v>
      </c>
      <c r="C1076">
        <v>256.46249999999998</v>
      </c>
      <c r="D1076">
        <v>130.10909699999999</v>
      </c>
      <c r="E1076" s="22">
        <v>100.19309810537163</v>
      </c>
    </row>
    <row r="1077" spans="1:5" x14ac:dyDescent="0.4">
      <c r="A1077" s="27">
        <v>43552</v>
      </c>
      <c r="B1077" s="21">
        <v>217.04400000000001</v>
      </c>
      <c r="C1077">
        <v>256.07850000000002</v>
      </c>
      <c r="D1077">
        <v>130.10775699999999</v>
      </c>
      <c r="E1077" s="22">
        <v>100.1920662117181</v>
      </c>
    </row>
    <row r="1078" spans="1:5" x14ac:dyDescent="0.4">
      <c r="A1078" s="27">
        <v>43553</v>
      </c>
      <c r="B1078" s="21">
        <v>218.4333</v>
      </c>
      <c r="C1078">
        <v>255.97300000000001</v>
      </c>
      <c r="D1078">
        <v>130.10642999999999</v>
      </c>
      <c r="E1078" s="22">
        <v>100.19104432897315</v>
      </c>
    </row>
    <row r="1079" spans="1:5" x14ac:dyDescent="0.4">
      <c r="A1079" s="27">
        <v>43556</v>
      </c>
      <c r="B1079" s="21">
        <v>221.0746</v>
      </c>
      <c r="C1079">
        <v>255.4068</v>
      </c>
      <c r="D1079">
        <v>130.102566</v>
      </c>
      <c r="E1079" s="22">
        <v>100.18806877891551</v>
      </c>
    </row>
    <row r="1080" spans="1:5" x14ac:dyDescent="0.4">
      <c r="A1080" s="27">
        <v>43557</v>
      </c>
      <c r="B1080" s="21">
        <v>221.85560000000001</v>
      </c>
      <c r="C1080">
        <v>255.75190000000001</v>
      </c>
      <c r="D1080">
        <v>130.10123899999999</v>
      </c>
      <c r="E1080" s="22">
        <v>100.18704689617056</v>
      </c>
    </row>
    <row r="1081" spans="1:5" x14ac:dyDescent="0.4">
      <c r="A1081" s="27">
        <v>43558</v>
      </c>
      <c r="B1081" s="21">
        <v>223.98339999999999</v>
      </c>
      <c r="C1081">
        <v>255.16</v>
      </c>
      <c r="D1081">
        <v>130.09991199999999</v>
      </c>
      <c r="E1081" s="22">
        <v>100.18602501342559</v>
      </c>
    </row>
    <row r="1082" spans="1:5" x14ac:dyDescent="0.4">
      <c r="A1082" s="27">
        <v>43559</v>
      </c>
      <c r="B1082" s="21">
        <v>223.54660000000001</v>
      </c>
      <c r="C1082">
        <v>255.4676</v>
      </c>
      <c r="D1082">
        <v>130.09858500000001</v>
      </c>
      <c r="E1082" s="22">
        <v>100.18500313068066</v>
      </c>
    </row>
    <row r="1083" spans="1:5" x14ac:dyDescent="0.4">
      <c r="A1083" s="27">
        <v>43560</v>
      </c>
      <c r="B1083" s="21">
        <v>223.82919999999999</v>
      </c>
      <c r="C1083">
        <v>255.54750000000001</v>
      </c>
      <c r="D1083">
        <v>130.09725800000001</v>
      </c>
      <c r="E1083" s="22">
        <v>100.18398124793571</v>
      </c>
    </row>
    <row r="1084" spans="1:5" x14ac:dyDescent="0.4">
      <c r="A1084" s="27">
        <v>43563</v>
      </c>
      <c r="B1084" s="21">
        <v>223.53729999999999</v>
      </c>
      <c r="C1084">
        <v>255.59399999999999</v>
      </c>
      <c r="D1084">
        <v>130.093264</v>
      </c>
      <c r="E1084" s="22">
        <v>100.18090558879224</v>
      </c>
    </row>
    <row r="1085" spans="1:5" x14ac:dyDescent="0.4">
      <c r="A1085" s="27">
        <v>43564</v>
      </c>
      <c r="B1085" s="21">
        <v>222.48830000000001</v>
      </c>
      <c r="C1085">
        <v>255.80760000000001</v>
      </c>
      <c r="D1085">
        <v>130.09192400000001</v>
      </c>
      <c r="E1085" s="22">
        <v>100.17987369513872</v>
      </c>
    </row>
    <row r="1086" spans="1:5" x14ac:dyDescent="0.4">
      <c r="A1086" s="27">
        <v>43565</v>
      </c>
      <c r="B1086" s="21">
        <v>223.11009999999999</v>
      </c>
      <c r="C1086">
        <v>256.28769999999997</v>
      </c>
      <c r="D1086">
        <v>130.090597</v>
      </c>
      <c r="E1086" s="22">
        <v>100.17885181239376</v>
      </c>
    </row>
    <row r="1087" spans="1:5" x14ac:dyDescent="0.4">
      <c r="A1087" s="27">
        <v>43566</v>
      </c>
      <c r="B1087" s="21">
        <v>223.3459</v>
      </c>
      <c r="C1087">
        <v>256.24239999999998</v>
      </c>
      <c r="D1087">
        <v>130.08927</v>
      </c>
      <c r="E1087" s="22">
        <v>100.17782992964881</v>
      </c>
    </row>
    <row r="1088" spans="1:5" x14ac:dyDescent="0.4">
      <c r="A1088" s="27">
        <v>43567</v>
      </c>
      <c r="B1088" s="21">
        <v>223.74420000000001</v>
      </c>
      <c r="C1088">
        <v>255.4452</v>
      </c>
      <c r="D1088">
        <v>130.087943</v>
      </c>
      <c r="E1088" s="22">
        <v>100.17680804690386</v>
      </c>
    </row>
    <row r="1089" spans="1:5" x14ac:dyDescent="0.4">
      <c r="A1089" s="27">
        <v>43570</v>
      </c>
      <c r="B1089" s="21">
        <v>224.15379999999999</v>
      </c>
      <c r="C1089">
        <v>255.3115</v>
      </c>
      <c r="D1089">
        <v>130.084001</v>
      </c>
      <c r="E1089" s="22">
        <v>100.17377243139474</v>
      </c>
    </row>
    <row r="1090" spans="1:5" x14ac:dyDescent="0.4">
      <c r="A1090" s="27">
        <v>43571</v>
      </c>
      <c r="B1090" s="21">
        <v>224.79259999999999</v>
      </c>
      <c r="C1090">
        <v>255.21199999999999</v>
      </c>
      <c r="D1090">
        <v>130.08267499999999</v>
      </c>
      <c r="E1090" s="22">
        <v>100.17275131871966</v>
      </c>
    </row>
    <row r="1091" spans="1:5" x14ac:dyDescent="0.4">
      <c r="A1091" s="27">
        <v>43572</v>
      </c>
      <c r="B1091" s="21">
        <v>225.13339999999999</v>
      </c>
      <c r="C1091">
        <v>254.95910000000001</v>
      </c>
      <c r="D1091">
        <v>130.08134799999999</v>
      </c>
      <c r="E1091" s="22">
        <v>100.1717294359747</v>
      </c>
    </row>
    <row r="1092" spans="1:5" x14ac:dyDescent="0.4">
      <c r="A1092" s="27">
        <v>43573</v>
      </c>
      <c r="B1092" s="21">
        <v>225.67769999999999</v>
      </c>
      <c r="C1092">
        <v>255.74260000000001</v>
      </c>
      <c r="D1092">
        <v>130.08002099999999</v>
      </c>
      <c r="E1092" s="22">
        <v>100.17070755322975</v>
      </c>
    </row>
    <row r="1093" spans="1:5" x14ac:dyDescent="0.4">
      <c r="A1093" s="27">
        <v>43578</v>
      </c>
      <c r="B1093" s="21">
        <v>226.3278</v>
      </c>
      <c r="C1093">
        <v>255.32239999999999</v>
      </c>
      <c r="D1093">
        <v>130.07341299999999</v>
      </c>
      <c r="E1093" s="22">
        <v>100.16561893139202</v>
      </c>
    </row>
    <row r="1094" spans="1:5" x14ac:dyDescent="0.4">
      <c r="A1094" s="27">
        <v>43579</v>
      </c>
      <c r="B1094" s="21">
        <v>226.00919999999999</v>
      </c>
      <c r="C1094">
        <v>256.14359999999999</v>
      </c>
      <c r="D1094">
        <v>130.07208600000001</v>
      </c>
      <c r="E1094" s="22">
        <v>100.16459704864708</v>
      </c>
    </row>
    <row r="1095" spans="1:5" x14ac:dyDescent="0.4">
      <c r="A1095" s="27">
        <v>43580</v>
      </c>
      <c r="B1095" s="21">
        <v>225.68790000000001</v>
      </c>
      <c r="C1095">
        <v>255.86259999999999</v>
      </c>
      <c r="D1095">
        <v>130.07075900000001</v>
      </c>
      <c r="E1095" s="22">
        <v>100.16357516590213</v>
      </c>
    </row>
    <row r="1096" spans="1:5" x14ac:dyDescent="0.4">
      <c r="A1096" s="27">
        <v>43581</v>
      </c>
      <c r="B1096" s="21">
        <v>226.2056</v>
      </c>
      <c r="C1096">
        <v>256.31459999999998</v>
      </c>
      <c r="D1096">
        <v>130.069433</v>
      </c>
      <c r="E1096" s="22">
        <v>100.16255405322707</v>
      </c>
    </row>
    <row r="1097" spans="1:5" x14ac:dyDescent="0.4">
      <c r="A1097" s="27">
        <v>43584</v>
      </c>
      <c r="B1097" s="21">
        <v>226.4966</v>
      </c>
      <c r="C1097">
        <v>256.27870000000001</v>
      </c>
      <c r="D1097">
        <v>130.065427</v>
      </c>
      <c r="E1097" s="22">
        <v>100.15946915324494</v>
      </c>
    </row>
    <row r="1098" spans="1:5" x14ac:dyDescent="0.4">
      <c r="A1098" s="27">
        <v>43585</v>
      </c>
      <c r="B1098" s="21">
        <v>226.6773</v>
      </c>
      <c r="C1098">
        <v>256.27429999999998</v>
      </c>
      <c r="D1098">
        <v>130.0641</v>
      </c>
      <c r="E1098" s="22">
        <v>100.15844727049998</v>
      </c>
    </row>
    <row r="1099" spans="1:5" x14ac:dyDescent="0.4">
      <c r="A1099" s="27">
        <v>43586</v>
      </c>
      <c r="B1099" s="21">
        <v>226.44</v>
      </c>
      <c r="C1099">
        <v>256.28629999999998</v>
      </c>
      <c r="D1099">
        <v>130.06151199999999</v>
      </c>
      <c r="E1099" s="22">
        <v>100.15645432962286</v>
      </c>
    </row>
    <row r="1100" spans="1:5" x14ac:dyDescent="0.4">
      <c r="A1100" s="27">
        <v>43587</v>
      </c>
      <c r="B1100" s="21">
        <v>225.50389999999999</v>
      </c>
      <c r="C1100">
        <v>256.33199999999999</v>
      </c>
      <c r="D1100">
        <v>130.06151199999999</v>
      </c>
      <c r="E1100" s="22">
        <v>100.15645432962286</v>
      </c>
    </row>
    <row r="1101" spans="1:5" x14ac:dyDescent="0.4">
      <c r="A1101" s="27">
        <v>43588</v>
      </c>
      <c r="B1101" s="21">
        <v>226.40369999999999</v>
      </c>
      <c r="C1101">
        <v>256.39800000000002</v>
      </c>
      <c r="D1101">
        <v>130.06019800000001</v>
      </c>
      <c r="E1101" s="22">
        <v>100.15544245778649</v>
      </c>
    </row>
    <row r="1102" spans="1:5" x14ac:dyDescent="0.4">
      <c r="A1102" s="27">
        <v>43592</v>
      </c>
      <c r="B1102" s="21">
        <v>221.47810000000001</v>
      </c>
      <c r="C1102">
        <v>256.78140000000002</v>
      </c>
      <c r="D1102">
        <v>130.055035</v>
      </c>
      <c r="E1102" s="22">
        <v>100.15146658694083</v>
      </c>
    </row>
    <row r="1103" spans="1:5" x14ac:dyDescent="0.4">
      <c r="A1103" s="27">
        <v>43593</v>
      </c>
      <c r="B1103" s="21">
        <v>221.87479999999999</v>
      </c>
      <c r="C1103">
        <v>256.75020000000001</v>
      </c>
      <c r="D1103">
        <v>130.053721</v>
      </c>
      <c r="E1103" s="22">
        <v>100.15045471510444</v>
      </c>
    </row>
    <row r="1104" spans="1:5" x14ac:dyDescent="0.4">
      <c r="A1104" s="27">
        <v>43594</v>
      </c>
      <c r="B1104" s="21">
        <v>218.5889</v>
      </c>
      <c r="C1104">
        <v>256.41390000000001</v>
      </c>
      <c r="D1104">
        <v>130.05239499999999</v>
      </c>
      <c r="E1104" s="22">
        <v>100.14943360242938</v>
      </c>
    </row>
    <row r="1105" spans="1:5" x14ac:dyDescent="0.4">
      <c r="A1105" s="27">
        <v>43595</v>
      </c>
      <c r="B1105" s="21">
        <v>219.18809999999999</v>
      </c>
      <c r="C1105">
        <v>256.37459999999999</v>
      </c>
      <c r="D1105">
        <v>130.05108100000001</v>
      </c>
      <c r="E1105" s="22">
        <v>100.14842173059301</v>
      </c>
    </row>
    <row r="1106" spans="1:5" x14ac:dyDescent="0.4">
      <c r="A1106" s="27">
        <v>43598</v>
      </c>
      <c r="B1106" s="21">
        <v>216.63910000000001</v>
      </c>
      <c r="C1106">
        <v>256.49919999999997</v>
      </c>
      <c r="D1106">
        <v>130.04712699999999</v>
      </c>
      <c r="E1106" s="22">
        <v>100.14537687424519</v>
      </c>
    </row>
    <row r="1107" spans="1:5" x14ac:dyDescent="0.4">
      <c r="A1107" s="27">
        <v>43599</v>
      </c>
      <c r="B1107" s="21">
        <v>218.8733</v>
      </c>
      <c r="C1107">
        <v>256.57040000000001</v>
      </c>
      <c r="D1107">
        <v>130.04580100000001</v>
      </c>
      <c r="E1107" s="22">
        <v>100.14435576157015</v>
      </c>
    </row>
    <row r="1108" spans="1:5" x14ac:dyDescent="0.4">
      <c r="A1108" s="27">
        <v>43600</v>
      </c>
      <c r="B1108" s="21">
        <v>219.98589999999999</v>
      </c>
      <c r="C1108">
        <v>256.84649999999999</v>
      </c>
      <c r="D1108">
        <v>130.04447400000001</v>
      </c>
      <c r="E1108" s="22">
        <v>100.14333387882519</v>
      </c>
    </row>
    <row r="1109" spans="1:5" x14ac:dyDescent="0.4">
      <c r="A1109" s="27">
        <v>43601</v>
      </c>
      <c r="B1109" s="21">
        <v>222.87719999999999</v>
      </c>
      <c r="C1109">
        <v>257.0308</v>
      </c>
      <c r="D1109">
        <v>130.043148</v>
      </c>
      <c r="E1109" s="22">
        <v>100.14231276615011</v>
      </c>
    </row>
    <row r="1110" spans="1:5" x14ac:dyDescent="0.4">
      <c r="A1110" s="27">
        <v>43602</v>
      </c>
      <c r="B1110" s="21">
        <v>222.1448</v>
      </c>
      <c r="C1110">
        <v>257.19510000000002</v>
      </c>
      <c r="D1110">
        <v>130.041809</v>
      </c>
      <c r="E1110" s="22">
        <v>100.14128164256648</v>
      </c>
    </row>
    <row r="1111" spans="1:5" x14ac:dyDescent="0.4">
      <c r="A1111" s="27">
        <v>43605</v>
      </c>
      <c r="B1111" s="21">
        <v>220.095</v>
      </c>
      <c r="C1111">
        <v>256.9076</v>
      </c>
      <c r="D1111">
        <v>130.037803</v>
      </c>
      <c r="E1111" s="22">
        <v>100.13819674258436</v>
      </c>
    </row>
    <row r="1112" spans="1:5" x14ac:dyDescent="0.4">
      <c r="A1112" s="27">
        <v>43606</v>
      </c>
      <c r="B1112" s="21">
        <v>221.31989999999999</v>
      </c>
      <c r="C1112">
        <v>256.74970000000002</v>
      </c>
      <c r="D1112">
        <v>130.036464</v>
      </c>
      <c r="E1112" s="22">
        <v>100.1371656190007</v>
      </c>
    </row>
    <row r="1113" spans="1:5" x14ac:dyDescent="0.4">
      <c r="A1113" s="27">
        <v>43607</v>
      </c>
      <c r="B1113" s="21">
        <v>221.05410000000001</v>
      </c>
      <c r="C1113">
        <v>256.90820000000002</v>
      </c>
      <c r="D1113">
        <v>130.03512499999999</v>
      </c>
      <c r="E1113" s="22">
        <v>100.13613449541705</v>
      </c>
    </row>
    <row r="1114" spans="1:5" x14ac:dyDescent="0.4">
      <c r="A1114" s="27">
        <v>43608</v>
      </c>
      <c r="B1114" s="21">
        <v>218.0042</v>
      </c>
      <c r="C1114">
        <v>257.09629999999999</v>
      </c>
      <c r="D1114">
        <v>130.03378499999999</v>
      </c>
      <c r="E1114" s="22">
        <v>100.13510260176352</v>
      </c>
    </row>
    <row r="1115" spans="1:5" x14ac:dyDescent="0.4">
      <c r="A1115" s="27">
        <v>43609</v>
      </c>
      <c r="B1115" s="21">
        <v>219.22839999999999</v>
      </c>
      <c r="C1115">
        <v>257.39569999999998</v>
      </c>
      <c r="D1115">
        <v>130.03245899999999</v>
      </c>
      <c r="E1115" s="22">
        <v>100.13408148908847</v>
      </c>
    </row>
    <row r="1116" spans="1:5" x14ac:dyDescent="0.4">
      <c r="A1116" s="27">
        <v>43613</v>
      </c>
      <c r="B1116" s="21">
        <v>219.327</v>
      </c>
      <c r="C1116">
        <v>257.57900000000001</v>
      </c>
      <c r="D1116">
        <v>130.02716699999999</v>
      </c>
      <c r="E1116" s="22">
        <v>100.1300062792269</v>
      </c>
    </row>
    <row r="1117" spans="1:5" x14ac:dyDescent="0.4">
      <c r="A1117" s="27">
        <v>43614</v>
      </c>
      <c r="B1117" s="21">
        <v>216.2903</v>
      </c>
      <c r="C1117">
        <v>258.01080000000002</v>
      </c>
      <c r="D1117">
        <v>130.02582699999999</v>
      </c>
      <c r="E1117" s="22">
        <v>100.12897438557336</v>
      </c>
    </row>
    <row r="1118" spans="1:5" x14ac:dyDescent="0.4">
      <c r="A1118" s="27">
        <v>43615</v>
      </c>
      <c r="B1118" s="21">
        <v>217.2302</v>
      </c>
      <c r="C1118">
        <v>257.90629999999999</v>
      </c>
      <c r="D1118">
        <v>130.02448799999999</v>
      </c>
      <c r="E1118" s="22">
        <v>100.12794326198973</v>
      </c>
    </row>
    <row r="1119" spans="1:5" x14ac:dyDescent="0.4">
      <c r="A1119" s="27">
        <v>43616</v>
      </c>
      <c r="B1119" s="21">
        <v>215.47900000000001</v>
      </c>
      <c r="C1119">
        <v>258.33530000000002</v>
      </c>
      <c r="D1119">
        <v>130.02314899999999</v>
      </c>
      <c r="E1119" s="22">
        <v>100.12691213840608</v>
      </c>
    </row>
    <row r="1120" spans="1:5" x14ac:dyDescent="0.4">
      <c r="A1120" s="27">
        <v>43619</v>
      </c>
      <c r="B1120" s="21">
        <v>216.40700000000001</v>
      </c>
      <c r="C1120">
        <v>258.63990000000001</v>
      </c>
      <c r="D1120">
        <v>130.019261</v>
      </c>
      <c r="E1120" s="22">
        <v>100.12391810667106</v>
      </c>
    </row>
    <row r="1121" spans="1:5" x14ac:dyDescent="0.4">
      <c r="A1121" s="27">
        <v>43620</v>
      </c>
      <c r="B1121" s="21">
        <v>217.64400000000001</v>
      </c>
      <c r="C1121">
        <v>259.04700000000003</v>
      </c>
      <c r="D1121">
        <v>130.01794799999999</v>
      </c>
      <c r="E1121" s="22">
        <v>100.12290700490456</v>
      </c>
    </row>
    <row r="1122" spans="1:5" x14ac:dyDescent="0.4">
      <c r="A1122" s="27">
        <v>43621</v>
      </c>
      <c r="B1122" s="21">
        <v>218.4068</v>
      </c>
      <c r="C1122">
        <v>259.45080000000002</v>
      </c>
      <c r="D1122">
        <v>130.01663500000001</v>
      </c>
      <c r="E1122" s="22">
        <v>100.1218959031381</v>
      </c>
    </row>
    <row r="1123" spans="1:5" x14ac:dyDescent="0.4">
      <c r="A1123" s="27">
        <v>43622</v>
      </c>
      <c r="B1123" s="21">
        <v>218.4126</v>
      </c>
      <c r="C1123">
        <v>259.82420000000002</v>
      </c>
      <c r="D1123">
        <v>130.015309</v>
      </c>
      <c r="E1123" s="22">
        <v>100.12087479046303</v>
      </c>
    </row>
    <row r="1124" spans="1:5" x14ac:dyDescent="0.4">
      <c r="A1124" s="27">
        <v>43623</v>
      </c>
      <c r="B1124" s="21">
        <v>220.42949999999999</v>
      </c>
      <c r="C1124">
        <v>260.71319999999997</v>
      </c>
      <c r="D1124">
        <v>130.013982</v>
      </c>
      <c r="E1124" s="22">
        <v>100.11985290771807</v>
      </c>
    </row>
    <row r="1125" spans="1:5" x14ac:dyDescent="0.4">
      <c r="A1125" s="27">
        <v>43626</v>
      </c>
      <c r="B1125" s="21">
        <v>220.9333</v>
      </c>
      <c r="C1125">
        <v>260.02870000000001</v>
      </c>
      <c r="D1125">
        <v>130.01125200000001</v>
      </c>
      <c r="E1125" s="22">
        <v>100.11775061691648</v>
      </c>
    </row>
    <row r="1126" spans="1:5" x14ac:dyDescent="0.4">
      <c r="A1126" s="27">
        <v>43627</v>
      </c>
      <c r="B1126" s="21">
        <v>222.43870000000001</v>
      </c>
      <c r="C1126">
        <v>260.40710000000001</v>
      </c>
      <c r="D1126">
        <v>130.00992600000001</v>
      </c>
      <c r="E1126" s="22">
        <v>100.11672950424142</v>
      </c>
    </row>
    <row r="1127" spans="1:5" x14ac:dyDescent="0.4">
      <c r="A1127" s="27">
        <v>43628</v>
      </c>
      <c r="B1127" s="21">
        <v>221.7234</v>
      </c>
      <c r="C1127">
        <v>260.27109999999999</v>
      </c>
      <c r="D1127">
        <v>130.00858700000001</v>
      </c>
      <c r="E1127" s="22">
        <v>100.11569838065778</v>
      </c>
    </row>
    <row r="1128" spans="1:5" x14ac:dyDescent="0.4">
      <c r="A1128" s="27">
        <v>43629</v>
      </c>
      <c r="B1128" s="21">
        <v>222.08690000000001</v>
      </c>
      <c r="C1128">
        <v>260.42899999999997</v>
      </c>
      <c r="D1128">
        <v>130.007261</v>
      </c>
      <c r="E1128" s="22">
        <v>100.11467726798271</v>
      </c>
    </row>
    <row r="1129" spans="1:5" x14ac:dyDescent="0.4">
      <c r="A1129" s="27">
        <v>43630</v>
      </c>
      <c r="B1129" s="21">
        <v>221.1866</v>
      </c>
      <c r="C1129">
        <v>260.97809999999998</v>
      </c>
      <c r="D1129">
        <v>130.00596100000001</v>
      </c>
      <c r="E1129" s="22">
        <v>100.11367617712482</v>
      </c>
    </row>
    <row r="1130" spans="1:5" x14ac:dyDescent="0.4">
      <c r="A1130" s="27">
        <v>43633</v>
      </c>
      <c r="B1130" s="21">
        <v>220.99870000000001</v>
      </c>
      <c r="C1130">
        <v>260.8107</v>
      </c>
      <c r="D1130">
        <v>130.00197</v>
      </c>
      <c r="E1130" s="22">
        <v>100.11060282819102</v>
      </c>
    </row>
    <row r="1131" spans="1:5" x14ac:dyDescent="0.4">
      <c r="A1131" s="27">
        <v>43634</v>
      </c>
      <c r="B1131" s="21">
        <v>224.7929</v>
      </c>
      <c r="C1131">
        <v>262.73849999999999</v>
      </c>
      <c r="D1131">
        <v>130.000643</v>
      </c>
      <c r="E1131" s="22">
        <v>100.10958094544607</v>
      </c>
    </row>
    <row r="1132" spans="1:5" x14ac:dyDescent="0.4">
      <c r="A1132" s="27">
        <v>43635</v>
      </c>
      <c r="B1132" s="21">
        <v>224.8913</v>
      </c>
      <c r="C1132">
        <v>262.23809999999997</v>
      </c>
      <c r="D1132">
        <v>129.99931699999999</v>
      </c>
      <c r="E1132" s="22">
        <v>100.10855983277101</v>
      </c>
    </row>
    <row r="1133" spans="1:5" x14ac:dyDescent="0.4">
      <c r="A1133" s="27">
        <v>43636</v>
      </c>
      <c r="B1133" s="21">
        <v>225.72720000000001</v>
      </c>
      <c r="C1133">
        <v>262.90609999999998</v>
      </c>
      <c r="D1133">
        <v>129.997952</v>
      </c>
      <c r="E1133" s="22">
        <v>100.10750868737021</v>
      </c>
    </row>
    <row r="1134" spans="1:5" x14ac:dyDescent="0.4">
      <c r="A1134" s="27">
        <v>43637</v>
      </c>
      <c r="B1134" s="21">
        <v>224.9041</v>
      </c>
      <c r="C1134">
        <v>262.2396</v>
      </c>
      <c r="D1134">
        <v>129.996601</v>
      </c>
      <c r="E1134" s="22">
        <v>100.10646832294788</v>
      </c>
    </row>
    <row r="1135" spans="1:5" x14ac:dyDescent="0.4">
      <c r="A1135" s="27">
        <v>43640</v>
      </c>
      <c r="B1135" s="21">
        <v>224.37360000000001</v>
      </c>
      <c r="C1135">
        <v>262.72480000000002</v>
      </c>
      <c r="D1135">
        <v>129.99261000000001</v>
      </c>
      <c r="E1135" s="22">
        <v>100.10339497401412</v>
      </c>
    </row>
    <row r="1136" spans="1:5" x14ac:dyDescent="0.4">
      <c r="A1136" s="27">
        <v>43641</v>
      </c>
      <c r="B1136" s="21">
        <v>224.13</v>
      </c>
      <c r="C1136">
        <v>263.10640000000001</v>
      </c>
      <c r="D1136">
        <v>129.99131</v>
      </c>
      <c r="E1136" s="22">
        <v>100.10239388315621</v>
      </c>
    </row>
    <row r="1137" spans="1:5" x14ac:dyDescent="0.4">
      <c r="A1137" s="27">
        <v>43642</v>
      </c>
      <c r="B1137" s="21">
        <v>223.46850000000001</v>
      </c>
      <c r="C1137">
        <v>262.89789999999999</v>
      </c>
      <c r="D1137">
        <v>129.989971</v>
      </c>
      <c r="E1137" s="22">
        <v>100.10136275957255</v>
      </c>
    </row>
    <row r="1138" spans="1:5" x14ac:dyDescent="0.4">
      <c r="A1138" s="27">
        <v>43643</v>
      </c>
      <c r="B1138" s="21">
        <v>223.52879999999999</v>
      </c>
      <c r="C1138">
        <v>262.97000000000003</v>
      </c>
      <c r="D1138">
        <v>129.988632</v>
      </c>
      <c r="E1138" s="22">
        <v>100.10033163598892</v>
      </c>
    </row>
    <row r="1139" spans="1:5" x14ac:dyDescent="0.4">
      <c r="A1139" s="27">
        <v>43644</v>
      </c>
      <c r="B1139" s="21">
        <v>225.017</v>
      </c>
      <c r="C1139">
        <v>263.20639999999997</v>
      </c>
      <c r="D1139">
        <v>129.98731900000001</v>
      </c>
      <c r="E1139" s="22">
        <v>100.09932053422246</v>
      </c>
    </row>
    <row r="1140" spans="1:5" x14ac:dyDescent="0.4">
      <c r="A1140" s="27">
        <v>43647</v>
      </c>
      <c r="B1140" s="21">
        <v>226.71100000000001</v>
      </c>
      <c r="C1140">
        <v>264.10239999999999</v>
      </c>
      <c r="D1140">
        <v>129.983419</v>
      </c>
      <c r="E1140" s="22">
        <v>100.09631726164872</v>
      </c>
    </row>
    <row r="1141" spans="1:5" x14ac:dyDescent="0.4">
      <c r="A1141" s="27">
        <v>43648</v>
      </c>
      <c r="B1141" s="21">
        <v>227.58199999999999</v>
      </c>
      <c r="C1141">
        <v>264.31650000000002</v>
      </c>
      <c r="D1141">
        <v>129.98209399999999</v>
      </c>
      <c r="E1141" s="22">
        <v>100.09529691904355</v>
      </c>
    </row>
    <row r="1142" spans="1:5" x14ac:dyDescent="0.4">
      <c r="A1142" s="27">
        <v>43649</v>
      </c>
      <c r="B1142" s="21">
        <v>229.452</v>
      </c>
      <c r="C1142">
        <v>265.54149999999998</v>
      </c>
      <c r="D1142">
        <v>129.98076800000001</v>
      </c>
      <c r="E1142" s="22">
        <v>100.0942758063685</v>
      </c>
    </row>
    <row r="1143" spans="1:5" x14ac:dyDescent="0.4">
      <c r="A1143" s="27">
        <v>43650</v>
      </c>
      <c r="B1143" s="21">
        <v>229.69810000000001</v>
      </c>
      <c r="C1143">
        <v>265.68920000000003</v>
      </c>
      <c r="D1143">
        <v>129.97944200000001</v>
      </c>
      <c r="E1143" s="22">
        <v>100.09325469369344</v>
      </c>
    </row>
    <row r="1144" spans="1:5" x14ac:dyDescent="0.4">
      <c r="A1144" s="27">
        <v>43651</v>
      </c>
      <c r="B1144" s="21">
        <v>228.05260000000001</v>
      </c>
      <c r="C1144">
        <v>264.85640000000001</v>
      </c>
      <c r="D1144">
        <v>129.978116</v>
      </c>
      <c r="E1144" s="22">
        <v>100.09223358101835</v>
      </c>
    </row>
    <row r="1145" spans="1:5" x14ac:dyDescent="0.4">
      <c r="A1145" s="27">
        <v>43654</v>
      </c>
      <c r="B1145" s="21">
        <v>227.91499999999999</v>
      </c>
      <c r="C1145">
        <v>264.89569999999998</v>
      </c>
      <c r="D1145">
        <v>129.97413900000001</v>
      </c>
      <c r="E1145" s="22">
        <v>100.08917101306307</v>
      </c>
    </row>
    <row r="1146" spans="1:5" x14ac:dyDescent="0.4">
      <c r="A1146" s="27">
        <v>43655</v>
      </c>
      <c r="B1146" s="21">
        <v>226.82849999999999</v>
      </c>
      <c r="C1146">
        <v>264.5609</v>
      </c>
      <c r="D1146">
        <v>129.972813</v>
      </c>
      <c r="E1146" s="22">
        <v>100.08814990038802</v>
      </c>
    </row>
    <row r="1147" spans="1:5" x14ac:dyDescent="0.4">
      <c r="A1147" s="27">
        <v>43656</v>
      </c>
      <c r="B1147" s="21">
        <v>226.37989999999999</v>
      </c>
      <c r="C1147">
        <v>264.06619999999998</v>
      </c>
      <c r="D1147">
        <v>129.971487</v>
      </c>
      <c r="E1147" s="22">
        <v>100.08712878771293</v>
      </c>
    </row>
    <row r="1148" spans="1:5" x14ac:dyDescent="0.4">
      <c r="A1148" s="27">
        <v>43657</v>
      </c>
      <c r="B1148" s="21">
        <v>226.06899999999999</v>
      </c>
      <c r="C1148">
        <v>263.41320000000002</v>
      </c>
      <c r="D1148">
        <v>129.97016199999999</v>
      </c>
      <c r="E1148" s="22">
        <v>100.08610844510774</v>
      </c>
    </row>
    <row r="1149" spans="1:5" x14ac:dyDescent="0.4">
      <c r="A1149" s="27">
        <v>43658</v>
      </c>
      <c r="B1149" s="21">
        <v>226.11580000000001</v>
      </c>
      <c r="C1149">
        <v>262.96660000000003</v>
      </c>
      <c r="D1149">
        <v>129.96883600000001</v>
      </c>
      <c r="E1149" s="22">
        <v>100.08508733243271</v>
      </c>
    </row>
    <row r="1150" spans="1:5" x14ac:dyDescent="0.4">
      <c r="A1150" s="27">
        <v>43661</v>
      </c>
      <c r="B1150" s="21">
        <v>226.57599999999999</v>
      </c>
      <c r="C1150">
        <v>263.84699999999998</v>
      </c>
      <c r="D1150">
        <v>129.96487200000001</v>
      </c>
      <c r="E1150" s="22">
        <v>100.08203477538599</v>
      </c>
    </row>
    <row r="1151" spans="1:5" x14ac:dyDescent="0.4">
      <c r="A1151" s="27">
        <v>43662</v>
      </c>
      <c r="B1151" s="21">
        <v>227.3817</v>
      </c>
      <c r="C1151">
        <v>264.17959999999999</v>
      </c>
      <c r="D1151">
        <v>129.96354600000001</v>
      </c>
      <c r="E1151" s="22">
        <v>100.08101366271092</v>
      </c>
    </row>
    <row r="1152" spans="1:5" x14ac:dyDescent="0.4">
      <c r="A1152" s="27">
        <v>43663</v>
      </c>
      <c r="B1152" s="21">
        <v>226.53129999999999</v>
      </c>
      <c r="C1152">
        <v>264.7373</v>
      </c>
      <c r="D1152">
        <v>129.962208</v>
      </c>
      <c r="E1152" s="22">
        <v>100.07998330919716</v>
      </c>
    </row>
    <row r="1153" spans="1:5" x14ac:dyDescent="0.4">
      <c r="A1153" s="27">
        <v>43664</v>
      </c>
      <c r="B1153" s="21">
        <v>226.03720000000001</v>
      </c>
      <c r="C1153">
        <v>265.08</v>
      </c>
      <c r="D1153">
        <v>129.960869</v>
      </c>
      <c r="E1153" s="22">
        <v>100.07895218561353</v>
      </c>
    </row>
    <row r="1154" spans="1:5" x14ac:dyDescent="0.4">
      <c r="A1154" s="27">
        <v>43665</v>
      </c>
      <c r="B1154" s="21">
        <v>226.26509999999999</v>
      </c>
      <c r="C1154">
        <v>265.10730000000001</v>
      </c>
      <c r="D1154">
        <v>129.959543</v>
      </c>
      <c r="E1154" s="22">
        <v>100.07793107293845</v>
      </c>
    </row>
    <row r="1155" spans="1:5" x14ac:dyDescent="0.4">
      <c r="A1155" s="27">
        <v>43668</v>
      </c>
      <c r="B1155" s="21">
        <v>226.5855</v>
      </c>
      <c r="C1155">
        <v>265.23020000000002</v>
      </c>
      <c r="D1155">
        <v>129.95555400000001</v>
      </c>
      <c r="E1155" s="22">
        <v>100.07485926414448</v>
      </c>
    </row>
    <row r="1156" spans="1:5" x14ac:dyDescent="0.4">
      <c r="A1156" s="27">
        <v>43669</v>
      </c>
      <c r="B1156" s="21">
        <v>228.85599999999999</v>
      </c>
      <c r="C1156">
        <v>265.46620000000001</v>
      </c>
      <c r="D1156">
        <v>129.954228</v>
      </c>
      <c r="E1156" s="22">
        <v>100.07383815146942</v>
      </c>
    </row>
    <row r="1157" spans="1:5" x14ac:dyDescent="0.4">
      <c r="A1157" s="27">
        <v>43670</v>
      </c>
      <c r="B1157" s="21">
        <v>228.94649999999999</v>
      </c>
      <c r="C1157">
        <v>266.20229999999998</v>
      </c>
      <c r="D1157">
        <v>129.95290299999999</v>
      </c>
      <c r="E1157" s="22">
        <v>100.07281780886423</v>
      </c>
    </row>
    <row r="1158" spans="1:5" x14ac:dyDescent="0.4">
      <c r="A1158" s="27">
        <v>43671</v>
      </c>
      <c r="B1158" s="21">
        <v>227.65430000000001</v>
      </c>
      <c r="C1158">
        <v>265.9665</v>
      </c>
      <c r="D1158">
        <v>129.95159000000001</v>
      </c>
      <c r="E1158" s="22">
        <v>100.07180670709776</v>
      </c>
    </row>
    <row r="1159" spans="1:5" x14ac:dyDescent="0.4">
      <c r="A1159" s="27">
        <v>43672</v>
      </c>
      <c r="B1159" s="21">
        <v>228.36660000000001</v>
      </c>
      <c r="C1159">
        <v>266.04219999999998</v>
      </c>
      <c r="D1159">
        <v>129.95029099999999</v>
      </c>
      <c r="E1159" s="22">
        <v>100.07080638630974</v>
      </c>
    </row>
    <row r="1160" spans="1:5" x14ac:dyDescent="0.4">
      <c r="A1160" s="27">
        <v>43675</v>
      </c>
      <c r="B1160" s="21">
        <v>228.56489999999999</v>
      </c>
      <c r="C1160">
        <v>266.31389999999999</v>
      </c>
      <c r="D1160">
        <v>129.946327</v>
      </c>
      <c r="E1160" s="22">
        <v>100.06775382926303</v>
      </c>
    </row>
    <row r="1161" spans="1:5" x14ac:dyDescent="0.4">
      <c r="A1161" s="27">
        <v>43676</v>
      </c>
      <c r="B1161" s="21">
        <v>225.30029999999999</v>
      </c>
      <c r="C1161">
        <v>266.32420000000002</v>
      </c>
      <c r="D1161">
        <v>129.94500199999999</v>
      </c>
      <c r="E1161" s="22">
        <v>100.06673348665784</v>
      </c>
    </row>
    <row r="1162" spans="1:5" x14ac:dyDescent="0.4">
      <c r="A1162" s="27">
        <v>43677</v>
      </c>
      <c r="B1162" s="21">
        <v>225.69139999999999</v>
      </c>
      <c r="C1162">
        <v>267.06569999999999</v>
      </c>
      <c r="D1162">
        <v>129.94368900000001</v>
      </c>
      <c r="E1162" s="22">
        <v>100.06572238489137</v>
      </c>
    </row>
    <row r="1163" spans="1:5" x14ac:dyDescent="0.4">
      <c r="A1163" s="27">
        <v>43678</v>
      </c>
      <c r="B1163" s="21">
        <v>226.64510000000001</v>
      </c>
      <c r="C1163">
        <v>267.36900000000003</v>
      </c>
      <c r="D1163">
        <v>129.94240300000001</v>
      </c>
      <c r="E1163" s="22">
        <v>100.06473207501195</v>
      </c>
    </row>
    <row r="1164" spans="1:5" x14ac:dyDescent="0.4">
      <c r="A1164" s="27">
        <v>43679</v>
      </c>
      <c r="B1164" s="21">
        <v>221.03729999999999</v>
      </c>
      <c r="C1164">
        <v>267.86790000000002</v>
      </c>
      <c r="D1164">
        <v>129.941103</v>
      </c>
      <c r="E1164" s="22">
        <v>100.06373098415402</v>
      </c>
    </row>
    <row r="1165" spans="1:5" x14ac:dyDescent="0.4">
      <c r="A1165" s="27">
        <v>43682</v>
      </c>
      <c r="B1165" s="21">
        <v>215.83170000000001</v>
      </c>
      <c r="C1165">
        <v>268.13639999999998</v>
      </c>
      <c r="D1165">
        <v>129.93724399999999</v>
      </c>
      <c r="E1165" s="22">
        <v>100.06075928444582</v>
      </c>
    </row>
    <row r="1166" spans="1:5" x14ac:dyDescent="0.4">
      <c r="A1166" s="27">
        <v>43683</v>
      </c>
      <c r="B1166" s="21">
        <v>214.86920000000001</v>
      </c>
      <c r="C1166">
        <v>268.54539999999997</v>
      </c>
      <c r="D1166">
        <v>129.935958</v>
      </c>
      <c r="E1166" s="22">
        <v>100.05976897456638</v>
      </c>
    </row>
    <row r="1167" spans="1:5" x14ac:dyDescent="0.4">
      <c r="A1167" s="27">
        <v>43684</v>
      </c>
      <c r="B1167" s="21">
        <v>215.36859999999999</v>
      </c>
      <c r="C1167">
        <v>269.82870000000003</v>
      </c>
      <c r="D1167">
        <v>129.93465800000001</v>
      </c>
      <c r="E1167" s="22">
        <v>100.05876788370848</v>
      </c>
    </row>
    <row r="1168" spans="1:5" x14ac:dyDescent="0.4">
      <c r="A1168" s="27">
        <v>43685</v>
      </c>
      <c r="B1168" s="21">
        <v>219.23490000000001</v>
      </c>
      <c r="C1168">
        <v>268.86070000000001</v>
      </c>
      <c r="D1168">
        <v>129.933359</v>
      </c>
      <c r="E1168" s="22">
        <v>100.05776756292046</v>
      </c>
    </row>
    <row r="1169" spans="1:5" x14ac:dyDescent="0.4">
      <c r="A1169" s="27">
        <v>43686</v>
      </c>
      <c r="B1169" s="21">
        <v>217.4256</v>
      </c>
      <c r="C1169">
        <v>268.14510000000001</v>
      </c>
      <c r="D1169">
        <v>129.932086</v>
      </c>
      <c r="E1169" s="22">
        <v>100.05678726394962</v>
      </c>
    </row>
    <row r="1170" spans="1:5" x14ac:dyDescent="0.4">
      <c r="A1170" s="27">
        <v>43689</v>
      </c>
      <c r="B1170" s="21">
        <v>216.74539999999999</v>
      </c>
      <c r="C1170">
        <v>268.64109999999999</v>
      </c>
      <c r="D1170">
        <v>129.928214</v>
      </c>
      <c r="E1170" s="22">
        <v>100.05380555333284</v>
      </c>
    </row>
    <row r="1171" spans="1:5" x14ac:dyDescent="0.4">
      <c r="A1171" s="27">
        <v>43690</v>
      </c>
      <c r="B1171" s="21">
        <v>217.95590000000001</v>
      </c>
      <c r="C1171">
        <v>269.30220000000003</v>
      </c>
      <c r="D1171">
        <v>129.92691400000001</v>
      </c>
      <c r="E1171" s="22">
        <v>100.05280446247495</v>
      </c>
    </row>
    <row r="1172" spans="1:5" x14ac:dyDescent="0.4">
      <c r="A1172" s="27">
        <v>43691</v>
      </c>
      <c r="B1172" s="21">
        <v>214.3707</v>
      </c>
      <c r="C1172">
        <v>270.27600000000001</v>
      </c>
      <c r="D1172">
        <v>129.92561499999999</v>
      </c>
      <c r="E1172" s="22">
        <v>100.0518041416869</v>
      </c>
    </row>
    <row r="1173" spans="1:5" x14ac:dyDescent="0.4">
      <c r="A1173" s="27">
        <v>43692</v>
      </c>
      <c r="B1173" s="21">
        <v>213.92400000000001</v>
      </c>
      <c r="C1173">
        <v>271.83179999999999</v>
      </c>
      <c r="D1173">
        <v>129.924316</v>
      </c>
      <c r="E1173" s="22">
        <v>100.05080382089891</v>
      </c>
    </row>
    <row r="1174" spans="1:5" x14ac:dyDescent="0.4">
      <c r="A1174" s="27">
        <v>43693</v>
      </c>
      <c r="B1174" s="21">
        <v>216.62139999999999</v>
      </c>
      <c r="C1174">
        <v>271.20400000000001</v>
      </c>
      <c r="D1174">
        <v>129.92300399999999</v>
      </c>
      <c r="E1174" s="22">
        <v>100.04979348920232</v>
      </c>
    </row>
    <row r="1175" spans="1:5" x14ac:dyDescent="0.4">
      <c r="A1175" s="27">
        <v>43696</v>
      </c>
      <c r="B1175" s="21">
        <v>219.0728</v>
      </c>
      <c r="C1175">
        <v>270.36700000000002</v>
      </c>
      <c r="D1175">
        <v>129.91906700000001</v>
      </c>
      <c r="E1175" s="22">
        <v>100.04676172404265</v>
      </c>
    </row>
    <row r="1176" spans="1:5" x14ac:dyDescent="0.4">
      <c r="A1176" s="27">
        <v>43697</v>
      </c>
      <c r="B1176" s="21">
        <v>217.5231</v>
      </c>
      <c r="C1176">
        <v>271.12200000000001</v>
      </c>
      <c r="D1176">
        <v>129.917755</v>
      </c>
      <c r="E1176" s="22">
        <v>100.04575139234606</v>
      </c>
    </row>
    <row r="1177" spans="1:5" x14ac:dyDescent="0.4">
      <c r="A1177" s="27">
        <v>43698</v>
      </c>
      <c r="B1177" s="21">
        <v>220.18049999999999</v>
      </c>
      <c r="C1177">
        <v>270.90300000000002</v>
      </c>
      <c r="D1177">
        <v>129.91644299999999</v>
      </c>
      <c r="E1177" s="22">
        <v>100.04474106064944</v>
      </c>
    </row>
    <row r="1178" spans="1:5" x14ac:dyDescent="0.4">
      <c r="A1178" s="27">
        <v>43699</v>
      </c>
      <c r="B1178" s="21">
        <v>219.37010000000001</v>
      </c>
      <c r="C1178">
        <v>270.17869999999999</v>
      </c>
      <c r="D1178">
        <v>129.91511700000001</v>
      </c>
      <c r="E1178" s="22">
        <v>100.04371994797441</v>
      </c>
    </row>
    <row r="1179" spans="1:5" x14ac:dyDescent="0.4">
      <c r="A1179" s="27">
        <v>43700</v>
      </c>
      <c r="B1179" s="21">
        <v>217.5891</v>
      </c>
      <c r="C1179">
        <v>270.57760000000002</v>
      </c>
      <c r="D1179">
        <v>129.91381799999999</v>
      </c>
      <c r="E1179" s="22">
        <v>100.04271962718639</v>
      </c>
    </row>
    <row r="1180" spans="1:5" x14ac:dyDescent="0.4">
      <c r="A1180" s="27">
        <v>43704</v>
      </c>
      <c r="B1180" s="21">
        <v>218.91569999999999</v>
      </c>
      <c r="C1180">
        <v>271.73309999999998</v>
      </c>
      <c r="D1180">
        <v>129.90859599999999</v>
      </c>
      <c r="E1180" s="22">
        <v>100.03869832221714</v>
      </c>
    </row>
    <row r="1181" spans="1:5" x14ac:dyDescent="0.4">
      <c r="A1181" s="27">
        <v>43705</v>
      </c>
      <c r="B1181" s="21">
        <v>218.61670000000001</v>
      </c>
      <c r="C1181">
        <v>272.60160000000002</v>
      </c>
      <c r="D1181">
        <v>129.907284</v>
      </c>
      <c r="E1181" s="22">
        <v>100.03768799052057</v>
      </c>
    </row>
    <row r="1182" spans="1:5" x14ac:dyDescent="0.4">
      <c r="A1182" s="27">
        <v>43706</v>
      </c>
      <c r="B1182" s="21">
        <v>220.92599999999999</v>
      </c>
      <c r="C1182">
        <v>272.30840000000001</v>
      </c>
      <c r="D1182">
        <v>129.905959</v>
      </c>
      <c r="E1182" s="22">
        <v>100.03666764791539</v>
      </c>
    </row>
    <row r="1183" spans="1:5" x14ac:dyDescent="0.4">
      <c r="A1183" s="27">
        <v>43707</v>
      </c>
      <c r="B1183" s="21">
        <v>222.44220000000001</v>
      </c>
      <c r="C1183">
        <v>272.17660000000001</v>
      </c>
      <c r="D1183">
        <v>129.90464700000001</v>
      </c>
      <c r="E1183" s="22">
        <v>100.03565731621882</v>
      </c>
    </row>
    <row r="1184" spans="1:5" x14ac:dyDescent="0.4">
      <c r="A1184" s="27">
        <v>43710</v>
      </c>
      <c r="B1184" s="21">
        <v>223.2116</v>
      </c>
      <c r="C1184">
        <v>271.97300000000001</v>
      </c>
      <c r="D1184">
        <v>129.90076199999999</v>
      </c>
      <c r="E1184" s="22">
        <v>100.03266559469344</v>
      </c>
    </row>
    <row r="1185" spans="1:5" x14ac:dyDescent="0.4">
      <c r="A1185" s="27">
        <v>43711</v>
      </c>
      <c r="B1185" s="21">
        <v>222.73070000000001</v>
      </c>
      <c r="C1185">
        <v>272.6112</v>
      </c>
      <c r="D1185">
        <v>129.89945</v>
      </c>
      <c r="E1185" s="22">
        <v>100.03165526299686</v>
      </c>
    </row>
    <row r="1186" spans="1:5" x14ac:dyDescent="0.4">
      <c r="A1186" s="27">
        <v>43712</v>
      </c>
      <c r="B1186" s="21">
        <v>224.74539999999999</v>
      </c>
      <c r="C1186">
        <v>271.95350000000002</v>
      </c>
      <c r="D1186">
        <v>129.89813799999999</v>
      </c>
      <c r="E1186" s="22">
        <v>100.03064493130024</v>
      </c>
    </row>
    <row r="1187" spans="1:5" x14ac:dyDescent="0.4">
      <c r="A1187" s="27">
        <v>43713</v>
      </c>
      <c r="B1187" s="21">
        <v>226.46700000000001</v>
      </c>
      <c r="C1187">
        <v>270.26679999999999</v>
      </c>
      <c r="D1187">
        <v>129.896826</v>
      </c>
      <c r="E1187" s="22">
        <v>100.02963459960368</v>
      </c>
    </row>
    <row r="1188" spans="1:5" x14ac:dyDescent="0.4">
      <c r="A1188" s="27">
        <v>43714</v>
      </c>
      <c r="B1188" s="21">
        <v>227.14179999999999</v>
      </c>
      <c r="C1188">
        <v>271.16120000000001</v>
      </c>
      <c r="D1188">
        <v>129.89552800000001</v>
      </c>
      <c r="E1188" s="22">
        <v>100.02863504888555</v>
      </c>
    </row>
    <row r="1189" spans="1:5" x14ac:dyDescent="0.4">
      <c r="A1189" s="27">
        <v>43717</v>
      </c>
      <c r="B1189" s="21">
        <v>226.54339999999999</v>
      </c>
      <c r="C1189">
        <v>269.84289999999999</v>
      </c>
      <c r="D1189">
        <v>129.891605</v>
      </c>
      <c r="E1189" s="22">
        <v>100.02561406470434</v>
      </c>
    </row>
    <row r="1190" spans="1:5" x14ac:dyDescent="0.4">
      <c r="A1190" s="27">
        <v>43718</v>
      </c>
      <c r="B1190" s="21">
        <v>226.9581</v>
      </c>
      <c r="C1190">
        <v>269.33629999999999</v>
      </c>
      <c r="D1190">
        <v>129.89029300000001</v>
      </c>
      <c r="E1190" s="22">
        <v>100.02460373300777</v>
      </c>
    </row>
    <row r="1191" spans="1:5" x14ac:dyDescent="0.4">
      <c r="A1191" s="27">
        <v>43719</v>
      </c>
      <c r="B1191" s="21">
        <v>228.7886</v>
      </c>
      <c r="C1191">
        <v>269.64600000000002</v>
      </c>
      <c r="D1191">
        <v>129.888981</v>
      </c>
      <c r="E1191" s="22">
        <v>100.02359340131115</v>
      </c>
    </row>
    <row r="1192" spans="1:5" x14ac:dyDescent="0.4">
      <c r="A1192" s="27">
        <v>43720</v>
      </c>
      <c r="B1192" s="21">
        <v>229.19589999999999</v>
      </c>
      <c r="C1192">
        <v>269.8279</v>
      </c>
      <c r="D1192">
        <v>129.88765599999999</v>
      </c>
      <c r="E1192" s="22">
        <v>100.02257305870599</v>
      </c>
    </row>
    <row r="1193" spans="1:5" x14ac:dyDescent="0.4">
      <c r="A1193" s="27">
        <v>43721</v>
      </c>
      <c r="B1193" s="21">
        <v>229.83019999999999</v>
      </c>
      <c r="C1193">
        <v>268.29790000000003</v>
      </c>
      <c r="D1193">
        <v>129.88633100000001</v>
      </c>
      <c r="E1193" s="22">
        <v>100.02155271610083</v>
      </c>
    </row>
    <row r="1194" spans="1:5" x14ac:dyDescent="0.4">
      <c r="A1194" s="27">
        <v>43724</v>
      </c>
      <c r="B1194" s="21">
        <v>228.5386</v>
      </c>
      <c r="C1194">
        <v>269.0102</v>
      </c>
      <c r="D1194">
        <v>129.88234399999999</v>
      </c>
      <c r="E1194" s="22">
        <v>100.0184824474466</v>
      </c>
    </row>
    <row r="1195" spans="1:5" x14ac:dyDescent="0.4">
      <c r="A1195" s="27">
        <v>43725</v>
      </c>
      <c r="B1195" s="21">
        <v>228.4014</v>
      </c>
      <c r="C1195">
        <v>268.65159999999997</v>
      </c>
      <c r="D1195">
        <v>129.88101900000001</v>
      </c>
      <c r="E1195" s="22">
        <v>100.01746210484144</v>
      </c>
    </row>
    <row r="1196" spans="1:5" x14ac:dyDescent="0.4">
      <c r="A1196" s="27">
        <v>43726</v>
      </c>
      <c r="B1196" s="21">
        <v>228.40289999999999</v>
      </c>
      <c r="C1196">
        <v>269.40199999999999</v>
      </c>
      <c r="D1196">
        <v>129.879694</v>
      </c>
      <c r="E1196" s="22">
        <v>100.01644176223625</v>
      </c>
    </row>
    <row r="1197" spans="1:5" x14ac:dyDescent="0.4">
      <c r="A1197" s="27">
        <v>43727</v>
      </c>
      <c r="B1197" s="21">
        <v>229.86429999999999</v>
      </c>
      <c r="C1197">
        <v>269.24979999999999</v>
      </c>
      <c r="D1197">
        <v>129.87804499999999</v>
      </c>
      <c r="E1197" s="22">
        <v>100.0151719169865</v>
      </c>
    </row>
    <row r="1198" spans="1:5" x14ac:dyDescent="0.4">
      <c r="A1198" s="27">
        <v>43728</v>
      </c>
      <c r="B1198" s="21">
        <v>230.5377</v>
      </c>
      <c r="C1198">
        <v>269.38490000000002</v>
      </c>
      <c r="D1198">
        <v>129.876395</v>
      </c>
      <c r="E1198" s="22">
        <v>100.01390130166685</v>
      </c>
    </row>
    <row r="1199" spans="1:5" x14ac:dyDescent="0.4">
      <c r="A1199" s="27">
        <v>43731</v>
      </c>
      <c r="B1199" s="21">
        <v>228.85059999999999</v>
      </c>
      <c r="C1199">
        <v>270.76049999999998</v>
      </c>
      <c r="D1199">
        <v>129.87143399999999</v>
      </c>
      <c r="E1199" s="22">
        <v>100.01008098493911</v>
      </c>
    </row>
    <row r="1200" spans="1:5" x14ac:dyDescent="0.4">
      <c r="A1200" s="27">
        <v>43732</v>
      </c>
      <c r="B1200" s="21">
        <v>228.7544</v>
      </c>
      <c r="C1200">
        <v>271.05939999999998</v>
      </c>
      <c r="D1200">
        <v>129.86978400000001</v>
      </c>
      <c r="E1200" s="22">
        <v>100.00881036961945</v>
      </c>
    </row>
    <row r="1201" spans="1:5" x14ac:dyDescent="0.4">
      <c r="A1201" s="27">
        <v>43733</v>
      </c>
      <c r="B1201" s="21">
        <v>227.49430000000001</v>
      </c>
      <c r="C1201">
        <v>270.81700000000001</v>
      </c>
      <c r="D1201">
        <v>129.86814799999999</v>
      </c>
      <c r="E1201" s="22">
        <v>100.00755053527828</v>
      </c>
    </row>
    <row r="1202" spans="1:5" x14ac:dyDescent="0.4">
      <c r="A1202" s="27">
        <v>43734</v>
      </c>
      <c r="B1202" s="21">
        <v>228.8964</v>
      </c>
      <c r="C1202">
        <v>270.79230000000001</v>
      </c>
      <c r="D1202">
        <v>129.866512</v>
      </c>
      <c r="E1202" s="22">
        <v>100.0062907009371</v>
      </c>
    </row>
    <row r="1203" spans="1:5" x14ac:dyDescent="0.4">
      <c r="A1203" s="27">
        <v>43735</v>
      </c>
      <c r="B1203" s="21">
        <v>230.01300000000001</v>
      </c>
      <c r="C1203">
        <v>270.66829999999999</v>
      </c>
      <c r="D1203">
        <v>129.86486199999999</v>
      </c>
      <c r="E1203" s="22">
        <v>100.00502008561745</v>
      </c>
    </row>
    <row r="1204" spans="1:5" x14ac:dyDescent="0.4">
      <c r="A1204" s="27">
        <v>43738</v>
      </c>
      <c r="B1204" s="21">
        <v>230.81200000000001</v>
      </c>
      <c r="C1204">
        <v>270.72770000000003</v>
      </c>
      <c r="D1204">
        <v>129.85996700000001</v>
      </c>
      <c r="E1204" s="22">
        <v>100.0012505935025</v>
      </c>
    </row>
    <row r="1205" spans="1:5" x14ac:dyDescent="0.4">
      <c r="A1205" s="27">
        <v>43739</v>
      </c>
      <c r="B1205" s="21">
        <v>227.77590000000001</v>
      </c>
      <c r="C1205">
        <v>270.51389999999998</v>
      </c>
      <c r="D1205">
        <v>129.85834299999999</v>
      </c>
      <c r="E1205" s="22">
        <v>100</v>
      </c>
    </row>
    <row r="1206" spans="1:5" x14ac:dyDescent="0.4">
      <c r="A1206" s="27">
        <v>43740</v>
      </c>
      <c r="B1206" s="21">
        <v>221.61930000000001</v>
      </c>
      <c r="C1206">
        <v>269.99029999999999</v>
      </c>
      <c r="D1206">
        <v>129.85666800000001</v>
      </c>
      <c r="E1206" s="22">
        <v>99.998474999999999</v>
      </c>
    </row>
    <row r="1207" spans="1:5" x14ac:dyDescent="0.4">
      <c r="A1207" s="27">
        <v>43741</v>
      </c>
      <c r="B1207" s="21">
        <v>221.65469999999999</v>
      </c>
      <c r="C1207">
        <v>270.70240000000001</v>
      </c>
      <c r="D1207">
        <v>129.85499300000001</v>
      </c>
      <c r="E1207" s="22">
        <v>99.996943999999999</v>
      </c>
    </row>
    <row r="1208" spans="1:5" x14ac:dyDescent="0.4">
      <c r="A1208" s="27">
        <v>43742</v>
      </c>
      <c r="B1208" s="21">
        <v>223.2159</v>
      </c>
      <c r="C1208">
        <v>270.68779999999998</v>
      </c>
      <c r="D1208">
        <v>129.85329200000001</v>
      </c>
      <c r="E1208" s="22">
        <v>99.995402999999996</v>
      </c>
    </row>
    <row r="1209" spans="1:5" x14ac:dyDescent="0.4">
      <c r="A1209" s="27">
        <v>43745</v>
      </c>
      <c r="B1209" s="21">
        <v>224.82679999999999</v>
      </c>
      <c r="C1209">
        <v>270.44470000000001</v>
      </c>
      <c r="D1209">
        <v>129.84822800000001</v>
      </c>
      <c r="E1209" s="22">
        <v>99.990795000000006</v>
      </c>
    </row>
    <row r="1210" spans="1:5" x14ac:dyDescent="0.4">
      <c r="A1210" s="27">
        <v>43746</v>
      </c>
      <c r="B1210" s="21">
        <v>222.34229999999999</v>
      </c>
      <c r="C1210">
        <v>270.73719999999997</v>
      </c>
      <c r="D1210">
        <v>129.84654</v>
      </c>
      <c r="E1210" s="22">
        <v>99.989255999999997</v>
      </c>
    </row>
    <row r="1211" spans="1:5" x14ac:dyDescent="0.4">
      <c r="A1211" s="27">
        <v>43747</v>
      </c>
      <c r="B1211" s="21">
        <v>223.2912</v>
      </c>
      <c r="C1211">
        <v>270.10640000000001</v>
      </c>
      <c r="D1211">
        <v>129.844852</v>
      </c>
      <c r="E1211" s="22">
        <v>99.987723000000003</v>
      </c>
    </row>
    <row r="1212" spans="1:5" x14ac:dyDescent="0.4">
      <c r="A1212" s="27">
        <v>43748</v>
      </c>
      <c r="B1212" s="21">
        <v>224.74590000000001</v>
      </c>
      <c r="C1212">
        <v>268.9674</v>
      </c>
      <c r="D1212">
        <v>129.843164</v>
      </c>
      <c r="E1212" s="22">
        <v>99.986189999999993</v>
      </c>
    </row>
    <row r="1213" spans="1:5" x14ac:dyDescent="0.4">
      <c r="A1213" s="27">
        <v>43749</v>
      </c>
      <c r="B1213" s="21">
        <v>229.79089999999999</v>
      </c>
      <c r="C1213">
        <v>268.57229999999998</v>
      </c>
      <c r="D1213">
        <v>129.841476</v>
      </c>
      <c r="E1213" s="22">
        <v>99.984656999999999</v>
      </c>
    </row>
    <row r="1214" spans="1:5" x14ac:dyDescent="0.4">
      <c r="A1214" s="27">
        <v>43752</v>
      </c>
      <c r="B1214" s="21">
        <v>228.69820000000001</v>
      </c>
      <c r="C1214">
        <v>268.86169999999998</v>
      </c>
      <c r="D1214">
        <v>129.83645100000001</v>
      </c>
      <c r="E1214" s="22">
        <v>99.980074000000002</v>
      </c>
    </row>
    <row r="1215" spans="1:5" x14ac:dyDescent="0.4">
      <c r="A1215" s="27">
        <v>43753</v>
      </c>
      <c r="B1215" s="21">
        <v>231.1191</v>
      </c>
      <c r="C1215">
        <v>268.26909999999998</v>
      </c>
      <c r="D1215">
        <v>129.83477600000001</v>
      </c>
      <c r="E1215" s="22">
        <v>99.978549000000001</v>
      </c>
    </row>
    <row r="1216" spans="1:5" x14ac:dyDescent="0.4">
      <c r="A1216" s="27">
        <v>43754</v>
      </c>
      <c r="B1216" s="21">
        <v>230.77180000000001</v>
      </c>
      <c r="C1216">
        <v>268.08600000000001</v>
      </c>
      <c r="D1216">
        <v>129.833101</v>
      </c>
      <c r="E1216" s="22">
        <v>99.977018999999999</v>
      </c>
    </row>
    <row r="1217" spans="1:5" x14ac:dyDescent="0.4">
      <c r="A1217" s="27">
        <v>43755</v>
      </c>
      <c r="B1217" s="21">
        <v>230.59059999999999</v>
      </c>
      <c r="C1217">
        <v>268.22000000000003</v>
      </c>
      <c r="D1217">
        <v>129.83142599999999</v>
      </c>
      <c r="E1217" s="22">
        <v>99.975497000000004</v>
      </c>
    </row>
    <row r="1218" spans="1:5" x14ac:dyDescent="0.4">
      <c r="A1218" s="27">
        <v>43756</v>
      </c>
      <c r="B1218" s="21">
        <v>229.86920000000001</v>
      </c>
      <c r="C1218">
        <v>267.90960000000001</v>
      </c>
      <c r="D1218">
        <v>129.82975099999999</v>
      </c>
      <c r="E1218" s="22">
        <v>99.973974999999996</v>
      </c>
    </row>
    <row r="1219" spans="1:5" x14ac:dyDescent="0.4">
      <c r="A1219" s="27">
        <v>43759</v>
      </c>
      <c r="B1219" s="21">
        <v>231.30680000000001</v>
      </c>
      <c r="C1219">
        <v>267.18430000000001</v>
      </c>
      <c r="D1219">
        <v>129.82475299999999</v>
      </c>
      <c r="E1219" s="22">
        <v>99.969418000000005</v>
      </c>
    </row>
    <row r="1220" spans="1:5" x14ac:dyDescent="0.4">
      <c r="A1220" s="27">
        <v>43760</v>
      </c>
      <c r="B1220" s="21">
        <v>231.60579999999999</v>
      </c>
      <c r="C1220">
        <v>267.8569</v>
      </c>
      <c r="D1220">
        <v>129.82307800000001</v>
      </c>
      <c r="E1220" s="22">
        <v>99.967894000000001</v>
      </c>
    </row>
    <row r="1221" spans="1:5" x14ac:dyDescent="0.4">
      <c r="A1221" s="27">
        <v>43761</v>
      </c>
      <c r="B1221" s="21">
        <v>231.8424</v>
      </c>
      <c r="C1221">
        <v>268.18259999999998</v>
      </c>
      <c r="D1221">
        <v>129.821403</v>
      </c>
      <c r="E1221" s="22">
        <v>99.966372000000007</v>
      </c>
    </row>
    <row r="1222" spans="1:5" x14ac:dyDescent="0.4">
      <c r="A1222" s="27">
        <v>43762</v>
      </c>
      <c r="B1222" s="21">
        <v>233.27289999999999</v>
      </c>
      <c r="C1222">
        <v>268.3537</v>
      </c>
      <c r="D1222">
        <v>129.81974199999999</v>
      </c>
      <c r="E1222" s="22">
        <v>99.964853000000005</v>
      </c>
    </row>
    <row r="1223" spans="1:5" x14ac:dyDescent="0.4">
      <c r="A1223" s="27">
        <v>43763</v>
      </c>
      <c r="B1223" s="21">
        <v>233.6328</v>
      </c>
      <c r="C1223">
        <v>267.78930000000003</v>
      </c>
      <c r="D1223">
        <v>129.81806700000001</v>
      </c>
      <c r="E1223" s="22">
        <v>99.963330999999997</v>
      </c>
    </row>
    <row r="1224" spans="1:5" x14ac:dyDescent="0.4">
      <c r="A1224" s="27">
        <v>43766</v>
      </c>
      <c r="B1224" s="21">
        <v>234.15</v>
      </c>
      <c r="C1224">
        <v>267.09230000000002</v>
      </c>
      <c r="D1224">
        <v>129.81305599999999</v>
      </c>
      <c r="E1224" s="22">
        <v>99.958765999999997</v>
      </c>
    </row>
    <row r="1225" spans="1:5" x14ac:dyDescent="0.4">
      <c r="A1225" s="27">
        <v>43767</v>
      </c>
      <c r="B1225" s="21">
        <v>233.7921</v>
      </c>
      <c r="C1225">
        <v>267.42829999999998</v>
      </c>
      <c r="D1225">
        <v>129.81138100000001</v>
      </c>
      <c r="E1225" s="22">
        <v>99.957245</v>
      </c>
    </row>
    <row r="1226" spans="1:5" x14ac:dyDescent="0.4">
      <c r="A1226" s="27">
        <v>43768</v>
      </c>
      <c r="B1226" s="21">
        <v>234.06569999999999</v>
      </c>
      <c r="C1226">
        <v>267.39510000000001</v>
      </c>
      <c r="D1226">
        <v>129.80972</v>
      </c>
      <c r="E1226" s="22">
        <v>99.955731</v>
      </c>
    </row>
    <row r="1227" spans="1:5" x14ac:dyDescent="0.4">
      <c r="A1227" s="27">
        <v>43769</v>
      </c>
      <c r="B1227" s="21">
        <v>232.78700000000001</v>
      </c>
      <c r="C1227">
        <v>268.25</v>
      </c>
      <c r="D1227">
        <v>129.80805799999999</v>
      </c>
      <c r="E1227" s="22">
        <v>99.954217999999997</v>
      </c>
    </row>
    <row r="1228" spans="1:5" x14ac:dyDescent="0.4">
      <c r="A1228" s="27">
        <v>43770</v>
      </c>
      <c r="B1228" s="21">
        <v>234.41</v>
      </c>
      <c r="C1228">
        <v>267.70569999999998</v>
      </c>
      <c r="D1228">
        <v>129.80641</v>
      </c>
      <c r="E1228" s="22">
        <v>99.952710999999994</v>
      </c>
    </row>
    <row r="1229" spans="1:5" x14ac:dyDescent="0.4">
      <c r="A1229" s="27">
        <v>43773</v>
      </c>
      <c r="B1229" s="21">
        <v>236.76439999999999</v>
      </c>
      <c r="C1229">
        <v>267.35250000000002</v>
      </c>
      <c r="D1229">
        <v>129.80138600000001</v>
      </c>
      <c r="E1229" s="22">
        <v>99.948138</v>
      </c>
    </row>
    <row r="1230" spans="1:5" x14ac:dyDescent="0.4">
      <c r="A1230" s="27">
        <v>43774</v>
      </c>
      <c r="B1230" s="21">
        <v>237.2919</v>
      </c>
      <c r="C1230">
        <v>267.06799999999998</v>
      </c>
      <c r="D1230">
        <v>129.79976400000001</v>
      </c>
      <c r="E1230" s="22">
        <v>99.946650000000005</v>
      </c>
    </row>
    <row r="1231" spans="1:5" x14ac:dyDescent="0.4">
      <c r="A1231" s="27">
        <v>43775</v>
      </c>
      <c r="B1231" s="21">
        <v>237.79490000000001</v>
      </c>
      <c r="C1231">
        <v>267.16910000000001</v>
      </c>
      <c r="D1231">
        <v>129.798115</v>
      </c>
      <c r="E1231" s="22">
        <v>99.945148000000003</v>
      </c>
    </row>
    <row r="1232" spans="1:5" x14ac:dyDescent="0.4">
      <c r="A1232" s="27">
        <v>43776</v>
      </c>
      <c r="B1232" s="21">
        <v>238.63380000000001</v>
      </c>
      <c r="C1232">
        <v>265.89339999999999</v>
      </c>
      <c r="D1232">
        <v>129.79648</v>
      </c>
      <c r="E1232" s="22">
        <v>99.943651000000003</v>
      </c>
    </row>
    <row r="1233" spans="1:5" x14ac:dyDescent="0.4">
      <c r="A1233" s="27">
        <v>43777</v>
      </c>
      <c r="B1233" s="21">
        <v>237.9796</v>
      </c>
      <c r="C1233">
        <v>265.85480000000001</v>
      </c>
      <c r="D1233">
        <v>129.79484400000001</v>
      </c>
      <c r="E1233" s="22">
        <v>99.942160000000001</v>
      </c>
    </row>
    <row r="1234" spans="1:5" x14ac:dyDescent="0.4">
      <c r="A1234" s="27">
        <v>43780</v>
      </c>
      <c r="B1234" s="21">
        <v>237.92429999999999</v>
      </c>
      <c r="C1234">
        <v>265.46050000000002</v>
      </c>
      <c r="D1234">
        <v>129.78992500000001</v>
      </c>
      <c r="E1234" s="22">
        <v>99.937663000000001</v>
      </c>
    </row>
    <row r="1235" spans="1:5" x14ac:dyDescent="0.4">
      <c r="A1235" s="27">
        <v>43781</v>
      </c>
      <c r="B1235" s="21">
        <v>238.84280000000001</v>
      </c>
      <c r="C1235">
        <v>265.50439999999998</v>
      </c>
      <c r="D1235">
        <v>129.78827699999999</v>
      </c>
      <c r="E1235" s="22">
        <v>99.936160999999998</v>
      </c>
    </row>
    <row r="1236" spans="1:5" x14ac:dyDescent="0.4">
      <c r="A1236" s="27">
        <v>43782</v>
      </c>
      <c r="B1236" s="21">
        <v>238.20189999999999</v>
      </c>
      <c r="C1236">
        <v>266.10309999999998</v>
      </c>
      <c r="D1236">
        <v>129.786642</v>
      </c>
      <c r="E1236" s="22">
        <v>99.934669999999997</v>
      </c>
    </row>
    <row r="1237" spans="1:5" x14ac:dyDescent="0.4">
      <c r="A1237" s="27">
        <v>43783</v>
      </c>
      <c r="B1237" s="21">
        <v>237.381</v>
      </c>
      <c r="C1237">
        <v>266.31849999999997</v>
      </c>
      <c r="D1237">
        <v>129.785032</v>
      </c>
      <c r="E1237" s="22">
        <v>99.933195999999995</v>
      </c>
    </row>
    <row r="1238" spans="1:5" x14ac:dyDescent="0.4">
      <c r="A1238" s="27">
        <v>43784</v>
      </c>
      <c r="B1238" s="21">
        <v>238.32040000000001</v>
      </c>
      <c r="C1238">
        <v>266.37509999999997</v>
      </c>
      <c r="D1238">
        <v>129.78341</v>
      </c>
      <c r="E1238" s="22">
        <v>99.931708999999998</v>
      </c>
    </row>
    <row r="1239" spans="1:5" x14ac:dyDescent="0.4">
      <c r="A1239" s="27">
        <v>43787</v>
      </c>
      <c r="B1239" s="21">
        <v>238.245</v>
      </c>
      <c r="C1239">
        <v>266.48419999999999</v>
      </c>
      <c r="D1239">
        <v>129.77847800000001</v>
      </c>
      <c r="E1239" s="22">
        <v>99.927203000000006</v>
      </c>
    </row>
    <row r="1240" spans="1:5" x14ac:dyDescent="0.4">
      <c r="A1240" s="27">
        <v>43788</v>
      </c>
      <c r="B1240" s="21">
        <v>237.93780000000001</v>
      </c>
      <c r="C1240">
        <v>266.38929999999999</v>
      </c>
      <c r="D1240">
        <v>129.77682999999999</v>
      </c>
      <c r="E1240" s="22">
        <v>99.925702000000001</v>
      </c>
    </row>
    <row r="1241" spans="1:5" x14ac:dyDescent="0.4">
      <c r="A1241" s="27">
        <v>43789</v>
      </c>
      <c r="B1241" s="21">
        <v>236.93029999999999</v>
      </c>
      <c r="C1241">
        <v>266.55070000000001</v>
      </c>
      <c r="D1241">
        <v>129.775182</v>
      </c>
      <c r="E1241" s="22">
        <v>99.924197000000007</v>
      </c>
    </row>
    <row r="1242" spans="1:5" x14ac:dyDescent="0.4">
      <c r="A1242" s="27">
        <v>43790</v>
      </c>
      <c r="B1242" s="21">
        <v>236.0917</v>
      </c>
      <c r="C1242">
        <v>266.21390000000002</v>
      </c>
      <c r="D1242">
        <v>129.77365</v>
      </c>
      <c r="E1242" s="22">
        <v>99.922779000000006</v>
      </c>
    </row>
    <row r="1243" spans="1:5" x14ac:dyDescent="0.4">
      <c r="A1243" s="27">
        <v>43791</v>
      </c>
      <c r="B1243" s="21">
        <v>237.1722</v>
      </c>
      <c r="C1243">
        <v>266.63619999999997</v>
      </c>
      <c r="D1243">
        <v>129.77200199999999</v>
      </c>
      <c r="E1243" s="22">
        <v>99.921273999999997</v>
      </c>
    </row>
    <row r="1244" spans="1:5" x14ac:dyDescent="0.4">
      <c r="A1244" s="27">
        <v>43794</v>
      </c>
      <c r="B1244" s="21">
        <v>239.5941</v>
      </c>
      <c r="C1244">
        <v>266.66000000000003</v>
      </c>
      <c r="D1244">
        <v>129.767123</v>
      </c>
      <c r="E1244" s="22">
        <v>99.916810999999996</v>
      </c>
    </row>
    <row r="1245" spans="1:5" x14ac:dyDescent="0.4">
      <c r="A1245" s="27">
        <v>43795</v>
      </c>
      <c r="B1245" s="21">
        <v>239.70590000000001</v>
      </c>
      <c r="C1245">
        <v>266.9495</v>
      </c>
      <c r="D1245">
        <v>129.765514</v>
      </c>
      <c r="E1245" s="22">
        <v>99.915332000000006</v>
      </c>
    </row>
    <row r="1246" spans="1:5" x14ac:dyDescent="0.4">
      <c r="A1246" s="27">
        <v>43796</v>
      </c>
      <c r="B1246" s="21">
        <v>240.4547</v>
      </c>
      <c r="C1246">
        <v>266.8048</v>
      </c>
      <c r="D1246">
        <v>129.76390499999999</v>
      </c>
      <c r="E1246" s="22">
        <v>99.913853000000003</v>
      </c>
    </row>
    <row r="1247" spans="1:5" x14ac:dyDescent="0.4">
      <c r="A1247" s="27">
        <v>43797</v>
      </c>
      <c r="B1247" s="21">
        <v>240.18299999999999</v>
      </c>
      <c r="C1247">
        <v>266.66570000000002</v>
      </c>
      <c r="D1247">
        <v>129.76229599999999</v>
      </c>
      <c r="E1247" s="22">
        <v>99.912373000000002</v>
      </c>
    </row>
    <row r="1248" spans="1:5" x14ac:dyDescent="0.4">
      <c r="A1248" s="27">
        <v>43798</v>
      </c>
      <c r="B1248" s="21">
        <v>239.0609</v>
      </c>
      <c r="C1248">
        <v>266.59190000000001</v>
      </c>
      <c r="D1248">
        <v>129.76068699999999</v>
      </c>
      <c r="E1248" s="22">
        <v>99.910899999999998</v>
      </c>
    </row>
    <row r="1249" spans="1:5" x14ac:dyDescent="0.4">
      <c r="A1249" s="27">
        <v>43801</v>
      </c>
      <c r="B1249" s="21">
        <v>235.35669999999999</v>
      </c>
      <c r="C1249">
        <v>265.2473</v>
      </c>
      <c r="D1249">
        <v>129.75585899999999</v>
      </c>
      <c r="E1249" s="22">
        <v>99.906469999999999</v>
      </c>
    </row>
    <row r="1250" spans="1:5" x14ac:dyDescent="0.4">
      <c r="A1250" s="27">
        <v>43802</v>
      </c>
      <c r="B1250" s="21">
        <v>233.74600000000001</v>
      </c>
      <c r="C1250">
        <v>266.47770000000003</v>
      </c>
      <c r="D1250">
        <v>129.754212</v>
      </c>
      <c r="E1250" s="22">
        <v>99.904968999999994</v>
      </c>
    </row>
    <row r="1251" spans="1:5" x14ac:dyDescent="0.4">
      <c r="A1251" s="27">
        <v>43803</v>
      </c>
      <c r="B1251" s="21">
        <v>236.45429999999999</v>
      </c>
      <c r="C1251">
        <v>266.14179999999999</v>
      </c>
      <c r="D1251">
        <v>129.752577</v>
      </c>
      <c r="E1251" s="22">
        <v>99.903473000000005</v>
      </c>
    </row>
    <row r="1252" spans="1:5" x14ac:dyDescent="0.4">
      <c r="A1252" s="27">
        <v>43804</v>
      </c>
      <c r="B1252" s="21">
        <v>236.125</v>
      </c>
      <c r="C1252">
        <v>265.4948</v>
      </c>
      <c r="D1252">
        <v>129.75094200000001</v>
      </c>
      <c r="E1252" s="22">
        <v>99.901973999999996</v>
      </c>
    </row>
    <row r="1253" spans="1:5" x14ac:dyDescent="0.4">
      <c r="A1253" s="27">
        <v>43805</v>
      </c>
      <c r="B1253" s="21">
        <v>238.93209999999999</v>
      </c>
      <c r="C1253">
        <v>265.45330000000001</v>
      </c>
      <c r="D1253">
        <v>129.74930699999999</v>
      </c>
      <c r="E1253" s="22">
        <v>99.900475999999998</v>
      </c>
    </row>
    <row r="1254" spans="1:5" x14ac:dyDescent="0.4">
      <c r="A1254" s="27">
        <v>43808</v>
      </c>
      <c r="B1254" s="21">
        <v>238.39590000000001</v>
      </c>
      <c r="C1254">
        <v>265.90559999999999</v>
      </c>
      <c r="D1254">
        <v>129.74437599999999</v>
      </c>
      <c r="E1254" s="22">
        <v>99.895972</v>
      </c>
    </row>
    <row r="1255" spans="1:5" x14ac:dyDescent="0.4">
      <c r="A1255" s="27">
        <v>43809</v>
      </c>
      <c r="B1255" s="21">
        <v>237.80950000000001</v>
      </c>
      <c r="C1255">
        <v>265.91640000000001</v>
      </c>
      <c r="D1255">
        <v>129.742729</v>
      </c>
      <c r="E1255" s="22">
        <v>99.894470999999996</v>
      </c>
    </row>
    <row r="1256" spans="1:5" x14ac:dyDescent="0.4">
      <c r="A1256" s="27">
        <v>43810</v>
      </c>
      <c r="B1256" s="21">
        <v>238.3621</v>
      </c>
      <c r="C1256">
        <v>266.34789999999998</v>
      </c>
      <c r="D1256">
        <v>129.74108100000001</v>
      </c>
      <c r="E1256" s="22">
        <v>99.892961</v>
      </c>
    </row>
    <row r="1257" spans="1:5" x14ac:dyDescent="0.4">
      <c r="A1257" s="27">
        <v>43811</v>
      </c>
      <c r="B1257" s="21">
        <v>239.1542</v>
      </c>
      <c r="C1257">
        <v>265.5865</v>
      </c>
      <c r="D1257">
        <v>129.73943299999999</v>
      </c>
      <c r="E1257" s="22">
        <v>99.891452000000001</v>
      </c>
    </row>
    <row r="1258" spans="1:5" x14ac:dyDescent="0.4">
      <c r="A1258" s="27">
        <v>43812</v>
      </c>
      <c r="B1258" s="21">
        <v>241.60079999999999</v>
      </c>
      <c r="C1258">
        <v>266.2808</v>
      </c>
      <c r="D1258">
        <v>129.737785</v>
      </c>
      <c r="E1258" s="22">
        <v>99.889942000000005</v>
      </c>
    </row>
    <row r="1259" spans="1:5" x14ac:dyDescent="0.4">
      <c r="A1259" s="27">
        <v>43815</v>
      </c>
      <c r="B1259" s="21">
        <v>244.95670000000001</v>
      </c>
      <c r="C1259">
        <v>266.10109999999997</v>
      </c>
      <c r="D1259">
        <v>129.73283000000001</v>
      </c>
      <c r="E1259" s="22">
        <v>99.885422000000005</v>
      </c>
    </row>
    <row r="1260" spans="1:5" x14ac:dyDescent="0.4">
      <c r="A1260" s="27">
        <v>43816</v>
      </c>
      <c r="B1260" s="21">
        <v>243.4709</v>
      </c>
      <c r="C1260">
        <v>266.39940000000001</v>
      </c>
      <c r="D1260">
        <v>129.73118199999999</v>
      </c>
      <c r="E1260" s="22">
        <v>99.883915999999999</v>
      </c>
    </row>
    <row r="1261" spans="1:5" x14ac:dyDescent="0.4">
      <c r="A1261" s="27">
        <v>43817</v>
      </c>
      <c r="B1261" s="21">
        <v>243.1986</v>
      </c>
      <c r="C1261">
        <v>265.7158</v>
      </c>
      <c r="D1261">
        <v>129.72955999999999</v>
      </c>
      <c r="E1261" s="22">
        <v>99.882429000000002</v>
      </c>
    </row>
    <row r="1262" spans="1:5" x14ac:dyDescent="0.4">
      <c r="A1262" s="27">
        <v>43818</v>
      </c>
      <c r="B1262" s="21">
        <v>243.6438</v>
      </c>
      <c r="C1262">
        <v>265.36880000000002</v>
      </c>
      <c r="D1262">
        <v>129.727926</v>
      </c>
      <c r="E1262" s="22">
        <v>99.880930000000006</v>
      </c>
    </row>
    <row r="1263" spans="1:5" x14ac:dyDescent="0.4">
      <c r="A1263" s="27">
        <v>43819</v>
      </c>
      <c r="B1263" s="21">
        <v>245.56280000000001</v>
      </c>
      <c r="C1263">
        <v>265.51650000000001</v>
      </c>
      <c r="D1263">
        <v>129.726291</v>
      </c>
      <c r="E1263" s="22">
        <v>99.879431999999994</v>
      </c>
    </row>
    <row r="1264" spans="1:5" x14ac:dyDescent="0.4">
      <c r="A1264" s="27">
        <v>43822</v>
      </c>
      <c r="B1264" s="21">
        <v>245.47909999999999</v>
      </c>
      <c r="C1264">
        <v>265.38170000000002</v>
      </c>
      <c r="D1264">
        <v>129.721374</v>
      </c>
      <c r="E1264" s="22">
        <v>99.874938</v>
      </c>
    </row>
    <row r="1265" spans="1:5" x14ac:dyDescent="0.4">
      <c r="A1265" s="27">
        <v>43823</v>
      </c>
      <c r="B1265" s="21">
        <v>245.8776</v>
      </c>
      <c r="C1265">
        <v>265.3947</v>
      </c>
      <c r="D1265">
        <v>129.71971400000001</v>
      </c>
      <c r="E1265" s="22">
        <v>99.873425999999995</v>
      </c>
    </row>
    <row r="1266" spans="1:5" x14ac:dyDescent="0.4">
      <c r="A1266" s="27">
        <v>43826</v>
      </c>
      <c r="B1266" s="21">
        <v>246.32050000000001</v>
      </c>
      <c r="C1266">
        <v>265.66039999999998</v>
      </c>
      <c r="D1266">
        <v>129.71469400000001</v>
      </c>
      <c r="E1266" s="22">
        <v>99.868855999999994</v>
      </c>
    </row>
    <row r="1267" spans="1:5" x14ac:dyDescent="0.4">
      <c r="A1267" s="27">
        <v>43829</v>
      </c>
      <c r="B1267" s="21">
        <v>244.1643</v>
      </c>
      <c r="C1267">
        <v>264.63959999999997</v>
      </c>
      <c r="D1267">
        <v>129.70975200000001</v>
      </c>
      <c r="E1267" s="22">
        <v>99.864345999999998</v>
      </c>
    </row>
    <row r="1268" spans="1:5" x14ac:dyDescent="0.4">
      <c r="A1268" s="27">
        <v>43830</v>
      </c>
      <c r="B1268" s="21">
        <v>243.995</v>
      </c>
      <c r="C1268">
        <v>264.65260000000001</v>
      </c>
      <c r="D1268">
        <v>129.70810399999999</v>
      </c>
      <c r="E1268" s="22">
        <v>99.862844999999993</v>
      </c>
    </row>
    <row r="1269" spans="1:5" x14ac:dyDescent="0.4">
      <c r="A1269" s="27">
        <v>43832</v>
      </c>
      <c r="B1269" s="21">
        <v>246.2594</v>
      </c>
      <c r="C1269">
        <v>265.21899999999999</v>
      </c>
      <c r="D1269">
        <v>129.70488800000001</v>
      </c>
      <c r="E1269" s="22">
        <v>99.859898999999999</v>
      </c>
    </row>
    <row r="1270" spans="1:5" x14ac:dyDescent="0.4">
      <c r="A1270" s="27">
        <v>43833</v>
      </c>
      <c r="B1270" s="21">
        <v>245.61969999999999</v>
      </c>
      <c r="C1270">
        <v>266.15730000000002</v>
      </c>
      <c r="D1270">
        <v>129.70325299999999</v>
      </c>
      <c r="E1270" s="22">
        <v>99.858403999999993</v>
      </c>
    </row>
    <row r="1271" spans="1:5" x14ac:dyDescent="0.4">
      <c r="A1271" s="27">
        <v>43836</v>
      </c>
      <c r="B1271" s="21">
        <v>244.74260000000001</v>
      </c>
      <c r="C1271">
        <v>266.21010000000001</v>
      </c>
      <c r="D1271">
        <v>129.698364</v>
      </c>
      <c r="E1271" s="22">
        <v>99.853935000000007</v>
      </c>
    </row>
    <row r="1272" spans="1:5" x14ac:dyDescent="0.4">
      <c r="A1272" s="27">
        <v>43837</v>
      </c>
      <c r="B1272" s="21">
        <v>245.2749</v>
      </c>
      <c r="C1272">
        <v>266.00560000000002</v>
      </c>
      <c r="D1272">
        <v>129.696729</v>
      </c>
      <c r="E1272" s="22">
        <v>99.852440000000001</v>
      </c>
    </row>
    <row r="1273" spans="1:5" x14ac:dyDescent="0.4">
      <c r="A1273" s="27">
        <v>43838</v>
      </c>
      <c r="B1273" s="21">
        <v>245.72239999999999</v>
      </c>
      <c r="C1273">
        <v>265.67230000000001</v>
      </c>
      <c r="D1273">
        <v>129.69509500000001</v>
      </c>
      <c r="E1273" s="22">
        <v>99.850942000000003</v>
      </c>
    </row>
    <row r="1274" spans="1:5" x14ac:dyDescent="0.4">
      <c r="A1274" s="27">
        <v>43839</v>
      </c>
      <c r="B1274" s="21">
        <v>246.37559999999999</v>
      </c>
      <c r="C1274">
        <v>265.19760000000002</v>
      </c>
      <c r="D1274">
        <v>129.69347400000001</v>
      </c>
      <c r="E1274" s="22">
        <v>99.849456000000004</v>
      </c>
    </row>
    <row r="1275" spans="1:5" x14ac:dyDescent="0.4">
      <c r="A1275" s="27">
        <v>43840</v>
      </c>
      <c r="B1275" s="21">
        <v>246.05940000000001</v>
      </c>
      <c r="C1275">
        <v>265.47269999999997</v>
      </c>
      <c r="D1275">
        <v>129.69184000000001</v>
      </c>
      <c r="E1275" s="22">
        <v>99.847960999999998</v>
      </c>
    </row>
    <row r="1276" spans="1:5" x14ac:dyDescent="0.4">
      <c r="A1276" s="27">
        <v>43843</v>
      </c>
      <c r="B1276" s="21">
        <v>245.61439999999999</v>
      </c>
      <c r="C1276">
        <v>264.74790000000002</v>
      </c>
      <c r="D1276">
        <v>129.68695099999999</v>
      </c>
      <c r="E1276" s="22">
        <v>99.843484000000004</v>
      </c>
    </row>
    <row r="1277" spans="1:5" x14ac:dyDescent="0.4">
      <c r="A1277" s="27">
        <v>43844</v>
      </c>
      <c r="B1277" s="21">
        <v>246.3219</v>
      </c>
      <c r="C1277">
        <v>264.99</v>
      </c>
      <c r="D1277">
        <v>129.685316</v>
      </c>
      <c r="E1277" s="22">
        <v>99.841994999999997</v>
      </c>
    </row>
    <row r="1278" spans="1:5" x14ac:dyDescent="0.4">
      <c r="A1278" s="27">
        <v>43845</v>
      </c>
      <c r="B1278" s="21">
        <v>246.41069999999999</v>
      </c>
      <c r="C1278">
        <v>265.38940000000002</v>
      </c>
      <c r="D1278">
        <v>129.683682</v>
      </c>
      <c r="E1278" s="22">
        <v>99.840502999999998</v>
      </c>
    </row>
    <row r="1279" spans="1:5" x14ac:dyDescent="0.4">
      <c r="A1279" s="27">
        <v>43846</v>
      </c>
      <c r="B1279" s="21">
        <v>246.95439999999999</v>
      </c>
      <c r="C1279">
        <v>265.38420000000002</v>
      </c>
      <c r="D1279">
        <v>129.68204800000001</v>
      </c>
      <c r="E1279" s="22">
        <v>99.839010999999999</v>
      </c>
    </row>
    <row r="1280" spans="1:5" x14ac:dyDescent="0.4">
      <c r="A1280" s="27">
        <v>43847</v>
      </c>
      <c r="B1280" s="21">
        <v>249.31049999999999</v>
      </c>
      <c r="C1280">
        <v>265.42009999999999</v>
      </c>
      <c r="D1280">
        <v>129.68042700000001</v>
      </c>
      <c r="E1280" s="22">
        <v>99.837524000000002</v>
      </c>
    </row>
    <row r="1281" spans="1:5" x14ac:dyDescent="0.4">
      <c r="A1281" s="27">
        <v>43850</v>
      </c>
      <c r="B1281" s="21">
        <v>248.9836</v>
      </c>
      <c r="C1281">
        <v>265.59840000000003</v>
      </c>
      <c r="D1281">
        <v>129.67553799999999</v>
      </c>
      <c r="E1281" s="22">
        <v>99.833056999999997</v>
      </c>
    </row>
    <row r="1282" spans="1:5" x14ac:dyDescent="0.4">
      <c r="A1282" s="27">
        <v>43851</v>
      </c>
      <c r="B1282" s="21">
        <v>248.58609999999999</v>
      </c>
      <c r="C1282">
        <v>266.11200000000002</v>
      </c>
      <c r="D1282">
        <v>129.67390499999999</v>
      </c>
      <c r="E1282" s="22">
        <v>99.831564999999998</v>
      </c>
    </row>
    <row r="1283" spans="1:5" x14ac:dyDescent="0.4">
      <c r="A1283" s="27">
        <v>43852</v>
      </c>
      <c r="B1283" s="21">
        <v>248.3493</v>
      </c>
      <c r="C1283">
        <v>266.24770000000001</v>
      </c>
      <c r="D1283">
        <v>129.67228399999999</v>
      </c>
      <c r="E1283" s="22">
        <v>99.830081000000007</v>
      </c>
    </row>
    <row r="1284" spans="1:5" x14ac:dyDescent="0.4">
      <c r="A1284" s="27">
        <v>43853</v>
      </c>
      <c r="B1284" s="21">
        <v>246.67500000000001</v>
      </c>
      <c r="C1284">
        <v>267.12119999999999</v>
      </c>
      <c r="D1284">
        <v>129.67066299999999</v>
      </c>
      <c r="E1284" s="22">
        <v>99.828595000000007</v>
      </c>
    </row>
    <row r="1285" spans="1:5" x14ac:dyDescent="0.4">
      <c r="A1285" s="27">
        <v>43854</v>
      </c>
      <c r="B1285" s="21">
        <v>248.74680000000001</v>
      </c>
      <c r="C1285">
        <v>267.41590000000002</v>
      </c>
      <c r="D1285">
        <v>129.66902899999999</v>
      </c>
      <c r="E1285" s="22">
        <v>99.827105000000003</v>
      </c>
    </row>
    <row r="1286" spans="1:5" x14ac:dyDescent="0.4">
      <c r="A1286" s="27">
        <v>43857</v>
      </c>
      <c r="B1286" s="21">
        <v>243.15199999999999</v>
      </c>
      <c r="C1286">
        <v>268.78379999999999</v>
      </c>
      <c r="D1286">
        <v>129.66414</v>
      </c>
      <c r="E1286" s="22">
        <v>99.822637999999998</v>
      </c>
    </row>
    <row r="1287" spans="1:5" x14ac:dyDescent="0.4">
      <c r="A1287" s="27">
        <v>43858</v>
      </c>
      <c r="B1287" s="21">
        <v>245.17509999999999</v>
      </c>
      <c r="C1287">
        <v>268.4144</v>
      </c>
      <c r="D1287">
        <v>129.66250700000001</v>
      </c>
      <c r="E1287" s="22">
        <v>99.821145999999999</v>
      </c>
    </row>
    <row r="1288" spans="1:5" x14ac:dyDescent="0.4">
      <c r="A1288" s="27">
        <v>43859</v>
      </c>
      <c r="B1288" s="21">
        <v>246.1617</v>
      </c>
      <c r="C1288">
        <v>268.90480000000002</v>
      </c>
      <c r="D1288">
        <v>129.660886</v>
      </c>
      <c r="E1288" s="22">
        <v>99.819659999999999</v>
      </c>
    </row>
    <row r="1289" spans="1:5" x14ac:dyDescent="0.4">
      <c r="A1289" s="27">
        <v>43860</v>
      </c>
      <c r="B1289" s="21">
        <v>243.69</v>
      </c>
      <c r="C1289">
        <v>269.40690000000001</v>
      </c>
      <c r="D1289">
        <v>129.65925200000001</v>
      </c>
      <c r="E1289" s="22">
        <v>99.818162999999998</v>
      </c>
    </row>
    <row r="1290" spans="1:5" x14ac:dyDescent="0.4">
      <c r="A1290" s="27">
        <v>43861</v>
      </c>
      <c r="B1290" s="21">
        <v>240.92949999999999</v>
      </c>
      <c r="C1290">
        <v>269.91640000000001</v>
      </c>
      <c r="D1290">
        <v>129.65761800000001</v>
      </c>
      <c r="E1290" s="22">
        <v>99.816668000000007</v>
      </c>
    </row>
    <row r="1291" spans="1:5" x14ac:dyDescent="0.4">
      <c r="A1291" s="27">
        <v>43864</v>
      </c>
      <c r="B1291" s="21">
        <v>241.3991</v>
      </c>
      <c r="C1291">
        <v>269.61590000000001</v>
      </c>
      <c r="D1291">
        <v>129.652717</v>
      </c>
      <c r="E1291" s="22">
        <v>99.812184999999999</v>
      </c>
    </row>
    <row r="1292" spans="1:5" x14ac:dyDescent="0.4">
      <c r="A1292" s="27">
        <v>43865</v>
      </c>
      <c r="B1292" s="21">
        <v>245.29140000000001</v>
      </c>
      <c r="C1292">
        <v>269.34710000000001</v>
      </c>
      <c r="D1292">
        <v>129.651084</v>
      </c>
      <c r="E1292" s="22">
        <v>99.810695999999993</v>
      </c>
    </row>
    <row r="1293" spans="1:5" x14ac:dyDescent="0.4">
      <c r="A1293" s="27">
        <v>43866</v>
      </c>
      <c r="B1293" s="21">
        <v>248.3185</v>
      </c>
      <c r="C1293">
        <v>268.77460000000002</v>
      </c>
      <c r="D1293">
        <v>129.649463</v>
      </c>
      <c r="E1293" s="22">
        <v>99.809209999999993</v>
      </c>
    </row>
    <row r="1294" spans="1:5" x14ac:dyDescent="0.4">
      <c r="A1294" s="27">
        <v>43867</v>
      </c>
      <c r="B1294" s="21">
        <v>249.499</v>
      </c>
      <c r="C1294">
        <v>268.6386</v>
      </c>
      <c r="D1294">
        <v>129.647842</v>
      </c>
      <c r="E1294" s="22">
        <v>99.807723999999993</v>
      </c>
    </row>
    <row r="1295" spans="1:5" x14ac:dyDescent="0.4">
      <c r="A1295" s="27">
        <v>43868</v>
      </c>
      <c r="B1295" s="21">
        <v>248.83</v>
      </c>
      <c r="C1295">
        <v>269.11680000000001</v>
      </c>
      <c r="D1295">
        <v>129.64622199999999</v>
      </c>
      <c r="E1295" s="22">
        <v>99.806241</v>
      </c>
    </row>
    <row r="1296" spans="1:5" x14ac:dyDescent="0.4">
      <c r="A1296" s="27">
        <v>43871</v>
      </c>
      <c r="B1296" s="21">
        <v>248.96440000000001</v>
      </c>
      <c r="C1296">
        <v>269.51249999999999</v>
      </c>
      <c r="D1296">
        <v>129.641334</v>
      </c>
      <c r="E1296" s="22">
        <v>99.801773999999995</v>
      </c>
    </row>
    <row r="1297" spans="1:5" x14ac:dyDescent="0.4">
      <c r="A1297" s="27">
        <v>43872</v>
      </c>
      <c r="B1297" s="21">
        <v>251.14879999999999</v>
      </c>
      <c r="C1297">
        <v>269.1771</v>
      </c>
      <c r="D1297">
        <v>129.639701</v>
      </c>
      <c r="E1297" s="22">
        <v>99.800286</v>
      </c>
    </row>
    <row r="1298" spans="1:5" x14ac:dyDescent="0.4">
      <c r="A1298" s="27">
        <v>43873</v>
      </c>
      <c r="B1298" s="21">
        <v>252.74379999999999</v>
      </c>
      <c r="C1298">
        <v>269.28559999999999</v>
      </c>
      <c r="D1298">
        <v>129.63805400000001</v>
      </c>
      <c r="E1298" s="22">
        <v>99.798786000000007</v>
      </c>
    </row>
    <row r="1299" spans="1:5" x14ac:dyDescent="0.4">
      <c r="A1299" s="27">
        <v>43874</v>
      </c>
      <c r="B1299" s="21">
        <v>252.6516</v>
      </c>
      <c r="C1299">
        <v>269.62889999999999</v>
      </c>
      <c r="D1299">
        <v>129.63640799999999</v>
      </c>
      <c r="E1299" s="22">
        <v>99.797286</v>
      </c>
    </row>
    <row r="1300" spans="1:5" x14ac:dyDescent="0.4">
      <c r="A1300" s="27">
        <v>43875</v>
      </c>
      <c r="B1300" s="21">
        <v>252.17060000000001</v>
      </c>
      <c r="C1300">
        <v>269.7473</v>
      </c>
      <c r="D1300">
        <v>129.63477399999999</v>
      </c>
      <c r="E1300" s="22">
        <v>99.795788999999999</v>
      </c>
    </row>
    <row r="1301" spans="1:5" x14ac:dyDescent="0.4">
      <c r="A1301" s="27">
        <v>43878</v>
      </c>
      <c r="B1301" s="21">
        <v>253.00569999999999</v>
      </c>
      <c r="C1301">
        <v>269.8433</v>
      </c>
      <c r="D1301">
        <v>129.629887</v>
      </c>
      <c r="E1301" s="22">
        <v>99.791314999999997</v>
      </c>
    </row>
    <row r="1302" spans="1:5" x14ac:dyDescent="0.4">
      <c r="A1302" s="27">
        <v>43879</v>
      </c>
      <c r="B1302" s="21">
        <v>252.0403</v>
      </c>
      <c r="C1302">
        <v>269.80380000000002</v>
      </c>
      <c r="D1302">
        <v>129.628241</v>
      </c>
      <c r="E1302" s="22">
        <v>99.789815000000004</v>
      </c>
    </row>
    <row r="1303" spans="1:5" x14ac:dyDescent="0.4">
      <c r="A1303" s="27">
        <v>43880</v>
      </c>
      <c r="B1303" s="21">
        <v>254.14160000000001</v>
      </c>
      <c r="C1303">
        <v>270.03019999999998</v>
      </c>
      <c r="D1303">
        <v>129.626621</v>
      </c>
      <c r="E1303" s="22">
        <v>99.788330000000002</v>
      </c>
    </row>
    <row r="1304" spans="1:5" x14ac:dyDescent="0.4">
      <c r="A1304" s="27">
        <v>43881</v>
      </c>
      <c r="B1304" s="21">
        <v>252.0351</v>
      </c>
      <c r="C1304">
        <v>270.53390000000002</v>
      </c>
      <c r="D1304">
        <v>129.624987</v>
      </c>
      <c r="E1304" s="22">
        <v>99.786838000000003</v>
      </c>
    </row>
    <row r="1305" spans="1:5" x14ac:dyDescent="0.4">
      <c r="A1305" s="27">
        <v>43882</v>
      </c>
      <c r="B1305" s="21">
        <v>250.69929999999999</v>
      </c>
      <c r="C1305">
        <v>270.7072</v>
      </c>
      <c r="D1305">
        <v>129.62335400000001</v>
      </c>
      <c r="E1305" s="22">
        <v>99.785347000000002</v>
      </c>
    </row>
    <row r="1306" spans="1:5" x14ac:dyDescent="0.4">
      <c r="A1306" s="27">
        <v>43885</v>
      </c>
      <c r="B1306" s="21">
        <v>241.27369999999999</v>
      </c>
      <c r="C1306">
        <v>270.95150000000001</v>
      </c>
      <c r="D1306">
        <v>129.61845400000001</v>
      </c>
      <c r="E1306" s="22">
        <v>99.780865000000006</v>
      </c>
    </row>
    <row r="1307" spans="1:5" x14ac:dyDescent="0.4">
      <c r="A1307" s="27">
        <v>43886</v>
      </c>
      <c r="B1307" s="21">
        <v>237.05539999999999</v>
      </c>
      <c r="C1307">
        <v>271.10410000000002</v>
      </c>
      <c r="D1307">
        <v>129.61682099999999</v>
      </c>
      <c r="E1307" s="22">
        <v>99.779368000000005</v>
      </c>
    </row>
    <row r="1308" spans="1:5" x14ac:dyDescent="0.4">
      <c r="A1308" s="27">
        <v>43887</v>
      </c>
      <c r="B1308" s="21">
        <v>237.09710000000001</v>
      </c>
      <c r="C1308">
        <v>270.62119999999999</v>
      </c>
      <c r="D1308">
        <v>129.61518799999999</v>
      </c>
      <c r="E1308" s="22">
        <v>99.777873999999997</v>
      </c>
    </row>
    <row r="1309" spans="1:5" x14ac:dyDescent="0.4">
      <c r="A1309" s="27">
        <v>43888</v>
      </c>
      <c r="B1309" s="21">
        <v>228.50110000000001</v>
      </c>
      <c r="C1309">
        <v>270.51990000000001</v>
      </c>
      <c r="D1309">
        <v>129.61355499999999</v>
      </c>
      <c r="E1309" s="22">
        <v>99.776381000000001</v>
      </c>
    </row>
    <row r="1310" spans="1:5" x14ac:dyDescent="0.4">
      <c r="A1310" s="27">
        <v>43889</v>
      </c>
      <c r="B1310" s="21">
        <v>220.5197</v>
      </c>
      <c r="C1310">
        <v>270.858</v>
      </c>
      <c r="D1310">
        <v>129.61192199999999</v>
      </c>
      <c r="E1310" s="22">
        <v>99.774889000000002</v>
      </c>
    </row>
    <row r="1311" spans="1:5" x14ac:dyDescent="0.4">
      <c r="A1311" s="27">
        <v>43892</v>
      </c>
      <c r="B1311" s="21">
        <v>220.87020000000001</v>
      </c>
      <c r="C1311">
        <v>270.9633</v>
      </c>
      <c r="D1311">
        <v>129.60700900000001</v>
      </c>
      <c r="E1311" s="22">
        <v>99.770399999999995</v>
      </c>
    </row>
    <row r="1312" spans="1:5" x14ac:dyDescent="0.4">
      <c r="A1312" s="27">
        <v>43893</v>
      </c>
      <c r="B1312" s="21">
        <v>223.69980000000001</v>
      </c>
      <c r="C1312">
        <v>271.70010000000002</v>
      </c>
      <c r="D1312">
        <v>129.60536300000001</v>
      </c>
      <c r="E1312" s="22">
        <v>99.768896999999996</v>
      </c>
    </row>
    <row r="1313" spans="1:5" x14ac:dyDescent="0.4">
      <c r="A1313" s="27">
        <v>43894</v>
      </c>
      <c r="B1313" s="21">
        <v>226.99440000000001</v>
      </c>
      <c r="C1313">
        <v>271.95979999999997</v>
      </c>
      <c r="D1313">
        <v>129.60371699999999</v>
      </c>
      <c r="E1313" s="22">
        <v>99.767394999999993</v>
      </c>
    </row>
    <row r="1314" spans="1:5" x14ac:dyDescent="0.4">
      <c r="A1314" s="27">
        <v>43895</v>
      </c>
      <c r="B1314" s="21">
        <v>223.84</v>
      </c>
      <c r="C1314">
        <v>271.87650000000002</v>
      </c>
      <c r="D1314">
        <v>129.602071</v>
      </c>
      <c r="E1314" s="22">
        <v>99.765895999999998</v>
      </c>
    </row>
    <row r="1315" spans="1:5" x14ac:dyDescent="0.4">
      <c r="A1315" s="27">
        <v>43896</v>
      </c>
      <c r="B1315" s="21">
        <v>215.6001</v>
      </c>
      <c r="C1315">
        <v>272.20819999999998</v>
      </c>
      <c r="D1315">
        <v>129.600438</v>
      </c>
      <c r="E1315" s="22">
        <v>99.764399999999995</v>
      </c>
    </row>
    <row r="1316" spans="1:5" x14ac:dyDescent="0.4">
      <c r="A1316" s="27">
        <v>43899</v>
      </c>
      <c r="B1316" s="21">
        <v>199.29480000000001</v>
      </c>
      <c r="C1316">
        <v>271.55259999999998</v>
      </c>
      <c r="D1316">
        <v>129.59551300000001</v>
      </c>
      <c r="E1316" s="22">
        <v>99.759901999999997</v>
      </c>
    </row>
    <row r="1317" spans="1:5" x14ac:dyDescent="0.4">
      <c r="A1317" s="27">
        <v>43900</v>
      </c>
      <c r="B1317" s="21">
        <v>197.2193</v>
      </c>
      <c r="C1317">
        <v>270.95859999999999</v>
      </c>
      <c r="D1317">
        <v>129.59388100000001</v>
      </c>
      <c r="E1317" s="22">
        <v>99.758408000000003</v>
      </c>
    </row>
    <row r="1318" spans="1:5" x14ac:dyDescent="0.4">
      <c r="A1318" s="27">
        <v>43901</v>
      </c>
      <c r="B1318" s="21">
        <v>195.71530000000001</v>
      </c>
      <c r="C1318">
        <v>271.41930000000002</v>
      </c>
      <c r="D1318">
        <v>129.59223499999999</v>
      </c>
      <c r="E1318" s="22">
        <v>99.756908999999993</v>
      </c>
    </row>
    <row r="1319" spans="1:5" x14ac:dyDescent="0.4">
      <c r="A1319" s="27">
        <v>43902</v>
      </c>
      <c r="B1319" s="21">
        <v>173.08080000000001</v>
      </c>
      <c r="C1319">
        <v>268.03829999999999</v>
      </c>
      <c r="D1319">
        <v>129.59058899999999</v>
      </c>
      <c r="E1319" s="22">
        <v>99.755403999999999</v>
      </c>
    </row>
    <row r="1320" spans="1:5" x14ac:dyDescent="0.4">
      <c r="A1320" s="27">
        <v>43903</v>
      </c>
      <c r="B1320" s="21">
        <v>175.60820000000001</v>
      </c>
      <c r="C1320">
        <v>265.75799999999998</v>
      </c>
      <c r="D1320">
        <v>129.588956</v>
      </c>
      <c r="E1320" s="22">
        <v>99.753907999999996</v>
      </c>
    </row>
    <row r="1321" spans="1:5" x14ac:dyDescent="0.4">
      <c r="A1321" s="27">
        <v>43906</v>
      </c>
      <c r="B1321" s="21">
        <v>167.23990000000001</v>
      </c>
      <c r="C1321">
        <v>262.35610000000003</v>
      </c>
      <c r="D1321">
        <v>129.58403200000001</v>
      </c>
      <c r="E1321" s="22">
        <v>99.749410999999995</v>
      </c>
    </row>
    <row r="1322" spans="1:5" x14ac:dyDescent="0.4">
      <c r="A1322" s="27">
        <v>43907</v>
      </c>
      <c r="B1322" s="21">
        <v>171.3683</v>
      </c>
      <c r="C1322">
        <v>260.9194</v>
      </c>
      <c r="D1322">
        <v>129.58241200000001</v>
      </c>
      <c r="E1322" s="22">
        <v>99.747926000000007</v>
      </c>
    </row>
    <row r="1323" spans="1:5" x14ac:dyDescent="0.4">
      <c r="A1323" s="27">
        <v>43908</v>
      </c>
      <c r="B1323" s="21">
        <v>164.54660000000001</v>
      </c>
      <c r="C1323">
        <v>257.79590000000002</v>
      </c>
      <c r="D1323">
        <v>129.580805</v>
      </c>
      <c r="E1323" s="22">
        <v>99.746454</v>
      </c>
    </row>
    <row r="1324" spans="1:5" x14ac:dyDescent="0.4">
      <c r="A1324" s="27">
        <v>43909</v>
      </c>
      <c r="B1324" s="21">
        <v>169.7509</v>
      </c>
      <c r="C1324">
        <v>258.74119999999999</v>
      </c>
      <c r="D1324">
        <v>129.57921099999999</v>
      </c>
      <c r="E1324" s="22">
        <v>99.744989000000004</v>
      </c>
    </row>
    <row r="1325" spans="1:5" x14ac:dyDescent="0.4">
      <c r="A1325" s="27">
        <v>43910</v>
      </c>
      <c r="B1325" s="21">
        <v>172.60149999999999</v>
      </c>
      <c r="C1325">
        <v>261.1422</v>
      </c>
      <c r="D1325">
        <v>129.57763</v>
      </c>
      <c r="E1325" s="22">
        <v>99.743531000000004</v>
      </c>
    </row>
    <row r="1326" spans="1:5" x14ac:dyDescent="0.4">
      <c r="A1326" s="27">
        <v>43913</v>
      </c>
      <c r="B1326" s="21">
        <v>165.321</v>
      </c>
      <c r="C1326">
        <v>260.9846</v>
      </c>
      <c r="D1326">
        <v>129.57288800000001</v>
      </c>
      <c r="E1326" s="22">
        <v>99.739176</v>
      </c>
    </row>
    <row r="1327" spans="1:5" x14ac:dyDescent="0.4">
      <c r="A1327" s="27">
        <v>43914</v>
      </c>
      <c r="B1327" s="21">
        <v>179.43530000000001</v>
      </c>
      <c r="C1327">
        <v>259.66840000000002</v>
      </c>
      <c r="D1327">
        <v>129.57130699999999</v>
      </c>
      <c r="E1327" s="22">
        <v>99.737720999999993</v>
      </c>
    </row>
    <row r="1328" spans="1:5" x14ac:dyDescent="0.4">
      <c r="A1328" s="27">
        <v>43915</v>
      </c>
      <c r="B1328" s="21">
        <v>185.1</v>
      </c>
      <c r="C1328">
        <v>258.92509999999999</v>
      </c>
      <c r="D1328">
        <v>129.56971300000001</v>
      </c>
      <c r="E1328" s="22">
        <v>99.736260999999999</v>
      </c>
    </row>
    <row r="1329" spans="1:5" x14ac:dyDescent="0.4">
      <c r="A1329" s="27">
        <v>43916</v>
      </c>
      <c r="B1329" s="21">
        <v>189.77879999999999</v>
      </c>
      <c r="C1329">
        <v>261.58890000000002</v>
      </c>
      <c r="D1329">
        <v>129.56811999999999</v>
      </c>
      <c r="E1329" s="22">
        <v>99.734801000000004</v>
      </c>
    </row>
    <row r="1330" spans="1:5" x14ac:dyDescent="0.4">
      <c r="A1330" s="27">
        <v>43917</v>
      </c>
      <c r="B1330" s="21">
        <v>183.3792</v>
      </c>
      <c r="C1330">
        <v>262.82330000000002</v>
      </c>
      <c r="D1330">
        <v>129.56652600000001</v>
      </c>
      <c r="E1330" s="22">
        <v>99.733335999999994</v>
      </c>
    </row>
    <row r="1331" spans="1:5" x14ac:dyDescent="0.4">
      <c r="A1331" s="27">
        <v>43920</v>
      </c>
      <c r="B1331" s="21">
        <v>185.91</v>
      </c>
      <c r="C1331">
        <v>262.99869999999999</v>
      </c>
      <c r="D1331">
        <v>129.56171900000001</v>
      </c>
      <c r="E1331" s="22">
        <v>99.728931000000003</v>
      </c>
    </row>
    <row r="1332" spans="1:5" x14ac:dyDescent="0.4">
      <c r="A1332" s="27">
        <v>43921</v>
      </c>
      <c r="B1332" s="21">
        <v>188.87780000000001</v>
      </c>
      <c r="C1332">
        <v>261.67189999999999</v>
      </c>
      <c r="D1332">
        <v>129.560125</v>
      </c>
      <c r="E1332" s="22">
        <v>99.727468000000002</v>
      </c>
    </row>
    <row r="1333" spans="1:5" x14ac:dyDescent="0.4">
      <c r="A1333" s="27">
        <v>43922</v>
      </c>
      <c r="B1333" s="21">
        <v>183.52279999999999</v>
      </c>
      <c r="C1333">
        <v>261.61380000000003</v>
      </c>
      <c r="D1333">
        <v>129.558558</v>
      </c>
      <c r="E1333" s="22">
        <v>99.726022</v>
      </c>
    </row>
    <row r="1334" spans="1:5" x14ac:dyDescent="0.4">
      <c r="A1334" s="27">
        <v>43923</v>
      </c>
      <c r="B1334" s="21">
        <v>184.37440000000001</v>
      </c>
      <c r="C1334">
        <v>261.46559999999999</v>
      </c>
      <c r="D1334">
        <v>129.55696399999999</v>
      </c>
      <c r="E1334" s="22">
        <v>99.724562000000006</v>
      </c>
    </row>
    <row r="1335" spans="1:5" x14ac:dyDescent="0.4">
      <c r="A1335" s="27">
        <v>43924</v>
      </c>
      <c r="B1335" s="21">
        <v>182.6309</v>
      </c>
      <c r="C1335">
        <v>261.30110000000002</v>
      </c>
      <c r="D1335">
        <v>129.55534499999999</v>
      </c>
      <c r="E1335" s="22">
        <v>99.723083000000003</v>
      </c>
    </row>
    <row r="1336" spans="1:5" x14ac:dyDescent="0.4">
      <c r="A1336" s="27">
        <v>43927</v>
      </c>
      <c r="B1336" s="21">
        <v>189.31610000000001</v>
      </c>
      <c r="C1336">
        <v>261.20150000000001</v>
      </c>
      <c r="D1336">
        <v>129.55044699999999</v>
      </c>
      <c r="E1336" s="22">
        <v>99.718603999999999</v>
      </c>
    </row>
    <row r="1337" spans="1:5" x14ac:dyDescent="0.4">
      <c r="A1337" s="27">
        <v>43928</v>
      </c>
      <c r="B1337" s="21">
        <v>192.6567</v>
      </c>
      <c r="C1337">
        <v>260.01100000000002</v>
      </c>
      <c r="D1337">
        <v>129.54884100000001</v>
      </c>
      <c r="E1337" s="22">
        <v>99.717127000000005</v>
      </c>
    </row>
    <row r="1338" spans="1:5" x14ac:dyDescent="0.4">
      <c r="A1338" s="27">
        <v>43929</v>
      </c>
      <c r="B1338" s="21">
        <v>192.5788</v>
      </c>
      <c r="C1338">
        <v>259.96929999999998</v>
      </c>
      <c r="D1338">
        <v>129.547235</v>
      </c>
      <c r="E1338" s="22">
        <v>99.715650999999994</v>
      </c>
    </row>
    <row r="1339" spans="1:5" x14ac:dyDescent="0.4">
      <c r="A1339" s="27">
        <v>43930</v>
      </c>
      <c r="B1339" s="21">
        <v>195.44479999999999</v>
      </c>
      <c r="C1339">
        <v>261.11680000000001</v>
      </c>
      <c r="D1339">
        <v>129.545615</v>
      </c>
      <c r="E1339" s="22">
        <v>99.714168999999998</v>
      </c>
    </row>
    <row r="1340" spans="1:5" x14ac:dyDescent="0.4">
      <c r="A1340" s="27">
        <v>43935</v>
      </c>
      <c r="B1340" s="21">
        <v>196.65719999999999</v>
      </c>
      <c r="C1340">
        <v>261.50029999999998</v>
      </c>
      <c r="D1340">
        <v>129.53750600000001</v>
      </c>
      <c r="E1340" s="22">
        <v>99.706745999999995</v>
      </c>
    </row>
    <row r="1341" spans="1:5" x14ac:dyDescent="0.4">
      <c r="A1341" s="27">
        <v>43936</v>
      </c>
      <c r="B1341" s="21">
        <v>190.28960000000001</v>
      </c>
      <c r="C1341">
        <v>261.9513</v>
      </c>
      <c r="D1341">
        <v>129.535887</v>
      </c>
      <c r="E1341" s="22">
        <v>99.705267000000006</v>
      </c>
    </row>
    <row r="1342" spans="1:5" x14ac:dyDescent="0.4">
      <c r="A1342" s="27">
        <v>43937</v>
      </c>
      <c r="B1342" s="21">
        <v>191.417</v>
      </c>
      <c r="C1342">
        <v>262.03640000000001</v>
      </c>
      <c r="D1342">
        <v>129.534267</v>
      </c>
      <c r="E1342" s="22">
        <v>99.703784999999996</v>
      </c>
    </row>
    <row r="1343" spans="1:5" x14ac:dyDescent="0.4">
      <c r="A1343" s="27">
        <v>43938</v>
      </c>
      <c r="B1343" s="21">
        <v>196.41659999999999</v>
      </c>
      <c r="C1343">
        <v>262.34629999999999</v>
      </c>
      <c r="D1343">
        <v>129.53264799999999</v>
      </c>
      <c r="E1343" s="22">
        <v>99.702305999999993</v>
      </c>
    </row>
    <row r="1344" spans="1:5" x14ac:dyDescent="0.4">
      <c r="A1344" s="27">
        <v>43941</v>
      </c>
      <c r="B1344" s="21">
        <v>197.70429999999999</v>
      </c>
      <c r="C1344">
        <v>261.28660000000002</v>
      </c>
      <c r="D1344">
        <v>129.52776499999999</v>
      </c>
      <c r="E1344" s="22">
        <v>99.697835999999995</v>
      </c>
    </row>
    <row r="1345" spans="1:5" x14ac:dyDescent="0.4">
      <c r="A1345" s="27">
        <v>43942</v>
      </c>
      <c r="B1345" s="21">
        <v>190.93270000000001</v>
      </c>
      <c r="C1345">
        <v>260.70890000000003</v>
      </c>
      <c r="D1345">
        <v>129.52611999999999</v>
      </c>
      <c r="E1345" s="22">
        <v>99.696337999999997</v>
      </c>
    </row>
    <row r="1346" spans="1:5" x14ac:dyDescent="0.4">
      <c r="A1346" s="27">
        <v>43943</v>
      </c>
      <c r="B1346" s="21">
        <v>194.5532</v>
      </c>
      <c r="C1346">
        <v>259.97539999999998</v>
      </c>
      <c r="D1346">
        <v>129.524475</v>
      </c>
      <c r="E1346" s="22">
        <v>99.694839999999999</v>
      </c>
    </row>
    <row r="1347" spans="1:5" x14ac:dyDescent="0.4">
      <c r="A1347" s="27">
        <v>43944</v>
      </c>
      <c r="B1347" s="21">
        <v>196.33500000000001</v>
      </c>
      <c r="C1347">
        <v>260.97989999999999</v>
      </c>
      <c r="D1347">
        <v>129.52284299999999</v>
      </c>
      <c r="E1347" s="22">
        <v>99.693347000000003</v>
      </c>
    </row>
    <row r="1348" spans="1:5" x14ac:dyDescent="0.4">
      <c r="A1348" s="27">
        <v>43945</v>
      </c>
      <c r="B1348" s="21">
        <v>194.20490000000001</v>
      </c>
      <c r="C1348">
        <v>262.07339999999999</v>
      </c>
      <c r="D1348">
        <v>129.52121099999999</v>
      </c>
      <c r="E1348" s="22">
        <v>99.691855000000004</v>
      </c>
    </row>
    <row r="1349" spans="1:5" x14ac:dyDescent="0.4">
      <c r="A1349" s="27">
        <v>43948</v>
      </c>
      <c r="B1349" s="21">
        <v>197.9</v>
      </c>
      <c r="C1349">
        <v>262.5419</v>
      </c>
      <c r="D1349">
        <v>129.51631499999999</v>
      </c>
      <c r="E1349" s="22">
        <v>99.687376999999998</v>
      </c>
    </row>
    <row r="1350" spans="1:5" x14ac:dyDescent="0.4">
      <c r="A1350" s="27">
        <v>43949</v>
      </c>
      <c r="B1350" s="21">
        <v>201.2962</v>
      </c>
      <c r="C1350">
        <v>263.07029999999997</v>
      </c>
      <c r="D1350">
        <v>129.51468299999999</v>
      </c>
      <c r="E1350" s="22">
        <v>99.685884000000001</v>
      </c>
    </row>
    <row r="1351" spans="1:5" x14ac:dyDescent="0.4">
      <c r="A1351" s="27">
        <v>43950</v>
      </c>
      <c r="B1351" s="21">
        <v>204.88630000000001</v>
      </c>
      <c r="C1351">
        <v>263.46519999999998</v>
      </c>
      <c r="D1351">
        <v>129.51303799999999</v>
      </c>
      <c r="E1351" s="22">
        <v>99.684386000000003</v>
      </c>
    </row>
    <row r="1352" spans="1:5" x14ac:dyDescent="0.4">
      <c r="A1352" s="27">
        <v>43951</v>
      </c>
      <c r="B1352" s="21">
        <v>200.43600000000001</v>
      </c>
      <c r="C1352">
        <v>264.76280000000003</v>
      </c>
      <c r="D1352">
        <v>129.511393</v>
      </c>
      <c r="E1352" s="22">
        <v>99.682883000000004</v>
      </c>
    </row>
    <row r="1353" spans="1:5" x14ac:dyDescent="0.4">
      <c r="A1353" s="27">
        <v>43952</v>
      </c>
      <c r="B1353" s="21">
        <v>198.61600000000001</v>
      </c>
      <c r="C1353">
        <v>264.77510000000001</v>
      </c>
      <c r="D1353">
        <v>129.50496999999999</v>
      </c>
      <c r="E1353" s="22">
        <v>99.677001000000004</v>
      </c>
    </row>
    <row r="1354" spans="1:5" x14ac:dyDescent="0.4">
      <c r="A1354" s="27">
        <v>43955</v>
      </c>
      <c r="B1354" s="21">
        <v>193.62700000000001</v>
      </c>
      <c r="C1354">
        <v>264.01710000000003</v>
      </c>
      <c r="D1354">
        <v>129.50496999999999</v>
      </c>
      <c r="E1354" s="22">
        <v>99.677001000000004</v>
      </c>
    </row>
    <row r="1355" spans="1:5" x14ac:dyDescent="0.4">
      <c r="A1355" s="27">
        <v>43956</v>
      </c>
      <c r="B1355" s="21">
        <v>197.9271</v>
      </c>
      <c r="C1355">
        <v>263.90410000000003</v>
      </c>
      <c r="D1355">
        <v>129.50332499999999</v>
      </c>
      <c r="E1355" s="22">
        <v>99.675498000000005</v>
      </c>
    </row>
    <row r="1356" spans="1:5" x14ac:dyDescent="0.4">
      <c r="A1356" s="27">
        <v>43957</v>
      </c>
      <c r="B1356" s="21">
        <v>197.17750000000001</v>
      </c>
      <c r="C1356">
        <v>262.60050000000001</v>
      </c>
      <c r="D1356">
        <v>129.50169299999999</v>
      </c>
      <c r="E1356" s="22">
        <v>99.674004999999994</v>
      </c>
    </row>
    <row r="1357" spans="1:5" x14ac:dyDescent="0.4">
      <c r="A1357" s="27">
        <v>43958</v>
      </c>
      <c r="B1357" s="21">
        <v>199.3886</v>
      </c>
      <c r="C1357">
        <v>263.11200000000002</v>
      </c>
      <c r="D1357">
        <v>129.50004799999999</v>
      </c>
      <c r="E1357" s="22">
        <v>99.672505000000001</v>
      </c>
    </row>
    <row r="1358" spans="1:5" x14ac:dyDescent="0.4">
      <c r="A1358" s="27">
        <v>43962</v>
      </c>
      <c r="B1358" s="21">
        <v>200.39959999999999</v>
      </c>
      <c r="C1358">
        <v>262.99439999999998</v>
      </c>
      <c r="D1358">
        <v>129.493483</v>
      </c>
      <c r="E1358" s="22">
        <v>99.666512999999995</v>
      </c>
    </row>
    <row r="1359" spans="1:5" x14ac:dyDescent="0.4">
      <c r="A1359" s="27">
        <v>43963</v>
      </c>
      <c r="B1359" s="21">
        <v>200.9924</v>
      </c>
      <c r="C1359">
        <v>263.13060000000002</v>
      </c>
      <c r="D1359">
        <v>129.491838</v>
      </c>
      <c r="E1359" s="22">
        <v>99.665007000000003</v>
      </c>
    </row>
    <row r="1360" spans="1:5" x14ac:dyDescent="0.4">
      <c r="A1360" s="27">
        <v>43964</v>
      </c>
      <c r="B1360" s="21">
        <v>196.98410000000001</v>
      </c>
      <c r="C1360">
        <v>263.67469999999997</v>
      </c>
      <c r="D1360">
        <v>129.490194</v>
      </c>
      <c r="E1360" s="22">
        <v>99.663504000000003</v>
      </c>
    </row>
    <row r="1361" spans="1:5" x14ac:dyDescent="0.4">
      <c r="A1361" s="27">
        <v>43965</v>
      </c>
      <c r="B1361" s="21">
        <v>192.87119999999999</v>
      </c>
      <c r="C1361">
        <v>263.3501</v>
      </c>
      <c r="D1361">
        <v>129.48854900000001</v>
      </c>
      <c r="E1361" s="22">
        <v>99.662003999999996</v>
      </c>
    </row>
    <row r="1362" spans="1:5" x14ac:dyDescent="0.4">
      <c r="A1362" s="27">
        <v>43966</v>
      </c>
      <c r="B1362" s="21">
        <v>193.69880000000001</v>
      </c>
      <c r="C1362">
        <v>263.26150000000001</v>
      </c>
      <c r="D1362">
        <v>129.48690500000001</v>
      </c>
      <c r="E1362" s="22">
        <v>99.660505999999998</v>
      </c>
    </row>
    <row r="1363" spans="1:5" x14ac:dyDescent="0.4">
      <c r="A1363" s="27">
        <v>43969</v>
      </c>
      <c r="B1363" s="21">
        <v>201.73689999999999</v>
      </c>
      <c r="C1363">
        <v>263.09100000000001</v>
      </c>
      <c r="D1363">
        <v>129.48195799999999</v>
      </c>
      <c r="E1363" s="22">
        <v>99.655996000000002</v>
      </c>
    </row>
    <row r="1364" spans="1:5" x14ac:dyDescent="0.4">
      <c r="A1364" s="27">
        <v>43970</v>
      </c>
      <c r="B1364" s="21">
        <v>200.29040000000001</v>
      </c>
      <c r="C1364">
        <v>263.5093</v>
      </c>
      <c r="D1364">
        <v>129.48031399999999</v>
      </c>
      <c r="E1364" s="22">
        <v>99.654495999999995</v>
      </c>
    </row>
    <row r="1365" spans="1:5" x14ac:dyDescent="0.4">
      <c r="A1365" s="27">
        <v>43971</v>
      </c>
      <c r="B1365" s="21">
        <v>202.28460000000001</v>
      </c>
      <c r="C1365">
        <v>263.8186</v>
      </c>
      <c r="D1365">
        <v>129.478669</v>
      </c>
      <c r="E1365" s="22">
        <v>99.652996000000002</v>
      </c>
    </row>
    <row r="1366" spans="1:5" x14ac:dyDescent="0.4">
      <c r="A1366" s="27">
        <v>43972</v>
      </c>
      <c r="B1366" s="21">
        <v>200.76750000000001</v>
      </c>
      <c r="C1366">
        <v>264.16840000000002</v>
      </c>
      <c r="D1366">
        <v>129.477012</v>
      </c>
      <c r="E1366" s="22">
        <v>99.651487000000003</v>
      </c>
    </row>
    <row r="1367" spans="1:5" x14ac:dyDescent="0.4">
      <c r="A1367" s="27">
        <v>43973</v>
      </c>
      <c r="B1367" s="21">
        <v>200.60599999999999</v>
      </c>
      <c r="C1367">
        <v>264.25040000000001</v>
      </c>
      <c r="D1367">
        <v>129.47535500000001</v>
      </c>
      <c r="E1367" s="22">
        <v>99.649978000000004</v>
      </c>
    </row>
    <row r="1368" spans="1:5" x14ac:dyDescent="0.4">
      <c r="A1368" s="27">
        <v>43977</v>
      </c>
      <c r="B1368" s="21">
        <v>205.65110000000001</v>
      </c>
      <c r="C1368">
        <v>263.94670000000002</v>
      </c>
      <c r="D1368">
        <v>129.468829</v>
      </c>
      <c r="E1368" s="22">
        <v>99.644007999999999</v>
      </c>
    </row>
    <row r="1369" spans="1:5" x14ac:dyDescent="0.4">
      <c r="A1369" s="27">
        <v>43978</v>
      </c>
      <c r="B1369" s="21">
        <v>206.3792</v>
      </c>
      <c r="C1369">
        <v>264.59219999999999</v>
      </c>
      <c r="D1369">
        <v>129.467185</v>
      </c>
      <c r="E1369" s="22">
        <v>99.642510000000001</v>
      </c>
    </row>
    <row r="1370" spans="1:5" x14ac:dyDescent="0.4">
      <c r="A1370" s="27">
        <v>43979</v>
      </c>
      <c r="B1370" s="21">
        <v>209.57550000000001</v>
      </c>
      <c r="C1370">
        <v>264.9984</v>
      </c>
      <c r="D1370">
        <v>129.465541</v>
      </c>
      <c r="E1370" s="22">
        <v>99.641013000000001</v>
      </c>
    </row>
    <row r="1371" spans="1:5" x14ac:dyDescent="0.4">
      <c r="A1371" s="27">
        <v>43980</v>
      </c>
      <c r="B1371" s="21">
        <v>206.35230000000001</v>
      </c>
      <c r="C1371">
        <v>265.32150000000001</v>
      </c>
      <c r="D1371">
        <v>129.463897</v>
      </c>
      <c r="E1371" s="22">
        <v>99.639515000000003</v>
      </c>
    </row>
    <row r="1372" spans="1:5" x14ac:dyDescent="0.4">
      <c r="A1372" s="27">
        <v>43983</v>
      </c>
      <c r="B1372" s="21">
        <v>208.59960000000001</v>
      </c>
      <c r="C1372">
        <v>264.70850000000002</v>
      </c>
      <c r="D1372">
        <v>129.45899</v>
      </c>
      <c r="E1372" s="22">
        <v>99.635031999999995</v>
      </c>
    </row>
    <row r="1373" spans="1:5" x14ac:dyDescent="0.4">
      <c r="A1373" s="27">
        <v>43984</v>
      </c>
      <c r="B1373" s="21">
        <v>211.87209999999999</v>
      </c>
      <c r="C1373">
        <v>264.93369999999999</v>
      </c>
      <c r="D1373">
        <v>129.45733300000001</v>
      </c>
      <c r="E1373" s="22">
        <v>99.633521000000002</v>
      </c>
    </row>
    <row r="1374" spans="1:5" x14ac:dyDescent="0.4">
      <c r="A1374" s="27">
        <v>43985</v>
      </c>
      <c r="B1374" s="21">
        <v>217.29949999999999</v>
      </c>
      <c r="C1374">
        <v>264.2724</v>
      </c>
      <c r="D1374">
        <v>129.45568900000001</v>
      </c>
      <c r="E1374" s="22">
        <v>99.632019999999997</v>
      </c>
    </row>
    <row r="1375" spans="1:5" x14ac:dyDescent="0.4">
      <c r="A1375" s="27">
        <v>43986</v>
      </c>
      <c r="B1375" s="21">
        <v>215.7037</v>
      </c>
      <c r="C1375">
        <v>264.76499999999999</v>
      </c>
      <c r="D1375">
        <v>129.45404500000001</v>
      </c>
      <c r="E1375" s="22">
        <v>99.630517999999995</v>
      </c>
    </row>
    <row r="1376" spans="1:5" x14ac:dyDescent="0.4">
      <c r="A1376" s="27">
        <v>43987</v>
      </c>
      <c r="B1376" s="21">
        <v>220.97880000000001</v>
      </c>
      <c r="C1376">
        <v>264.55439999999999</v>
      </c>
      <c r="D1376">
        <v>129.45238800000001</v>
      </c>
      <c r="E1376" s="22">
        <v>99.629008999999996</v>
      </c>
    </row>
    <row r="1377" spans="1:5" x14ac:dyDescent="0.4">
      <c r="A1377" s="27">
        <v>43990</v>
      </c>
      <c r="B1377" s="21">
        <v>220.4631</v>
      </c>
      <c r="C1377">
        <v>265.39510000000001</v>
      </c>
      <c r="D1377">
        <v>129.44744299999999</v>
      </c>
      <c r="E1377" s="22">
        <v>99.624493000000001</v>
      </c>
    </row>
    <row r="1378" spans="1:5" x14ac:dyDescent="0.4">
      <c r="A1378" s="27">
        <v>43991</v>
      </c>
      <c r="B1378" s="21">
        <v>217.82910000000001</v>
      </c>
      <c r="C1378">
        <v>265.04379999999998</v>
      </c>
      <c r="D1378">
        <v>129.445786</v>
      </c>
      <c r="E1378" s="22">
        <v>99.622979000000001</v>
      </c>
    </row>
    <row r="1379" spans="1:5" x14ac:dyDescent="0.4">
      <c r="A1379" s="27">
        <v>43992</v>
      </c>
      <c r="B1379" s="21">
        <v>217.09399999999999</v>
      </c>
      <c r="C1379">
        <v>264.81079999999997</v>
      </c>
      <c r="D1379">
        <v>129.444142</v>
      </c>
      <c r="E1379" s="22">
        <v>99.621478999999994</v>
      </c>
    </row>
    <row r="1380" spans="1:5" x14ac:dyDescent="0.4">
      <c r="A1380" s="27">
        <v>43993</v>
      </c>
      <c r="B1380" s="21">
        <v>208.26910000000001</v>
      </c>
      <c r="C1380">
        <v>265.97899999999998</v>
      </c>
      <c r="D1380">
        <v>129.44247200000001</v>
      </c>
      <c r="E1380" s="22">
        <v>99.619962999999998</v>
      </c>
    </row>
    <row r="1381" spans="1:5" x14ac:dyDescent="0.4">
      <c r="A1381" s="27">
        <v>43994</v>
      </c>
      <c r="B1381" s="21">
        <v>208.876</v>
      </c>
      <c r="C1381">
        <v>266.28480000000002</v>
      </c>
      <c r="D1381">
        <v>129.44081499999999</v>
      </c>
      <c r="E1381" s="22">
        <v>99.618448999999998</v>
      </c>
    </row>
    <row r="1382" spans="1:5" x14ac:dyDescent="0.4">
      <c r="A1382" s="27">
        <v>43997</v>
      </c>
      <c r="B1382" s="21">
        <v>208.24690000000001</v>
      </c>
      <c r="C1382">
        <v>266.27199999999999</v>
      </c>
      <c r="D1382">
        <v>129.435844</v>
      </c>
      <c r="E1382" s="22">
        <v>99.613917000000001</v>
      </c>
    </row>
    <row r="1383" spans="1:5" x14ac:dyDescent="0.4">
      <c r="A1383" s="27">
        <v>43998</v>
      </c>
      <c r="B1383" s="21">
        <v>214.2363</v>
      </c>
      <c r="C1383">
        <v>266.68279999999999</v>
      </c>
      <c r="D1383">
        <v>129.43418800000001</v>
      </c>
      <c r="E1383" s="22">
        <v>99.612403</v>
      </c>
    </row>
    <row r="1384" spans="1:5" x14ac:dyDescent="0.4">
      <c r="A1384" s="27">
        <v>43999</v>
      </c>
      <c r="B1384" s="21">
        <v>215.87289999999999</v>
      </c>
      <c r="C1384">
        <v>266.68270000000001</v>
      </c>
      <c r="D1384">
        <v>129.43253100000001</v>
      </c>
      <c r="E1384" s="22">
        <v>99.610892000000007</v>
      </c>
    </row>
    <row r="1385" spans="1:5" x14ac:dyDescent="0.4">
      <c r="A1385" s="27">
        <v>44000</v>
      </c>
      <c r="B1385" s="21">
        <v>214.31389999999999</v>
      </c>
      <c r="C1385">
        <v>267.03030000000001</v>
      </c>
      <c r="D1385">
        <v>129.43088700000001</v>
      </c>
      <c r="E1385" s="22">
        <v>99.609386999999998</v>
      </c>
    </row>
    <row r="1386" spans="1:5" x14ac:dyDescent="0.4">
      <c r="A1386" s="27">
        <v>44001</v>
      </c>
      <c r="B1386" s="21">
        <v>215.66050000000001</v>
      </c>
      <c r="C1386">
        <v>267.20030000000003</v>
      </c>
      <c r="D1386">
        <v>129.42924300000001</v>
      </c>
      <c r="E1386" s="22">
        <v>99.607882000000004</v>
      </c>
    </row>
    <row r="1387" spans="1:5" x14ac:dyDescent="0.4">
      <c r="A1387" s="27">
        <v>44004</v>
      </c>
      <c r="B1387" s="21">
        <v>214.05520000000001</v>
      </c>
      <c r="C1387">
        <v>267.7047</v>
      </c>
      <c r="D1387">
        <v>129.424273</v>
      </c>
      <c r="E1387" s="22">
        <v>99.603350000000006</v>
      </c>
    </row>
    <row r="1388" spans="1:5" x14ac:dyDescent="0.4">
      <c r="A1388" s="27">
        <v>44005</v>
      </c>
      <c r="B1388" s="21">
        <v>216.8852</v>
      </c>
      <c r="C1388">
        <v>267.1979</v>
      </c>
      <c r="D1388">
        <v>129.422617</v>
      </c>
      <c r="E1388" s="22">
        <v>99.601842000000005</v>
      </c>
    </row>
    <row r="1389" spans="1:5" x14ac:dyDescent="0.4">
      <c r="A1389" s="27">
        <v>44006</v>
      </c>
      <c r="B1389" s="21">
        <v>210.81979999999999</v>
      </c>
      <c r="C1389">
        <v>267.60230000000001</v>
      </c>
      <c r="D1389">
        <v>129.420973</v>
      </c>
      <c r="E1389" s="22">
        <v>99.600336999999996</v>
      </c>
    </row>
    <row r="1390" spans="1:5" x14ac:dyDescent="0.4">
      <c r="A1390" s="27">
        <v>44007</v>
      </c>
      <c r="B1390" s="21">
        <v>212.42859999999999</v>
      </c>
      <c r="C1390">
        <v>267.83089999999999</v>
      </c>
      <c r="D1390">
        <v>129.41931600000001</v>
      </c>
      <c r="E1390" s="22">
        <v>99.598826000000003</v>
      </c>
    </row>
    <row r="1391" spans="1:5" x14ac:dyDescent="0.4">
      <c r="A1391" s="27">
        <v>44008</v>
      </c>
      <c r="B1391" s="21">
        <v>211.54089999999999</v>
      </c>
      <c r="C1391">
        <v>267.97070000000002</v>
      </c>
      <c r="D1391">
        <v>129.41766000000001</v>
      </c>
      <c r="E1391" s="22">
        <v>99.597313</v>
      </c>
    </row>
    <row r="1392" spans="1:5" x14ac:dyDescent="0.4">
      <c r="A1392" s="27">
        <v>44011</v>
      </c>
      <c r="B1392" s="21">
        <v>212.48339999999999</v>
      </c>
      <c r="C1392">
        <v>267.90660000000003</v>
      </c>
      <c r="D1392">
        <v>129.412677</v>
      </c>
      <c r="E1392" s="22">
        <v>99.592772999999994</v>
      </c>
    </row>
    <row r="1393" spans="1:5" x14ac:dyDescent="0.4">
      <c r="A1393" s="27">
        <v>44012</v>
      </c>
      <c r="B1393" s="21">
        <v>212.67859999999999</v>
      </c>
      <c r="C1393">
        <v>267.93150000000003</v>
      </c>
      <c r="D1393">
        <v>129.41102100000001</v>
      </c>
      <c r="E1393" s="22">
        <v>99.591265000000007</v>
      </c>
    </row>
    <row r="1394" spans="1:5" x14ac:dyDescent="0.4">
      <c r="A1394" s="27">
        <v>44013</v>
      </c>
      <c r="B1394" s="21">
        <v>213.13579999999999</v>
      </c>
      <c r="C1394">
        <v>266.86369999999999</v>
      </c>
      <c r="D1394">
        <v>129.40932599999999</v>
      </c>
      <c r="E1394" s="22">
        <v>99.589730000000003</v>
      </c>
    </row>
    <row r="1395" spans="1:5" x14ac:dyDescent="0.4">
      <c r="A1395" s="27">
        <v>44014</v>
      </c>
      <c r="B1395" s="21">
        <v>217.36670000000001</v>
      </c>
      <c r="C1395">
        <v>267.82600000000002</v>
      </c>
      <c r="D1395">
        <v>129.407656</v>
      </c>
      <c r="E1395" s="22">
        <v>99.588213999999994</v>
      </c>
    </row>
    <row r="1396" spans="1:5" x14ac:dyDescent="0.4">
      <c r="A1396" s="27">
        <v>44015</v>
      </c>
      <c r="B1396" s="21">
        <v>215.59899999999999</v>
      </c>
      <c r="C1396">
        <v>267.71140000000003</v>
      </c>
      <c r="D1396">
        <v>129.40598700000001</v>
      </c>
      <c r="E1396" s="22">
        <v>99.586697999999998</v>
      </c>
    </row>
    <row r="1397" spans="1:5" x14ac:dyDescent="0.4">
      <c r="A1397" s="27">
        <v>44018</v>
      </c>
      <c r="B1397" s="21">
        <v>219.04</v>
      </c>
      <c r="C1397">
        <v>267.89600000000002</v>
      </c>
      <c r="D1397">
        <v>129.40097900000001</v>
      </c>
      <c r="E1397" s="22">
        <v>99.582142000000005</v>
      </c>
    </row>
    <row r="1398" spans="1:5" x14ac:dyDescent="0.4">
      <c r="A1398" s="27">
        <v>44019</v>
      </c>
      <c r="B1398" s="21">
        <v>217.6891</v>
      </c>
      <c r="C1398">
        <v>268.00400000000002</v>
      </c>
      <c r="D1398">
        <v>129.39930899999999</v>
      </c>
      <c r="E1398" s="22">
        <v>99.580619999999996</v>
      </c>
    </row>
    <row r="1399" spans="1:5" x14ac:dyDescent="0.4">
      <c r="A1399" s="27">
        <v>44020</v>
      </c>
      <c r="B1399" s="21">
        <v>216.33930000000001</v>
      </c>
      <c r="C1399">
        <v>268.2722</v>
      </c>
      <c r="D1399">
        <v>129.39764</v>
      </c>
      <c r="E1399" s="22">
        <v>99.579098999999999</v>
      </c>
    </row>
    <row r="1400" spans="1:5" x14ac:dyDescent="0.4">
      <c r="A1400" s="27">
        <v>44021</v>
      </c>
      <c r="B1400" s="21">
        <v>214.68780000000001</v>
      </c>
      <c r="C1400">
        <v>268.59750000000003</v>
      </c>
      <c r="D1400">
        <v>129.395971</v>
      </c>
      <c r="E1400" s="22">
        <v>99.577579999999998</v>
      </c>
    </row>
    <row r="1401" spans="1:5" x14ac:dyDescent="0.4">
      <c r="A1401" s="27">
        <v>44022</v>
      </c>
      <c r="B1401" s="21">
        <v>216.58160000000001</v>
      </c>
      <c r="C1401">
        <v>268.6515</v>
      </c>
      <c r="D1401">
        <v>129.39430200000001</v>
      </c>
      <c r="E1401" s="22">
        <v>99.576061999999993</v>
      </c>
    </row>
    <row r="1402" spans="1:5" x14ac:dyDescent="0.4">
      <c r="A1402" s="27">
        <v>44025</v>
      </c>
      <c r="B1402" s="21">
        <v>218.7492</v>
      </c>
      <c r="C1402">
        <v>267.7724</v>
      </c>
      <c r="D1402">
        <v>129.38929400000001</v>
      </c>
      <c r="E1402" s="22">
        <v>99.571505999999999</v>
      </c>
    </row>
    <row r="1403" spans="1:5" x14ac:dyDescent="0.4">
      <c r="A1403" s="27">
        <v>44026</v>
      </c>
      <c r="B1403" s="21">
        <v>217.09010000000001</v>
      </c>
      <c r="C1403">
        <v>268.52550000000002</v>
      </c>
      <c r="D1403">
        <v>129.38761199999999</v>
      </c>
      <c r="E1403" s="22">
        <v>99.569979000000004</v>
      </c>
    </row>
    <row r="1404" spans="1:5" x14ac:dyDescent="0.4">
      <c r="A1404" s="27">
        <v>44027</v>
      </c>
      <c r="B1404" s="21">
        <v>220.80779999999999</v>
      </c>
      <c r="C1404">
        <v>268.53949999999998</v>
      </c>
      <c r="D1404">
        <v>129.385943</v>
      </c>
      <c r="E1404" s="22">
        <v>99.568455</v>
      </c>
    </row>
    <row r="1405" spans="1:5" x14ac:dyDescent="0.4">
      <c r="A1405" s="27">
        <v>44028</v>
      </c>
      <c r="B1405" s="21">
        <v>219.779</v>
      </c>
      <c r="C1405">
        <v>269.01369999999997</v>
      </c>
      <c r="D1405">
        <v>129.384274</v>
      </c>
      <c r="E1405" s="22">
        <v>99.566930999999997</v>
      </c>
    </row>
    <row r="1406" spans="1:5" x14ac:dyDescent="0.4">
      <c r="A1406" s="27">
        <v>44029</v>
      </c>
      <c r="B1406" s="21">
        <v>220.1157</v>
      </c>
      <c r="C1406">
        <v>268.7681</v>
      </c>
      <c r="D1406">
        <v>129.382631</v>
      </c>
      <c r="E1406" s="22">
        <v>99.565434999999994</v>
      </c>
    </row>
    <row r="1407" spans="1:5" x14ac:dyDescent="0.4">
      <c r="A1407" s="27">
        <v>44032</v>
      </c>
      <c r="B1407" s="21">
        <v>221.65459999999999</v>
      </c>
      <c r="C1407">
        <v>269.4307</v>
      </c>
      <c r="D1407">
        <v>129.377611</v>
      </c>
      <c r="E1407" s="22">
        <v>99.560862999999998</v>
      </c>
    </row>
    <row r="1408" spans="1:5" x14ac:dyDescent="0.4">
      <c r="A1408" s="27">
        <v>44033</v>
      </c>
      <c r="B1408" s="21">
        <v>222.32400000000001</v>
      </c>
      <c r="C1408">
        <v>269.58449999999999</v>
      </c>
      <c r="D1408">
        <v>129.37594200000001</v>
      </c>
      <c r="E1408" s="22">
        <v>99.559340000000006</v>
      </c>
    </row>
    <row r="1409" spans="1:5" x14ac:dyDescent="0.4">
      <c r="A1409" s="27">
        <v>44034</v>
      </c>
      <c r="B1409" s="21">
        <v>220.2749</v>
      </c>
      <c r="C1409">
        <v>270.20549999999997</v>
      </c>
      <c r="D1409">
        <v>129.37427299999999</v>
      </c>
      <c r="E1409" s="22">
        <v>99.557821000000004</v>
      </c>
    </row>
    <row r="1410" spans="1:5" x14ac:dyDescent="0.4">
      <c r="A1410" s="27">
        <v>44035</v>
      </c>
      <c r="B1410" s="21">
        <v>220.38749999999999</v>
      </c>
      <c r="C1410">
        <v>270.30119999999999</v>
      </c>
      <c r="D1410">
        <v>129.372604</v>
      </c>
      <c r="E1410" s="22">
        <v>99.556299999999993</v>
      </c>
    </row>
    <row r="1411" spans="1:5" x14ac:dyDescent="0.4">
      <c r="A1411" s="27">
        <v>44036</v>
      </c>
      <c r="B1411" s="21">
        <v>216.66</v>
      </c>
      <c r="C1411">
        <v>269.68169999999998</v>
      </c>
      <c r="D1411">
        <v>129.370935</v>
      </c>
      <c r="E1411" s="22">
        <v>99.554778999999996</v>
      </c>
    </row>
    <row r="1412" spans="1:5" x14ac:dyDescent="0.4">
      <c r="A1412" s="27">
        <v>44039</v>
      </c>
      <c r="B1412" s="21">
        <v>215.92420000000001</v>
      </c>
      <c r="C1412">
        <v>270.34309999999999</v>
      </c>
      <c r="D1412">
        <v>129.365915</v>
      </c>
      <c r="E1412" s="22">
        <v>99.550207999999998</v>
      </c>
    </row>
    <row r="1413" spans="1:5" x14ac:dyDescent="0.4">
      <c r="A1413" s="27">
        <v>44040</v>
      </c>
      <c r="B1413" s="21">
        <v>216.77080000000001</v>
      </c>
      <c r="C1413">
        <v>270.49619999999999</v>
      </c>
      <c r="D1413">
        <v>129.36423400000001</v>
      </c>
      <c r="E1413" s="22">
        <v>99.548681999999999</v>
      </c>
    </row>
    <row r="1414" spans="1:5" x14ac:dyDescent="0.4">
      <c r="A1414" s="27">
        <v>44041</v>
      </c>
      <c r="B1414" s="21">
        <v>216.64500000000001</v>
      </c>
      <c r="C1414">
        <v>270.31700000000001</v>
      </c>
      <c r="D1414">
        <v>129.36256499999999</v>
      </c>
      <c r="E1414" s="22">
        <v>99.547157999999996</v>
      </c>
    </row>
    <row r="1415" spans="1:5" x14ac:dyDescent="0.4">
      <c r="A1415" s="27">
        <v>44042</v>
      </c>
      <c r="B1415" s="21">
        <v>211.89959999999999</v>
      </c>
      <c r="C1415">
        <v>270.95999999999998</v>
      </c>
      <c r="D1415">
        <v>129.360883</v>
      </c>
      <c r="E1415" s="22">
        <v>99.545629000000005</v>
      </c>
    </row>
    <row r="1416" spans="1:5" x14ac:dyDescent="0.4">
      <c r="A1416" s="27">
        <v>44043</v>
      </c>
      <c r="B1416" s="21">
        <v>209.76650000000001</v>
      </c>
      <c r="C1416">
        <v>270.65530000000001</v>
      </c>
      <c r="D1416">
        <v>129.35920100000001</v>
      </c>
      <c r="E1416" s="22">
        <v>99.544101999999995</v>
      </c>
    </row>
    <row r="1417" spans="1:5" x14ac:dyDescent="0.4">
      <c r="A1417" s="27">
        <v>44046</v>
      </c>
      <c r="B1417" s="21">
        <v>214.07599999999999</v>
      </c>
      <c r="C1417">
        <v>270.50729999999999</v>
      </c>
      <c r="D1417">
        <v>129.354195</v>
      </c>
      <c r="E1417" s="22">
        <v>99.539540000000002</v>
      </c>
    </row>
    <row r="1418" spans="1:5" x14ac:dyDescent="0.4">
      <c r="A1418" s="27">
        <v>44047</v>
      </c>
      <c r="B1418" s="21">
        <v>213.9812</v>
      </c>
      <c r="C1418">
        <v>271.28550000000001</v>
      </c>
      <c r="D1418">
        <v>129.35251400000001</v>
      </c>
      <c r="E1418" s="22">
        <v>99.538014000000004</v>
      </c>
    </row>
    <row r="1419" spans="1:5" x14ac:dyDescent="0.4">
      <c r="A1419" s="27">
        <v>44048</v>
      </c>
      <c r="B1419" s="21">
        <v>214.86689999999999</v>
      </c>
      <c r="C1419">
        <v>270.65809999999999</v>
      </c>
      <c r="D1419">
        <v>129.35084499999999</v>
      </c>
      <c r="E1419" s="22">
        <v>99.536490000000001</v>
      </c>
    </row>
    <row r="1420" spans="1:5" x14ac:dyDescent="0.4">
      <c r="A1420" s="27">
        <v>44049</v>
      </c>
      <c r="B1420" s="21">
        <v>213.36859999999999</v>
      </c>
      <c r="C1420">
        <v>271.2235</v>
      </c>
      <c r="D1420">
        <v>129.349163</v>
      </c>
      <c r="E1420" s="22">
        <v>99.534964000000002</v>
      </c>
    </row>
    <row r="1421" spans="1:5" x14ac:dyDescent="0.4">
      <c r="A1421" s="27">
        <v>44050</v>
      </c>
      <c r="B1421" s="21">
        <v>213.90600000000001</v>
      </c>
      <c r="C1421">
        <v>271.06259999999997</v>
      </c>
      <c r="D1421">
        <v>129.34748200000001</v>
      </c>
      <c r="E1421" s="22">
        <v>99.533434999999997</v>
      </c>
    </row>
    <row r="1422" spans="1:5" x14ac:dyDescent="0.4">
      <c r="A1422" s="27">
        <v>44053</v>
      </c>
      <c r="B1422" s="21">
        <v>214.67400000000001</v>
      </c>
      <c r="C1422">
        <v>271.4606</v>
      </c>
      <c r="D1422">
        <v>129.34243699999999</v>
      </c>
      <c r="E1422" s="22">
        <v>99.528847999999996</v>
      </c>
    </row>
    <row r="1423" spans="1:5" x14ac:dyDescent="0.4">
      <c r="A1423" s="27">
        <v>44054</v>
      </c>
      <c r="B1423" s="21">
        <v>218.34010000000001</v>
      </c>
      <c r="C1423">
        <v>270.7611</v>
      </c>
      <c r="D1423">
        <v>129.340756</v>
      </c>
      <c r="E1423" s="22">
        <v>99.527316999999996</v>
      </c>
    </row>
    <row r="1424" spans="1:5" x14ac:dyDescent="0.4">
      <c r="A1424" s="27">
        <v>44055</v>
      </c>
      <c r="B1424" s="21">
        <v>220.92840000000001</v>
      </c>
      <c r="C1424">
        <v>270.44830000000002</v>
      </c>
      <c r="D1424">
        <v>129.33907400000001</v>
      </c>
      <c r="E1424" s="22">
        <v>99.525790000000001</v>
      </c>
    </row>
    <row r="1425" spans="1:5" x14ac:dyDescent="0.4">
      <c r="A1425" s="27">
        <v>44056</v>
      </c>
      <c r="B1425" s="21">
        <v>219.59450000000001</v>
      </c>
      <c r="C1425">
        <v>269.59120000000001</v>
      </c>
      <c r="D1425">
        <v>129.33739299999999</v>
      </c>
      <c r="E1425" s="22">
        <v>99.524264000000002</v>
      </c>
    </row>
    <row r="1426" spans="1:5" x14ac:dyDescent="0.4">
      <c r="A1426" s="27">
        <v>44057</v>
      </c>
      <c r="B1426" s="21">
        <v>216.93969999999999</v>
      </c>
      <c r="C1426">
        <v>269.78129999999999</v>
      </c>
      <c r="D1426">
        <v>129.335712</v>
      </c>
      <c r="E1426" s="22">
        <v>99.522738000000004</v>
      </c>
    </row>
    <row r="1427" spans="1:5" x14ac:dyDescent="0.4">
      <c r="A1427" s="27">
        <v>44060</v>
      </c>
      <c r="B1427" s="21">
        <v>217.64169999999999</v>
      </c>
      <c r="C1427">
        <v>270.4015</v>
      </c>
      <c r="D1427">
        <v>129.33070599999999</v>
      </c>
      <c r="E1427" s="22">
        <v>99.518185000000003</v>
      </c>
    </row>
    <row r="1428" spans="1:5" x14ac:dyDescent="0.4">
      <c r="A1428" s="27">
        <v>44061</v>
      </c>
      <c r="B1428" s="21">
        <v>216.46700000000001</v>
      </c>
      <c r="C1428">
        <v>270.6309</v>
      </c>
      <c r="D1428">
        <v>129.329025</v>
      </c>
      <c r="E1428" s="22">
        <v>99.516655999999998</v>
      </c>
    </row>
    <row r="1429" spans="1:5" x14ac:dyDescent="0.4">
      <c r="A1429" s="27">
        <v>44062</v>
      </c>
      <c r="B1429" s="21">
        <v>217.93020000000001</v>
      </c>
      <c r="C1429">
        <v>270.83569999999997</v>
      </c>
      <c r="D1429">
        <v>129.32734400000001</v>
      </c>
      <c r="E1429" s="22">
        <v>99.515124999999998</v>
      </c>
    </row>
    <row r="1430" spans="1:5" x14ac:dyDescent="0.4">
      <c r="A1430" s="27">
        <v>44063</v>
      </c>
      <c r="B1430" s="21">
        <v>215.60470000000001</v>
      </c>
      <c r="C1430">
        <v>271.13</v>
      </c>
      <c r="D1430">
        <v>129.32566299999999</v>
      </c>
      <c r="E1430" s="22">
        <v>99.513596000000007</v>
      </c>
    </row>
    <row r="1431" spans="1:5" x14ac:dyDescent="0.4">
      <c r="A1431" s="27">
        <v>44064</v>
      </c>
      <c r="B1431" s="21">
        <v>215.2422</v>
      </c>
      <c r="C1431">
        <v>271.06729999999999</v>
      </c>
      <c r="D1431">
        <v>129.323981</v>
      </c>
      <c r="E1431" s="22">
        <v>99.512067999999999</v>
      </c>
    </row>
    <row r="1432" spans="1:5" x14ac:dyDescent="0.4">
      <c r="A1432" s="27">
        <v>44067</v>
      </c>
      <c r="B1432" s="21">
        <v>218.71860000000001</v>
      </c>
      <c r="C1432">
        <v>270.9966</v>
      </c>
      <c r="D1432">
        <v>129.31892500000001</v>
      </c>
      <c r="E1432" s="22">
        <v>99.507474000000002</v>
      </c>
    </row>
    <row r="1433" spans="1:5" x14ac:dyDescent="0.4">
      <c r="A1433" s="27">
        <v>44068</v>
      </c>
      <c r="B1433" s="21">
        <v>218.01900000000001</v>
      </c>
      <c r="C1433">
        <v>269.69920000000002</v>
      </c>
      <c r="D1433">
        <v>129.31724399999999</v>
      </c>
      <c r="E1433" s="22">
        <v>99.505948000000004</v>
      </c>
    </row>
    <row r="1434" spans="1:5" x14ac:dyDescent="0.4">
      <c r="A1434" s="27">
        <v>44069</v>
      </c>
      <c r="B1434" s="21">
        <v>219.9084</v>
      </c>
      <c r="C1434">
        <v>269.63040000000001</v>
      </c>
      <c r="D1434">
        <v>129.315562</v>
      </c>
      <c r="E1434" s="22">
        <v>99.504418999999999</v>
      </c>
    </row>
    <row r="1435" spans="1:5" x14ac:dyDescent="0.4">
      <c r="A1435" s="27">
        <v>44070</v>
      </c>
      <c r="B1435" s="21">
        <v>218.47640000000001</v>
      </c>
      <c r="C1435">
        <v>269.29430000000002</v>
      </c>
      <c r="D1435">
        <v>129.31388100000001</v>
      </c>
      <c r="E1435" s="22">
        <v>99.502887999999999</v>
      </c>
    </row>
    <row r="1436" spans="1:5" x14ac:dyDescent="0.4">
      <c r="A1436" s="27">
        <v>44071</v>
      </c>
      <c r="B1436" s="21">
        <v>217.30699999999999</v>
      </c>
      <c r="C1436">
        <v>269.40429999999998</v>
      </c>
      <c r="D1436">
        <v>129.31219999999999</v>
      </c>
      <c r="E1436" s="22">
        <v>99.501362</v>
      </c>
    </row>
    <row r="1437" spans="1:5" x14ac:dyDescent="0.4">
      <c r="A1437" s="27">
        <v>44074</v>
      </c>
      <c r="B1437" s="21">
        <v>215.941</v>
      </c>
      <c r="C1437">
        <v>269.20229999999998</v>
      </c>
      <c r="D1437">
        <v>129.30717000000001</v>
      </c>
      <c r="E1437" s="22">
        <v>99.496785000000003</v>
      </c>
    </row>
    <row r="1438" spans="1:5" x14ac:dyDescent="0.4">
      <c r="A1438" s="27">
        <v>44075</v>
      </c>
      <c r="B1438" s="21">
        <v>215.16829999999999</v>
      </c>
      <c r="C1438">
        <v>269.47050000000002</v>
      </c>
      <c r="D1438">
        <v>129.305476</v>
      </c>
      <c r="E1438" s="22">
        <v>99.495245999999995</v>
      </c>
    </row>
    <row r="1439" spans="1:5" x14ac:dyDescent="0.4">
      <c r="A1439" s="27">
        <v>44076</v>
      </c>
      <c r="B1439" s="21">
        <v>218.73079999999999</v>
      </c>
      <c r="C1439">
        <v>270.66609999999997</v>
      </c>
      <c r="D1439">
        <v>129.30379500000001</v>
      </c>
      <c r="E1439" s="22">
        <v>99.493714999999995</v>
      </c>
    </row>
    <row r="1440" spans="1:5" x14ac:dyDescent="0.4">
      <c r="A1440" s="27">
        <v>44077</v>
      </c>
      <c r="B1440" s="21">
        <v>215.85319999999999</v>
      </c>
      <c r="C1440">
        <v>271.0172</v>
      </c>
      <c r="D1440">
        <v>129.30210099999999</v>
      </c>
      <c r="E1440" s="22">
        <v>99.492181000000002</v>
      </c>
    </row>
    <row r="1441" spans="1:5" x14ac:dyDescent="0.4">
      <c r="A1441" s="27">
        <v>44078</v>
      </c>
      <c r="B1441" s="21">
        <v>213.4914</v>
      </c>
      <c r="C1441">
        <v>270.54579999999999</v>
      </c>
      <c r="D1441">
        <v>129.300433</v>
      </c>
      <c r="E1441" s="22">
        <v>99.490657999999996</v>
      </c>
    </row>
    <row r="1442" spans="1:5" x14ac:dyDescent="0.4">
      <c r="A1442" s="27">
        <v>44081</v>
      </c>
      <c r="B1442" s="21">
        <v>216.96119999999999</v>
      </c>
      <c r="C1442">
        <v>270.23419999999999</v>
      </c>
      <c r="D1442">
        <v>129.29540399999999</v>
      </c>
      <c r="E1442" s="22">
        <v>99.486080999999999</v>
      </c>
    </row>
    <row r="1443" spans="1:5" x14ac:dyDescent="0.4">
      <c r="A1443" s="27">
        <v>44082</v>
      </c>
      <c r="B1443" s="21">
        <v>214.50630000000001</v>
      </c>
      <c r="C1443">
        <v>270.7389</v>
      </c>
      <c r="D1443">
        <v>129.293736</v>
      </c>
      <c r="E1443" s="22">
        <v>99.484559000000004</v>
      </c>
    </row>
    <row r="1444" spans="1:5" x14ac:dyDescent="0.4">
      <c r="A1444" s="27">
        <v>44083</v>
      </c>
      <c r="B1444" s="21">
        <v>218.1037</v>
      </c>
      <c r="C1444">
        <v>270.30720000000002</v>
      </c>
      <c r="D1444">
        <v>129.292055</v>
      </c>
      <c r="E1444" s="22">
        <v>99.483030999999997</v>
      </c>
    </row>
    <row r="1445" spans="1:5" x14ac:dyDescent="0.4">
      <c r="A1445" s="27">
        <v>44084</v>
      </c>
      <c r="B1445" s="21">
        <v>216.8158</v>
      </c>
      <c r="C1445">
        <v>269.93470000000002</v>
      </c>
      <c r="D1445">
        <v>129.29037400000001</v>
      </c>
      <c r="E1445" s="22">
        <v>99.481499999999997</v>
      </c>
    </row>
    <row r="1446" spans="1:5" x14ac:dyDescent="0.4">
      <c r="A1446" s="27">
        <v>44085</v>
      </c>
      <c r="B1446" s="21">
        <v>217.11660000000001</v>
      </c>
      <c r="C1446">
        <v>270.76499999999999</v>
      </c>
      <c r="D1446">
        <v>129.28869299999999</v>
      </c>
      <c r="E1446" s="22">
        <v>99.479968999999997</v>
      </c>
    </row>
    <row r="1447" spans="1:5" x14ac:dyDescent="0.4">
      <c r="A1447" s="27">
        <v>44088</v>
      </c>
      <c r="B1447" s="21">
        <v>217.3972</v>
      </c>
      <c r="C1447">
        <v>270.99549999999999</v>
      </c>
      <c r="D1447">
        <v>129.28365099999999</v>
      </c>
      <c r="E1447" s="22">
        <v>99.475384000000005</v>
      </c>
    </row>
    <row r="1448" spans="1:5" x14ac:dyDescent="0.4">
      <c r="A1448" s="27">
        <v>44089</v>
      </c>
      <c r="B1448" s="21">
        <v>218.8449</v>
      </c>
      <c r="C1448">
        <v>271.08690000000001</v>
      </c>
      <c r="D1448">
        <v>129.28195700000001</v>
      </c>
      <c r="E1448" s="22">
        <v>99.473850999999996</v>
      </c>
    </row>
    <row r="1449" spans="1:5" x14ac:dyDescent="0.4">
      <c r="A1449" s="27">
        <v>44090</v>
      </c>
      <c r="B1449" s="21">
        <v>220.12100000000001</v>
      </c>
      <c r="C1449">
        <v>271.22199999999998</v>
      </c>
      <c r="D1449">
        <v>129.28029000000001</v>
      </c>
      <c r="E1449" s="22">
        <v>99.472328000000005</v>
      </c>
    </row>
    <row r="1450" spans="1:5" x14ac:dyDescent="0.4">
      <c r="A1450" s="27">
        <v>44091</v>
      </c>
      <c r="B1450" s="21">
        <v>218.9187</v>
      </c>
      <c r="C1450">
        <v>271.61619999999999</v>
      </c>
      <c r="D1450">
        <v>129.27859599999999</v>
      </c>
      <c r="E1450" s="22">
        <v>99.470792000000003</v>
      </c>
    </row>
    <row r="1451" spans="1:5" x14ac:dyDescent="0.4">
      <c r="A1451" s="27">
        <v>44092</v>
      </c>
      <c r="B1451" s="21">
        <v>217.44380000000001</v>
      </c>
      <c r="C1451">
        <v>271.39940000000001</v>
      </c>
      <c r="D1451">
        <v>129.276915</v>
      </c>
      <c r="E1451" s="22">
        <v>99.469263999999995</v>
      </c>
    </row>
    <row r="1452" spans="1:5" x14ac:dyDescent="0.4">
      <c r="A1452" s="27">
        <v>44095</v>
      </c>
      <c r="B1452" s="21">
        <v>210.5051</v>
      </c>
      <c r="C1452">
        <v>272.01670000000001</v>
      </c>
      <c r="D1452">
        <v>129.27188699999999</v>
      </c>
      <c r="E1452" s="22">
        <v>99.464687999999995</v>
      </c>
    </row>
    <row r="1453" spans="1:5" x14ac:dyDescent="0.4">
      <c r="A1453" s="27">
        <v>44096</v>
      </c>
      <c r="B1453" s="21">
        <v>210.94030000000001</v>
      </c>
      <c r="C1453">
        <v>271.90769999999998</v>
      </c>
      <c r="D1453">
        <v>129.270206</v>
      </c>
      <c r="E1453" s="22">
        <v>99.463162999999994</v>
      </c>
    </row>
    <row r="1454" spans="1:5" x14ac:dyDescent="0.4">
      <c r="A1454" s="27">
        <v>44097</v>
      </c>
      <c r="B1454" s="21">
        <v>212.166</v>
      </c>
      <c r="C1454">
        <v>271.81560000000002</v>
      </c>
      <c r="D1454">
        <v>129.26852500000001</v>
      </c>
      <c r="E1454" s="22">
        <v>99.461637999999994</v>
      </c>
    </row>
    <row r="1455" spans="1:5" x14ac:dyDescent="0.4">
      <c r="A1455" s="27">
        <v>44098</v>
      </c>
      <c r="B1455" s="21">
        <v>210.0119</v>
      </c>
      <c r="C1455">
        <v>271.78519999999997</v>
      </c>
      <c r="D1455">
        <v>129.26685800000001</v>
      </c>
      <c r="E1455" s="22">
        <v>99.460115999999999</v>
      </c>
    </row>
    <row r="1456" spans="1:5" x14ac:dyDescent="0.4">
      <c r="A1456" s="27">
        <v>44099</v>
      </c>
      <c r="B1456" s="21">
        <v>209.7946</v>
      </c>
      <c r="C1456">
        <v>271.92509999999999</v>
      </c>
      <c r="D1456">
        <v>129.26517699999999</v>
      </c>
      <c r="E1456" s="22">
        <v>99.458588000000006</v>
      </c>
    </row>
    <row r="1457" spans="1:5" x14ac:dyDescent="0.4">
      <c r="A1457" s="27">
        <v>44102</v>
      </c>
      <c r="B1457" s="21">
        <v>214.4016</v>
      </c>
      <c r="C1457">
        <v>271.96870000000001</v>
      </c>
      <c r="D1457">
        <v>129.26012299999999</v>
      </c>
      <c r="E1457" s="22">
        <v>99.453996000000004</v>
      </c>
    </row>
    <row r="1458" spans="1:5" x14ac:dyDescent="0.4">
      <c r="A1458" s="27">
        <v>44103</v>
      </c>
      <c r="B1458" s="21">
        <v>213.24639999999999</v>
      </c>
      <c r="C1458">
        <v>272.3793</v>
      </c>
      <c r="D1458">
        <v>129.25843</v>
      </c>
      <c r="E1458" s="22">
        <v>99.452462999999995</v>
      </c>
    </row>
    <row r="1459" spans="1:5" x14ac:dyDescent="0.4">
      <c r="A1459" s="27">
        <v>44104</v>
      </c>
      <c r="B1459" s="21">
        <v>212.89330000000001</v>
      </c>
      <c r="C1459">
        <v>271.94420000000002</v>
      </c>
      <c r="D1459">
        <v>129.25673699999999</v>
      </c>
      <c r="E1459" s="22">
        <v>99.450926999999993</v>
      </c>
    </row>
    <row r="1460" spans="1:5" x14ac:dyDescent="0.4">
      <c r="A1460" s="27">
        <v>44105</v>
      </c>
      <c r="B1460" s="21">
        <v>213.31</v>
      </c>
      <c r="C1460">
        <v>272.22030000000001</v>
      </c>
      <c r="D1460">
        <v>129.25499199999999</v>
      </c>
      <c r="E1460" s="22">
        <v>99.449353000000002</v>
      </c>
    </row>
    <row r="1461" spans="1:5" x14ac:dyDescent="0.4">
      <c r="A1461" s="27">
        <v>44106</v>
      </c>
      <c r="B1461" s="21">
        <v>213.87440000000001</v>
      </c>
      <c r="C1461">
        <v>272.3963</v>
      </c>
      <c r="D1461">
        <v>129.253298</v>
      </c>
      <c r="E1461" s="22">
        <v>99.447811000000002</v>
      </c>
    </row>
    <row r="1462" spans="1:5" x14ac:dyDescent="0.4">
      <c r="A1462" s="27">
        <v>44109</v>
      </c>
      <c r="B1462" s="21">
        <v>215.62870000000001</v>
      </c>
      <c r="C1462">
        <v>272.24889999999999</v>
      </c>
      <c r="D1462">
        <v>129.248232</v>
      </c>
      <c r="E1462" s="22">
        <v>99.443212000000003</v>
      </c>
    </row>
    <row r="1463" spans="1:5" x14ac:dyDescent="0.4">
      <c r="A1463" s="27">
        <v>44110</v>
      </c>
      <c r="B1463" s="21">
        <v>215.76429999999999</v>
      </c>
      <c r="C1463">
        <v>272.2731</v>
      </c>
      <c r="D1463">
        <v>129.24653799999999</v>
      </c>
      <c r="E1463" s="22">
        <v>99.441678999999993</v>
      </c>
    </row>
    <row r="1464" spans="1:5" x14ac:dyDescent="0.4">
      <c r="A1464" s="27">
        <v>44111</v>
      </c>
      <c r="B1464" s="21">
        <v>215.5121</v>
      </c>
      <c r="C1464">
        <v>272.16759999999999</v>
      </c>
      <c r="D1464">
        <v>129.244845</v>
      </c>
      <c r="E1464" s="22">
        <v>99.440143000000006</v>
      </c>
    </row>
    <row r="1465" spans="1:5" x14ac:dyDescent="0.4">
      <c r="A1465" s="27">
        <v>44112</v>
      </c>
      <c r="B1465" s="21">
        <v>217.21510000000001</v>
      </c>
      <c r="C1465">
        <v>272.625</v>
      </c>
      <c r="D1465">
        <v>129.24315200000001</v>
      </c>
      <c r="E1465" s="22">
        <v>99.438609999999997</v>
      </c>
    </row>
    <row r="1466" spans="1:5" x14ac:dyDescent="0.4">
      <c r="A1466" s="27">
        <v>44113</v>
      </c>
      <c r="B1466" s="21">
        <v>218.42699999999999</v>
      </c>
      <c r="C1466">
        <v>273.05070000000001</v>
      </c>
      <c r="D1466">
        <v>129.24147199999999</v>
      </c>
      <c r="E1466" s="22">
        <v>99.437082000000004</v>
      </c>
    </row>
    <row r="1467" spans="1:5" x14ac:dyDescent="0.4">
      <c r="A1467" s="27">
        <v>44116</v>
      </c>
      <c r="B1467" s="21">
        <v>219.90450000000001</v>
      </c>
      <c r="C1467">
        <v>273.3947</v>
      </c>
      <c r="D1467">
        <v>129.23643200000001</v>
      </c>
      <c r="E1467" s="22">
        <v>99.432500000000005</v>
      </c>
    </row>
    <row r="1468" spans="1:5" x14ac:dyDescent="0.4">
      <c r="A1468" s="27">
        <v>44117</v>
      </c>
      <c r="B1468" s="21">
        <v>218.78800000000001</v>
      </c>
      <c r="C1468">
        <v>273.6832</v>
      </c>
      <c r="D1468">
        <v>129.23473899999999</v>
      </c>
      <c r="E1468" s="22">
        <v>99.430964000000003</v>
      </c>
    </row>
    <row r="1469" spans="1:5" x14ac:dyDescent="0.4">
      <c r="A1469" s="27">
        <v>44118</v>
      </c>
      <c r="B1469" s="21">
        <v>218.5532</v>
      </c>
      <c r="C1469">
        <v>273.94470000000001</v>
      </c>
      <c r="D1469">
        <v>129.233046</v>
      </c>
      <c r="E1469" s="22">
        <v>99.429430999999994</v>
      </c>
    </row>
    <row r="1470" spans="1:5" x14ac:dyDescent="0.4">
      <c r="A1470" s="27">
        <v>44119</v>
      </c>
      <c r="B1470" s="21">
        <v>213.9725</v>
      </c>
      <c r="C1470">
        <v>274.16539999999998</v>
      </c>
      <c r="D1470">
        <v>129.23135300000001</v>
      </c>
      <c r="E1470" s="22">
        <v>99.427896000000004</v>
      </c>
    </row>
    <row r="1471" spans="1:5" x14ac:dyDescent="0.4">
      <c r="A1471" s="27">
        <v>44120</v>
      </c>
      <c r="B1471" s="21">
        <v>216.78989999999999</v>
      </c>
      <c r="C1471">
        <v>274.49529999999999</v>
      </c>
      <c r="D1471">
        <v>129.22966</v>
      </c>
      <c r="E1471" s="22">
        <v>99.426360000000003</v>
      </c>
    </row>
    <row r="1472" spans="1:5" x14ac:dyDescent="0.4">
      <c r="A1472" s="27">
        <v>44123</v>
      </c>
      <c r="B1472" s="21">
        <v>216.2747</v>
      </c>
      <c r="C1472">
        <v>274.20100000000002</v>
      </c>
      <c r="D1472">
        <v>129.22461999999999</v>
      </c>
      <c r="E1472" s="22">
        <v>99.421778000000003</v>
      </c>
    </row>
    <row r="1473" spans="1:5" x14ac:dyDescent="0.4">
      <c r="A1473" s="27">
        <v>44124</v>
      </c>
      <c r="B1473" s="21">
        <v>215.66820000000001</v>
      </c>
      <c r="C1473">
        <v>273.89929999999998</v>
      </c>
      <c r="D1473">
        <v>129.22293999999999</v>
      </c>
      <c r="E1473" s="22">
        <v>99.420250999999993</v>
      </c>
    </row>
    <row r="1474" spans="1:5" x14ac:dyDescent="0.4">
      <c r="A1474" s="27">
        <v>44125</v>
      </c>
      <c r="B1474" s="21">
        <v>212.80500000000001</v>
      </c>
      <c r="C1474">
        <v>273.71100000000001</v>
      </c>
      <c r="D1474">
        <v>129.22126</v>
      </c>
      <c r="E1474" s="22">
        <v>99.418723999999997</v>
      </c>
    </row>
    <row r="1475" spans="1:5" x14ac:dyDescent="0.4">
      <c r="A1475" s="27">
        <v>44126</v>
      </c>
      <c r="B1475" s="21">
        <v>212.59970000000001</v>
      </c>
      <c r="C1475">
        <v>273.03339999999997</v>
      </c>
      <c r="D1475">
        <v>129.21958000000001</v>
      </c>
      <c r="E1475" s="22">
        <v>99.417198999999997</v>
      </c>
    </row>
    <row r="1476" spans="1:5" x14ac:dyDescent="0.4">
      <c r="A1476" s="27">
        <v>44127</v>
      </c>
      <c r="B1476" s="21">
        <v>213.99879999999999</v>
      </c>
      <c r="C1476">
        <v>273.26459999999997</v>
      </c>
      <c r="D1476">
        <v>129.21789999999999</v>
      </c>
      <c r="E1476" s="22">
        <v>99.415668999999994</v>
      </c>
    </row>
    <row r="1477" spans="1:5" x14ac:dyDescent="0.4">
      <c r="A1477" s="27">
        <v>44130</v>
      </c>
      <c r="B1477" s="21">
        <v>210.30099999999999</v>
      </c>
      <c r="C1477">
        <v>273.48849999999999</v>
      </c>
      <c r="D1477">
        <v>129.212861</v>
      </c>
      <c r="E1477" s="22">
        <v>99.411088000000007</v>
      </c>
    </row>
    <row r="1478" spans="1:5" x14ac:dyDescent="0.4">
      <c r="A1478" s="27">
        <v>44131</v>
      </c>
      <c r="B1478" s="21">
        <v>208.2397</v>
      </c>
      <c r="C1478">
        <v>274.14659999999998</v>
      </c>
      <c r="D1478">
        <v>129.21118100000001</v>
      </c>
      <c r="E1478" s="22">
        <v>99.409564000000003</v>
      </c>
    </row>
    <row r="1479" spans="1:5" x14ac:dyDescent="0.4">
      <c r="A1479" s="27">
        <v>44132</v>
      </c>
      <c r="B1479" s="21">
        <v>202.15199999999999</v>
      </c>
      <c r="C1479">
        <v>273.91820000000001</v>
      </c>
      <c r="D1479">
        <v>129.20950099999999</v>
      </c>
      <c r="E1479" s="22">
        <v>99.408034000000001</v>
      </c>
    </row>
    <row r="1480" spans="1:5" x14ac:dyDescent="0.4">
      <c r="A1480" s="27">
        <v>44133</v>
      </c>
      <c r="B1480" s="21">
        <v>201.91059999999999</v>
      </c>
      <c r="C1480">
        <v>274.35090000000002</v>
      </c>
      <c r="D1480">
        <v>129.207809</v>
      </c>
      <c r="E1480" s="22">
        <v>99.406501000000006</v>
      </c>
    </row>
    <row r="1481" spans="1:5" x14ac:dyDescent="0.4">
      <c r="A1481" s="27">
        <v>44134</v>
      </c>
      <c r="B1481" s="21">
        <v>202.2321</v>
      </c>
      <c r="C1481">
        <v>274.23079999999999</v>
      </c>
      <c r="D1481">
        <v>129.206129</v>
      </c>
      <c r="E1481" s="22">
        <v>99.404977000000002</v>
      </c>
    </row>
    <row r="1482" spans="1:5" x14ac:dyDescent="0.4">
      <c r="A1482" s="27">
        <v>44137</v>
      </c>
      <c r="B1482" s="21">
        <v>205.5506</v>
      </c>
      <c r="C1482">
        <v>274.26209999999998</v>
      </c>
      <c r="D1482">
        <v>129.20105100000001</v>
      </c>
      <c r="E1482" s="22">
        <v>99.400362999999999</v>
      </c>
    </row>
    <row r="1483" spans="1:5" x14ac:dyDescent="0.4">
      <c r="A1483" s="27">
        <v>44138</v>
      </c>
      <c r="B1483" s="21">
        <v>210.3091</v>
      </c>
      <c r="C1483">
        <v>274.31549999999999</v>
      </c>
      <c r="D1483">
        <v>129.19935899999999</v>
      </c>
      <c r="E1483" s="22">
        <v>99.398831000000001</v>
      </c>
    </row>
    <row r="1484" spans="1:5" x14ac:dyDescent="0.4">
      <c r="A1484" s="27">
        <v>44139</v>
      </c>
      <c r="B1484" s="21">
        <v>214.56030000000001</v>
      </c>
      <c r="C1484">
        <v>274.77550000000002</v>
      </c>
      <c r="D1484">
        <v>129.19767899999999</v>
      </c>
      <c r="E1484" s="22">
        <v>99.397304000000005</v>
      </c>
    </row>
    <row r="1485" spans="1:5" x14ac:dyDescent="0.4">
      <c r="A1485" s="27">
        <v>44140</v>
      </c>
      <c r="B1485" s="21">
        <v>216.62739999999999</v>
      </c>
      <c r="C1485">
        <v>274.87880000000001</v>
      </c>
      <c r="D1485">
        <v>129.195987</v>
      </c>
      <c r="E1485" s="22">
        <v>99.395763000000002</v>
      </c>
    </row>
    <row r="1486" spans="1:5" x14ac:dyDescent="0.4">
      <c r="A1486" s="27">
        <v>44141</v>
      </c>
      <c r="B1486" s="21">
        <v>216.2201</v>
      </c>
      <c r="C1486">
        <v>274.6318</v>
      </c>
      <c r="D1486">
        <v>129.19429400000001</v>
      </c>
      <c r="E1486" s="22">
        <v>99.394227999999998</v>
      </c>
    </row>
    <row r="1487" spans="1:5" x14ac:dyDescent="0.4">
      <c r="A1487" s="27">
        <v>44144</v>
      </c>
      <c r="B1487" s="21">
        <v>225.1808</v>
      </c>
      <c r="C1487">
        <v>273.09070000000003</v>
      </c>
      <c r="D1487">
        <v>129.18920399999999</v>
      </c>
      <c r="E1487" s="22">
        <v>99.389606000000001</v>
      </c>
    </row>
    <row r="1488" spans="1:5" x14ac:dyDescent="0.4">
      <c r="A1488" s="27">
        <v>44145</v>
      </c>
      <c r="B1488" s="21">
        <v>227.37029999999999</v>
      </c>
      <c r="C1488">
        <v>272.87079999999997</v>
      </c>
      <c r="D1488">
        <v>129.187511</v>
      </c>
      <c r="E1488" s="22">
        <v>99.388065999999995</v>
      </c>
    </row>
    <row r="1489" spans="1:5" x14ac:dyDescent="0.4">
      <c r="A1489" s="27">
        <v>44146</v>
      </c>
      <c r="B1489" s="21">
        <v>229.74959999999999</v>
      </c>
      <c r="C1489">
        <v>273.31659999999999</v>
      </c>
      <c r="D1489">
        <v>129.18581900000001</v>
      </c>
      <c r="E1489" s="22">
        <v>99.386527999999998</v>
      </c>
    </row>
    <row r="1490" spans="1:5" x14ac:dyDescent="0.4">
      <c r="A1490" s="27">
        <v>44147</v>
      </c>
      <c r="B1490" s="21">
        <v>227.761</v>
      </c>
      <c r="C1490">
        <v>273.85129999999998</v>
      </c>
      <c r="D1490">
        <v>129.18412699999999</v>
      </c>
      <c r="E1490" s="22">
        <v>99.384986999999995</v>
      </c>
    </row>
    <row r="1491" spans="1:5" x14ac:dyDescent="0.4">
      <c r="A1491" s="27">
        <v>44148</v>
      </c>
      <c r="B1491" s="21">
        <v>227.81360000000001</v>
      </c>
      <c r="C1491">
        <v>274.16129999999998</v>
      </c>
      <c r="D1491">
        <v>129.18245999999999</v>
      </c>
      <c r="E1491" s="22">
        <v>99.383474000000007</v>
      </c>
    </row>
    <row r="1492" spans="1:5" x14ac:dyDescent="0.4">
      <c r="A1492" s="27">
        <v>44151</v>
      </c>
      <c r="B1492" s="21">
        <v>230.53120000000001</v>
      </c>
      <c r="C1492">
        <v>274.39589999999998</v>
      </c>
      <c r="D1492">
        <v>129.17739599999999</v>
      </c>
      <c r="E1492" s="22">
        <v>99.378870000000006</v>
      </c>
    </row>
    <row r="1493" spans="1:5" x14ac:dyDescent="0.4">
      <c r="A1493" s="27">
        <v>44152</v>
      </c>
      <c r="B1493" s="21">
        <v>230.04419999999999</v>
      </c>
      <c r="C1493">
        <v>274.74310000000003</v>
      </c>
      <c r="D1493">
        <v>129.175704</v>
      </c>
      <c r="E1493" s="22">
        <v>99.377329000000003</v>
      </c>
    </row>
    <row r="1494" spans="1:5" x14ac:dyDescent="0.4">
      <c r="A1494" s="27">
        <v>44153</v>
      </c>
      <c r="B1494" s="21">
        <v>231.04</v>
      </c>
      <c r="C1494">
        <v>274.7047</v>
      </c>
      <c r="D1494">
        <v>129.174012</v>
      </c>
      <c r="E1494" s="22">
        <v>99.375792000000004</v>
      </c>
    </row>
    <row r="1495" spans="1:5" x14ac:dyDescent="0.4">
      <c r="A1495" s="27">
        <v>44154</v>
      </c>
      <c r="B1495" s="21">
        <v>229.29730000000001</v>
      </c>
      <c r="C1495">
        <v>274.88639999999998</v>
      </c>
      <c r="D1495">
        <v>129.17232000000001</v>
      </c>
      <c r="E1495" s="22">
        <v>99.374253999999993</v>
      </c>
    </row>
    <row r="1496" spans="1:5" x14ac:dyDescent="0.4">
      <c r="A1496" s="27">
        <v>44155</v>
      </c>
      <c r="B1496" s="21">
        <v>230.43809999999999</v>
      </c>
      <c r="C1496">
        <v>275.04820000000001</v>
      </c>
      <c r="D1496">
        <v>129.17062799999999</v>
      </c>
      <c r="E1496" s="22">
        <v>99.372716999999994</v>
      </c>
    </row>
    <row r="1497" spans="1:5" x14ac:dyDescent="0.4">
      <c r="A1497" s="27">
        <v>44158</v>
      </c>
      <c r="B1497" s="21">
        <v>230.04259999999999</v>
      </c>
      <c r="C1497">
        <v>274.90890000000002</v>
      </c>
      <c r="D1497">
        <v>129.16555099999999</v>
      </c>
      <c r="E1497" s="22">
        <v>99.368104000000002</v>
      </c>
    </row>
    <row r="1498" spans="1:5" x14ac:dyDescent="0.4">
      <c r="A1498" s="27">
        <v>44159</v>
      </c>
      <c r="B1498" s="21">
        <v>232.38030000000001</v>
      </c>
      <c r="C1498">
        <v>274.93650000000002</v>
      </c>
      <c r="D1498">
        <v>129.163859</v>
      </c>
      <c r="E1498" s="22">
        <v>99.366567000000003</v>
      </c>
    </row>
    <row r="1499" spans="1:5" x14ac:dyDescent="0.4">
      <c r="A1499" s="27">
        <v>44160</v>
      </c>
      <c r="B1499" s="21">
        <v>232.21279999999999</v>
      </c>
      <c r="C1499">
        <v>275.01119999999997</v>
      </c>
      <c r="D1499">
        <v>129.16216700000001</v>
      </c>
      <c r="E1499" s="22">
        <v>99.365031999999999</v>
      </c>
    </row>
    <row r="1500" spans="1:5" x14ac:dyDescent="0.4">
      <c r="A1500" s="27">
        <v>44161</v>
      </c>
      <c r="B1500" s="21">
        <v>231.9228</v>
      </c>
      <c r="C1500">
        <v>275.21730000000002</v>
      </c>
      <c r="D1500">
        <v>129.16048799999999</v>
      </c>
      <c r="E1500" s="22">
        <v>99.363502999999994</v>
      </c>
    </row>
    <row r="1501" spans="1:5" x14ac:dyDescent="0.4">
      <c r="A1501" s="27">
        <v>44162</v>
      </c>
      <c r="B1501" s="21">
        <v>232.8229</v>
      </c>
      <c r="C1501">
        <v>275.20870000000002</v>
      </c>
      <c r="D1501">
        <v>129.158796</v>
      </c>
      <c r="E1501" s="22">
        <v>99.361968000000005</v>
      </c>
    </row>
    <row r="1502" spans="1:5" x14ac:dyDescent="0.4">
      <c r="A1502" s="27">
        <v>44165</v>
      </c>
      <c r="B1502" s="21">
        <v>230.4366</v>
      </c>
      <c r="C1502">
        <v>274.9717</v>
      </c>
      <c r="D1502">
        <v>129.15371999999999</v>
      </c>
      <c r="E1502" s="22">
        <v>99.357355999999996</v>
      </c>
    </row>
    <row r="1503" spans="1:5" x14ac:dyDescent="0.4">
      <c r="A1503" s="27">
        <v>44166</v>
      </c>
      <c r="B1503" s="21">
        <v>231.8878</v>
      </c>
      <c r="C1503">
        <v>274.1397</v>
      </c>
      <c r="D1503">
        <v>129.15201500000001</v>
      </c>
      <c r="E1503" s="22">
        <v>99.355811000000003</v>
      </c>
    </row>
    <row r="1504" spans="1:5" x14ac:dyDescent="0.4">
      <c r="A1504" s="27">
        <v>44167</v>
      </c>
      <c r="B1504" s="21">
        <v>231.94030000000001</v>
      </c>
      <c r="C1504">
        <v>274.22629999999998</v>
      </c>
      <c r="D1504">
        <v>129.15032299999999</v>
      </c>
      <c r="E1504" s="22">
        <v>99.354273000000006</v>
      </c>
    </row>
    <row r="1505" spans="1:5" x14ac:dyDescent="0.4">
      <c r="A1505" s="27">
        <v>44168</v>
      </c>
      <c r="B1505" s="21">
        <v>231.91300000000001</v>
      </c>
      <c r="C1505">
        <v>274.76310000000001</v>
      </c>
      <c r="D1505">
        <v>129.14863099999999</v>
      </c>
      <c r="E1505" s="22">
        <v>99.352739</v>
      </c>
    </row>
    <row r="1506" spans="1:5" x14ac:dyDescent="0.4">
      <c r="A1506" s="27">
        <v>44169</v>
      </c>
      <c r="B1506" s="21">
        <v>233.364</v>
      </c>
      <c r="C1506">
        <v>274.57769999999999</v>
      </c>
      <c r="D1506">
        <v>129.14694</v>
      </c>
      <c r="E1506" s="22">
        <v>99.351203999999996</v>
      </c>
    </row>
    <row r="1507" spans="1:5" x14ac:dyDescent="0.4">
      <c r="A1507" s="27">
        <v>44172</v>
      </c>
      <c r="B1507" s="21">
        <v>232.66800000000001</v>
      </c>
      <c r="C1507">
        <v>275.21839999999997</v>
      </c>
      <c r="D1507">
        <v>129.14187699999999</v>
      </c>
      <c r="E1507" s="22">
        <v>99.346609000000001</v>
      </c>
    </row>
    <row r="1508" spans="1:5" x14ac:dyDescent="0.4">
      <c r="A1508" s="27">
        <v>44173</v>
      </c>
      <c r="B1508" s="21">
        <v>233.1841</v>
      </c>
      <c r="C1508">
        <v>275.7251</v>
      </c>
      <c r="D1508">
        <v>129.140185</v>
      </c>
      <c r="E1508" s="22">
        <v>99.345078000000001</v>
      </c>
    </row>
    <row r="1509" spans="1:5" x14ac:dyDescent="0.4">
      <c r="A1509" s="27">
        <v>44174</v>
      </c>
      <c r="B1509" s="21">
        <v>233.93809999999999</v>
      </c>
      <c r="C1509">
        <v>275.71100000000001</v>
      </c>
      <c r="D1509">
        <v>129.13848100000001</v>
      </c>
      <c r="E1509" s="22">
        <v>99.343535000000003</v>
      </c>
    </row>
    <row r="1510" spans="1:5" x14ac:dyDescent="0.4">
      <c r="A1510" s="27">
        <v>44175</v>
      </c>
      <c r="B1510" s="21">
        <v>233.00729999999999</v>
      </c>
      <c r="C1510">
        <v>275.6583</v>
      </c>
      <c r="D1510">
        <v>129.13678899999999</v>
      </c>
      <c r="E1510" s="22">
        <v>99.342000999999996</v>
      </c>
    </row>
    <row r="1511" spans="1:5" x14ac:dyDescent="0.4">
      <c r="A1511" s="27">
        <v>44176</v>
      </c>
      <c r="B1511" s="21">
        <v>231.1671</v>
      </c>
      <c r="C1511">
        <v>276.29809999999998</v>
      </c>
      <c r="D1511">
        <v>129.135097</v>
      </c>
      <c r="E1511" s="22">
        <v>99.340467000000004</v>
      </c>
    </row>
    <row r="1512" spans="1:5" x14ac:dyDescent="0.4">
      <c r="A1512" s="27">
        <v>44179</v>
      </c>
      <c r="B1512" s="21">
        <v>232.07159999999999</v>
      </c>
      <c r="C1512">
        <v>276.10430000000002</v>
      </c>
      <c r="D1512">
        <v>129.130022</v>
      </c>
      <c r="E1512" s="22">
        <v>99.335856000000007</v>
      </c>
    </row>
    <row r="1513" spans="1:5" x14ac:dyDescent="0.4">
      <c r="A1513" s="27">
        <v>44180</v>
      </c>
      <c r="B1513" s="21">
        <v>232.61510000000001</v>
      </c>
      <c r="C1513">
        <v>276.08109999999999</v>
      </c>
      <c r="D1513">
        <v>129.128331</v>
      </c>
      <c r="E1513" s="22">
        <v>99.334316000000001</v>
      </c>
    </row>
    <row r="1514" spans="1:5" x14ac:dyDescent="0.4">
      <c r="A1514" s="27">
        <v>44181</v>
      </c>
      <c r="B1514" s="21">
        <v>234.5797</v>
      </c>
      <c r="C1514">
        <v>275.3664</v>
      </c>
      <c r="D1514">
        <v>129.126665</v>
      </c>
      <c r="E1514" s="22">
        <v>99.332795000000004</v>
      </c>
    </row>
    <row r="1515" spans="1:5" x14ac:dyDescent="0.4">
      <c r="A1515" s="27">
        <v>44182</v>
      </c>
      <c r="B1515" s="21">
        <v>235.21100000000001</v>
      </c>
      <c r="C1515">
        <v>275.48570000000001</v>
      </c>
      <c r="D1515">
        <v>129.12497300000001</v>
      </c>
      <c r="E1515" s="22">
        <v>99.331259000000003</v>
      </c>
    </row>
    <row r="1516" spans="1:5" x14ac:dyDescent="0.4">
      <c r="A1516" s="27">
        <v>44183</v>
      </c>
      <c r="B1516" s="21">
        <v>234.45599999999999</v>
      </c>
      <c r="C1516">
        <v>275.34609999999998</v>
      </c>
      <c r="D1516">
        <v>129.12328199999999</v>
      </c>
      <c r="E1516" s="22">
        <v>99.329723999999999</v>
      </c>
    </row>
    <row r="1517" spans="1:5" x14ac:dyDescent="0.4">
      <c r="A1517" s="27">
        <v>44186</v>
      </c>
      <c r="B1517" s="21">
        <v>228.91300000000001</v>
      </c>
      <c r="C1517">
        <v>275.42129999999997</v>
      </c>
      <c r="D1517">
        <v>129.11819399999999</v>
      </c>
      <c r="E1517" s="22">
        <v>99.325106000000005</v>
      </c>
    </row>
    <row r="1518" spans="1:5" x14ac:dyDescent="0.4">
      <c r="A1518" s="27">
        <v>44187</v>
      </c>
      <c r="B1518" s="21">
        <v>231.51130000000001</v>
      </c>
      <c r="C1518">
        <v>275.54910000000001</v>
      </c>
      <c r="D1518">
        <v>129.11650299999999</v>
      </c>
      <c r="E1518" s="22">
        <v>99.323569000000006</v>
      </c>
    </row>
    <row r="1519" spans="1:5" x14ac:dyDescent="0.4">
      <c r="A1519" s="27">
        <v>44188</v>
      </c>
      <c r="B1519" s="21">
        <v>233.94890000000001</v>
      </c>
      <c r="C1519">
        <v>274.65730000000002</v>
      </c>
      <c r="D1519">
        <v>129.114811</v>
      </c>
      <c r="E1519" s="22">
        <v>99.322029000000001</v>
      </c>
    </row>
    <row r="1520" spans="1:5" x14ac:dyDescent="0.4">
      <c r="A1520" s="27">
        <v>44189</v>
      </c>
      <c r="B1520" s="21">
        <v>234.18090000000001</v>
      </c>
      <c r="C1520">
        <v>274.66890000000001</v>
      </c>
      <c r="D1520">
        <v>129.11310700000001</v>
      </c>
      <c r="E1520" s="22">
        <v>99.320487</v>
      </c>
    </row>
    <row r="1521" spans="1:5" x14ac:dyDescent="0.4">
      <c r="A1521" s="27">
        <v>44194</v>
      </c>
      <c r="B1521" s="21">
        <v>237.3998</v>
      </c>
      <c r="C1521">
        <v>275.42259999999999</v>
      </c>
      <c r="D1521">
        <v>129.10468900000001</v>
      </c>
      <c r="E1521" s="22">
        <v>99.312837000000002</v>
      </c>
    </row>
    <row r="1522" spans="1:5" x14ac:dyDescent="0.4">
      <c r="A1522" s="27">
        <v>44195</v>
      </c>
      <c r="B1522" s="21">
        <v>236.62299999999999</v>
      </c>
      <c r="C1522">
        <v>275.34679999999997</v>
      </c>
      <c r="D1522">
        <v>129.10299800000001</v>
      </c>
      <c r="E1522" s="22">
        <v>99.311300000000003</v>
      </c>
    </row>
    <row r="1523" spans="1:5" x14ac:dyDescent="0.4">
      <c r="A1523" s="27">
        <v>44196</v>
      </c>
      <c r="B1523" s="21">
        <v>235.8905</v>
      </c>
      <c r="C1523">
        <v>275.35829999999999</v>
      </c>
      <c r="D1523">
        <v>129.10130599999999</v>
      </c>
      <c r="E1523" s="22">
        <v>99.309769000000003</v>
      </c>
    </row>
    <row r="1524" spans="1:5" x14ac:dyDescent="0.4">
      <c r="A1524" s="27">
        <v>44200</v>
      </c>
      <c r="B1524" s="21">
        <v>237.54519999999999</v>
      </c>
      <c r="C1524">
        <v>275.74549999999999</v>
      </c>
      <c r="D1524">
        <v>129.094167</v>
      </c>
      <c r="E1524" s="22">
        <v>99.303336000000002</v>
      </c>
    </row>
    <row r="1525" spans="1:5" x14ac:dyDescent="0.4">
      <c r="A1525" s="27">
        <v>44201</v>
      </c>
      <c r="B1525" s="21">
        <v>237.15</v>
      </c>
      <c r="C1525">
        <v>275.59070000000003</v>
      </c>
      <c r="D1525">
        <v>129.09243699999999</v>
      </c>
      <c r="E1525" s="22">
        <v>99.301775000000006</v>
      </c>
    </row>
    <row r="1526" spans="1:5" x14ac:dyDescent="0.4">
      <c r="A1526" s="27">
        <v>44202</v>
      </c>
      <c r="B1526" s="21">
        <v>240.50059999999999</v>
      </c>
      <c r="C1526">
        <v>275.19740000000002</v>
      </c>
      <c r="D1526">
        <v>129.09072</v>
      </c>
      <c r="E1526" s="22">
        <v>99.300222000000005</v>
      </c>
    </row>
    <row r="1527" spans="1:5" x14ac:dyDescent="0.4">
      <c r="A1527" s="27">
        <v>44203</v>
      </c>
      <c r="B1527" s="21">
        <v>241.73679999999999</v>
      </c>
      <c r="C1527">
        <v>275.08109999999999</v>
      </c>
      <c r="D1527">
        <v>129.08899099999999</v>
      </c>
      <c r="E1527" s="22">
        <v>99.298660999999996</v>
      </c>
    </row>
    <row r="1528" spans="1:5" x14ac:dyDescent="0.4">
      <c r="A1528" s="27">
        <v>44204</v>
      </c>
      <c r="B1528" s="21">
        <v>243.3407</v>
      </c>
      <c r="C1528">
        <v>275.3109</v>
      </c>
      <c r="D1528">
        <v>129.08727400000001</v>
      </c>
      <c r="E1528" s="22">
        <v>99.297101999999995</v>
      </c>
    </row>
    <row r="1529" spans="1:5" x14ac:dyDescent="0.4">
      <c r="A1529" s="27">
        <v>44207</v>
      </c>
      <c r="B1529" s="21">
        <v>241.79230000000001</v>
      </c>
      <c r="C1529">
        <v>274.8263</v>
      </c>
      <c r="D1529">
        <v>129.08214899999999</v>
      </c>
      <c r="E1529" s="22">
        <v>99.292451999999997</v>
      </c>
    </row>
    <row r="1530" spans="1:5" x14ac:dyDescent="0.4">
      <c r="A1530" s="27">
        <v>44208</v>
      </c>
      <c r="B1530" s="21">
        <v>241.9444</v>
      </c>
      <c r="C1530">
        <v>273.91430000000003</v>
      </c>
      <c r="D1530">
        <v>129.080432</v>
      </c>
      <c r="E1530" s="22">
        <v>99.290896000000004</v>
      </c>
    </row>
    <row r="1531" spans="1:5" x14ac:dyDescent="0.4">
      <c r="A1531" s="27">
        <v>44209</v>
      </c>
      <c r="B1531" s="21">
        <v>242.13900000000001</v>
      </c>
      <c r="C1531">
        <v>274.9957</v>
      </c>
      <c r="D1531">
        <v>129.07871499999999</v>
      </c>
      <c r="E1531" s="22">
        <v>99.289343000000002</v>
      </c>
    </row>
    <row r="1532" spans="1:5" x14ac:dyDescent="0.4">
      <c r="A1532" s="27">
        <v>44210</v>
      </c>
      <c r="B1532" s="21">
        <v>243.9238</v>
      </c>
      <c r="C1532">
        <v>275.11610000000002</v>
      </c>
      <c r="D1532">
        <v>129.077012</v>
      </c>
      <c r="E1532" s="22">
        <v>99.287792999999994</v>
      </c>
    </row>
    <row r="1533" spans="1:5" x14ac:dyDescent="0.4">
      <c r="A1533" s="27">
        <v>44211</v>
      </c>
      <c r="B1533" s="21">
        <v>241.50489999999999</v>
      </c>
      <c r="C1533">
        <v>274.97930000000002</v>
      </c>
      <c r="D1533">
        <v>129.07529500000001</v>
      </c>
      <c r="E1533" s="22">
        <v>99.286237999999997</v>
      </c>
    </row>
    <row r="1534" spans="1:5" x14ac:dyDescent="0.4">
      <c r="A1534" s="27">
        <v>44214</v>
      </c>
      <c r="B1534" s="21">
        <v>241.90600000000001</v>
      </c>
      <c r="C1534">
        <v>274.61320000000001</v>
      </c>
      <c r="D1534">
        <v>129.07011900000001</v>
      </c>
      <c r="E1534" s="22">
        <v>99.281554999999997</v>
      </c>
    </row>
    <row r="1535" spans="1:5" x14ac:dyDescent="0.4">
      <c r="A1535" s="27">
        <v>44215</v>
      </c>
      <c r="B1535" s="21">
        <v>241.48490000000001</v>
      </c>
      <c r="C1535">
        <v>274.8313</v>
      </c>
      <c r="D1535">
        <v>129.06840199999999</v>
      </c>
      <c r="E1535" s="22">
        <v>99.279996999999995</v>
      </c>
    </row>
    <row r="1536" spans="1:5" x14ac:dyDescent="0.4">
      <c r="A1536" s="27">
        <v>44216</v>
      </c>
      <c r="B1536" s="21">
        <v>243.17500000000001</v>
      </c>
      <c r="C1536">
        <v>274.76690000000002</v>
      </c>
      <c r="D1536">
        <v>129.066686</v>
      </c>
      <c r="E1536" s="22">
        <v>99.278441000000001</v>
      </c>
    </row>
    <row r="1537" spans="1:5" x14ac:dyDescent="0.4">
      <c r="A1537" s="27">
        <v>44217</v>
      </c>
      <c r="B1537" s="21">
        <v>243.18639999999999</v>
      </c>
      <c r="C1537">
        <v>273.8211</v>
      </c>
      <c r="D1537">
        <v>129.06496899999999</v>
      </c>
      <c r="E1537" s="22">
        <v>99.276886000000005</v>
      </c>
    </row>
    <row r="1538" spans="1:5" x14ac:dyDescent="0.4">
      <c r="A1538" s="27">
        <v>44218</v>
      </c>
      <c r="B1538" s="21">
        <v>241.85749999999999</v>
      </c>
      <c r="C1538">
        <v>273.9907</v>
      </c>
      <c r="D1538">
        <v>129.063265</v>
      </c>
      <c r="E1538" s="22">
        <v>99.275335999999996</v>
      </c>
    </row>
    <row r="1539" spans="1:5" x14ac:dyDescent="0.4">
      <c r="A1539" s="27">
        <v>44221</v>
      </c>
      <c r="B1539" s="21">
        <v>239.94800000000001</v>
      </c>
      <c r="C1539">
        <v>274.79300000000001</v>
      </c>
      <c r="D1539">
        <v>129.058142</v>
      </c>
      <c r="E1539" s="22">
        <v>99.270695000000003</v>
      </c>
    </row>
    <row r="1540" spans="1:5" x14ac:dyDescent="0.4">
      <c r="A1540" s="27">
        <v>44222</v>
      </c>
      <c r="B1540" s="21">
        <v>241.3338</v>
      </c>
      <c r="C1540">
        <v>274.58569999999997</v>
      </c>
      <c r="D1540">
        <v>129.05642499999999</v>
      </c>
      <c r="E1540" s="22">
        <v>99.269139999999993</v>
      </c>
    </row>
    <row r="1541" spans="1:5" x14ac:dyDescent="0.4">
      <c r="A1541" s="27">
        <v>44223</v>
      </c>
      <c r="B1541" s="21">
        <v>238.67500000000001</v>
      </c>
      <c r="C1541">
        <v>274.67750000000001</v>
      </c>
      <c r="D1541">
        <v>129.054734</v>
      </c>
      <c r="E1541" s="22">
        <v>99.267600999999999</v>
      </c>
    </row>
    <row r="1542" spans="1:5" x14ac:dyDescent="0.4">
      <c r="A1542" s="27">
        <v>44224</v>
      </c>
      <c r="B1542" s="21">
        <v>238.68170000000001</v>
      </c>
      <c r="C1542">
        <v>274.59249999999997</v>
      </c>
      <c r="D1542">
        <v>129.05301800000001</v>
      </c>
      <c r="E1542" s="22">
        <v>99.266048999999995</v>
      </c>
    </row>
    <row r="1543" spans="1:5" x14ac:dyDescent="0.4">
      <c r="A1543" s="27">
        <v>44225</v>
      </c>
      <c r="B1543" s="21">
        <v>234.12960000000001</v>
      </c>
      <c r="C1543">
        <v>274.10520000000002</v>
      </c>
      <c r="D1543">
        <v>129.05131499999999</v>
      </c>
      <c r="E1543" s="22">
        <v>99.264501999999993</v>
      </c>
    </row>
    <row r="1544" spans="1:5" x14ac:dyDescent="0.4">
      <c r="A1544" s="27">
        <v>44228</v>
      </c>
      <c r="B1544" s="21">
        <v>237.00020000000001</v>
      </c>
      <c r="C1544">
        <v>274.18689999999998</v>
      </c>
      <c r="D1544">
        <v>129.046165</v>
      </c>
      <c r="E1544" s="22">
        <v>99.259836000000007</v>
      </c>
    </row>
    <row r="1545" spans="1:5" x14ac:dyDescent="0.4">
      <c r="A1545" s="27">
        <v>44229</v>
      </c>
      <c r="B1545" s="21">
        <v>239.96350000000001</v>
      </c>
      <c r="C1545">
        <v>273.71879999999999</v>
      </c>
      <c r="D1545">
        <v>129.04443599999999</v>
      </c>
      <c r="E1545" s="22">
        <v>99.258275999999995</v>
      </c>
    </row>
    <row r="1546" spans="1:5" x14ac:dyDescent="0.4">
      <c r="A1546" s="27">
        <v>44230</v>
      </c>
      <c r="B1546" s="21">
        <v>240.81020000000001</v>
      </c>
      <c r="C1546">
        <v>273.6549</v>
      </c>
      <c r="D1546">
        <v>129.04272</v>
      </c>
      <c r="E1546" s="22">
        <v>99.256720999999999</v>
      </c>
    </row>
    <row r="1547" spans="1:5" x14ac:dyDescent="0.4">
      <c r="A1547" s="27">
        <v>44231</v>
      </c>
      <c r="B1547" s="21">
        <v>242.1891</v>
      </c>
      <c r="C1547">
        <v>273.57049999999998</v>
      </c>
      <c r="D1547">
        <v>129.04102900000001</v>
      </c>
      <c r="E1547" s="22">
        <v>99.255182000000005</v>
      </c>
    </row>
    <row r="1548" spans="1:5" x14ac:dyDescent="0.4">
      <c r="A1548" s="27">
        <v>44232</v>
      </c>
      <c r="B1548" s="21">
        <v>242.12799999999999</v>
      </c>
      <c r="C1548">
        <v>273.48410000000001</v>
      </c>
      <c r="D1548">
        <v>129.03931299999999</v>
      </c>
      <c r="E1548" s="22">
        <v>99.253626999999994</v>
      </c>
    </row>
    <row r="1549" spans="1:5" x14ac:dyDescent="0.4">
      <c r="A1549" s="27">
        <v>44235</v>
      </c>
      <c r="B1549" s="21">
        <v>242.84030000000001</v>
      </c>
      <c r="C1549">
        <v>273.4502</v>
      </c>
      <c r="D1549">
        <v>129.03415200000001</v>
      </c>
      <c r="E1549" s="22">
        <v>99.248953999999998</v>
      </c>
    </row>
    <row r="1550" spans="1:5" x14ac:dyDescent="0.4">
      <c r="A1550" s="27">
        <v>44236</v>
      </c>
      <c r="B1550" s="21">
        <v>242.74109999999999</v>
      </c>
      <c r="C1550">
        <v>273.54939999999999</v>
      </c>
      <c r="D1550">
        <v>129.03243499999999</v>
      </c>
      <c r="E1550" s="22">
        <v>99.247401999999994</v>
      </c>
    </row>
    <row r="1551" spans="1:5" x14ac:dyDescent="0.4">
      <c r="A1551" s="27">
        <v>44237</v>
      </c>
      <c r="B1551" s="21">
        <v>242.23310000000001</v>
      </c>
      <c r="C1551">
        <v>273.38670000000002</v>
      </c>
      <c r="D1551">
        <v>129.030719</v>
      </c>
      <c r="E1551" s="22">
        <v>99.245846999999998</v>
      </c>
    </row>
    <row r="1552" spans="1:5" x14ac:dyDescent="0.4">
      <c r="A1552" s="27">
        <v>44238</v>
      </c>
      <c r="B1552" s="21">
        <v>243.21100000000001</v>
      </c>
      <c r="C1552">
        <v>273.7346</v>
      </c>
      <c r="D1552">
        <v>129.02900299999999</v>
      </c>
      <c r="E1552" s="22">
        <v>99.244292000000002</v>
      </c>
    </row>
    <row r="1553" spans="1:5" x14ac:dyDescent="0.4">
      <c r="A1553" s="27">
        <v>44239</v>
      </c>
      <c r="B1553" s="21">
        <v>244.87209999999999</v>
      </c>
      <c r="C1553">
        <v>273.06450000000001</v>
      </c>
      <c r="D1553">
        <v>129.027287</v>
      </c>
      <c r="E1553" s="22">
        <v>99.242734999999996</v>
      </c>
    </row>
    <row r="1554" spans="1:5" x14ac:dyDescent="0.4">
      <c r="A1554" s="27">
        <v>44242</v>
      </c>
      <c r="B1554" s="21">
        <v>248.20330000000001</v>
      </c>
      <c r="C1554">
        <v>272.31299999999999</v>
      </c>
      <c r="D1554">
        <v>129.02213900000001</v>
      </c>
      <c r="E1554" s="22">
        <v>99.238069999999993</v>
      </c>
    </row>
    <row r="1555" spans="1:5" x14ac:dyDescent="0.4">
      <c r="A1555" s="27">
        <v>44243</v>
      </c>
      <c r="B1555" s="21">
        <v>248.0162</v>
      </c>
      <c r="C1555">
        <v>271.83949999999999</v>
      </c>
      <c r="D1555">
        <v>129.02042299999999</v>
      </c>
      <c r="E1555" s="22">
        <v>99.236518000000004</v>
      </c>
    </row>
    <row r="1556" spans="1:5" x14ac:dyDescent="0.4">
      <c r="A1556" s="27">
        <v>44244</v>
      </c>
      <c r="B1556" s="21">
        <v>246.34809999999999</v>
      </c>
      <c r="C1556">
        <v>271.81689999999998</v>
      </c>
      <c r="D1556">
        <v>129.01870700000001</v>
      </c>
      <c r="E1556" s="22">
        <v>99.234962999999993</v>
      </c>
    </row>
    <row r="1557" spans="1:5" x14ac:dyDescent="0.4">
      <c r="A1557" s="27">
        <v>44245</v>
      </c>
      <c r="B1557" s="21">
        <v>244.47829999999999</v>
      </c>
      <c r="C1557">
        <v>271.14879999999999</v>
      </c>
      <c r="D1557">
        <v>129.01699099999999</v>
      </c>
      <c r="E1557" s="22">
        <v>99.233412000000001</v>
      </c>
    </row>
    <row r="1558" spans="1:5" x14ac:dyDescent="0.4">
      <c r="A1558" s="27">
        <v>44246</v>
      </c>
      <c r="B1558" s="21">
        <v>245.69800000000001</v>
      </c>
      <c r="C1558">
        <v>270.79450000000003</v>
      </c>
      <c r="D1558">
        <v>129.015288</v>
      </c>
      <c r="E1558" s="22">
        <v>99.231862000000007</v>
      </c>
    </row>
    <row r="1559" spans="1:5" x14ac:dyDescent="0.4">
      <c r="A1559" s="27">
        <v>44249</v>
      </c>
      <c r="B1559" s="21">
        <v>244.68090000000001</v>
      </c>
      <c r="C1559">
        <v>271.3938</v>
      </c>
      <c r="D1559">
        <v>129.010153</v>
      </c>
      <c r="E1559" s="22">
        <v>99.227207000000007</v>
      </c>
    </row>
    <row r="1560" spans="1:5" x14ac:dyDescent="0.4">
      <c r="A1560" s="27">
        <v>44250</v>
      </c>
      <c r="B1560" s="21">
        <v>243.67660000000001</v>
      </c>
      <c r="C1560">
        <v>270.84359999999998</v>
      </c>
      <c r="D1560">
        <v>129.00843699999999</v>
      </c>
      <c r="E1560" s="22">
        <v>99.225651999999997</v>
      </c>
    </row>
    <row r="1561" spans="1:5" x14ac:dyDescent="0.4">
      <c r="A1561" s="27">
        <v>44251</v>
      </c>
      <c r="B1561" s="21">
        <v>244.79740000000001</v>
      </c>
      <c r="C1561">
        <v>270.2398</v>
      </c>
      <c r="D1561">
        <v>129.006722</v>
      </c>
      <c r="E1561" s="22">
        <v>99.224095000000005</v>
      </c>
    </row>
    <row r="1562" spans="1:5" x14ac:dyDescent="0.4">
      <c r="A1562" s="27">
        <v>44252</v>
      </c>
      <c r="B1562" s="21">
        <v>244.185</v>
      </c>
      <c r="C1562">
        <v>269.13630000000001</v>
      </c>
      <c r="D1562">
        <v>129.00500600000001</v>
      </c>
      <c r="E1562" s="22">
        <v>99.222539999999995</v>
      </c>
    </row>
    <row r="1563" spans="1:5" x14ac:dyDescent="0.4">
      <c r="A1563" s="27">
        <v>44253</v>
      </c>
      <c r="B1563" s="21">
        <v>240.07089999999999</v>
      </c>
      <c r="C1563">
        <v>269.85160000000002</v>
      </c>
      <c r="D1563">
        <v>129.00328999999999</v>
      </c>
      <c r="E1563" s="22">
        <v>99.220985999999996</v>
      </c>
    </row>
    <row r="1564" spans="1:5" x14ac:dyDescent="0.4">
      <c r="A1564" s="27">
        <v>44256</v>
      </c>
      <c r="B1564" s="21">
        <v>244.43360000000001</v>
      </c>
      <c r="C1564">
        <v>271.24029999999999</v>
      </c>
      <c r="D1564">
        <v>128.99811700000001</v>
      </c>
      <c r="E1564" s="22">
        <v>99.216306000000003</v>
      </c>
    </row>
    <row r="1565" spans="1:5" x14ac:dyDescent="0.4">
      <c r="A1565" s="27">
        <v>44257</v>
      </c>
      <c r="B1565" s="21">
        <v>244.98230000000001</v>
      </c>
      <c r="C1565">
        <v>271.1848</v>
      </c>
      <c r="D1565">
        <v>128.99640099999999</v>
      </c>
      <c r="E1565" s="22">
        <v>99.214753999999999</v>
      </c>
    </row>
    <row r="1566" spans="1:5" x14ac:dyDescent="0.4">
      <c r="A1566" s="27">
        <v>44258</v>
      </c>
      <c r="B1566" s="21">
        <v>245.1618</v>
      </c>
      <c r="C1566">
        <v>270.2783</v>
      </c>
      <c r="D1566">
        <v>128.994686</v>
      </c>
      <c r="E1566" s="22">
        <v>99.213196999999994</v>
      </c>
    </row>
    <row r="1567" spans="1:5" x14ac:dyDescent="0.4">
      <c r="A1567" s="27">
        <v>44259</v>
      </c>
      <c r="B1567" s="21">
        <v>244.7054</v>
      </c>
      <c r="C1567">
        <v>270.43110000000001</v>
      </c>
      <c r="D1567">
        <v>128.99297000000001</v>
      </c>
      <c r="E1567" s="22">
        <v>99.211640000000003</v>
      </c>
    </row>
    <row r="1568" spans="1:5" x14ac:dyDescent="0.4">
      <c r="A1568" s="27">
        <v>44260</v>
      </c>
      <c r="B1568" s="21">
        <v>242.93889999999999</v>
      </c>
      <c r="C1568">
        <v>270.0702</v>
      </c>
      <c r="D1568">
        <v>128.991254</v>
      </c>
      <c r="E1568" s="22">
        <v>99.210082999999997</v>
      </c>
    </row>
    <row r="1569" spans="1:5" x14ac:dyDescent="0.4">
      <c r="A1569" s="27">
        <v>44263</v>
      </c>
      <c r="B1569" s="21">
        <v>247.9034</v>
      </c>
      <c r="C1569">
        <v>269.95519999999999</v>
      </c>
      <c r="D1569">
        <v>128.986133</v>
      </c>
      <c r="E1569" s="22">
        <v>99.205437000000003</v>
      </c>
    </row>
    <row r="1570" spans="1:5" x14ac:dyDescent="0.4">
      <c r="A1570" s="27">
        <v>44264</v>
      </c>
      <c r="B1570" s="21">
        <v>249.66730000000001</v>
      </c>
      <c r="C1570">
        <v>270.45089999999999</v>
      </c>
      <c r="D1570">
        <v>128.984444</v>
      </c>
      <c r="E1570" s="22">
        <v>99.203899000000007</v>
      </c>
    </row>
    <row r="1571" spans="1:5" x14ac:dyDescent="0.4">
      <c r="A1571" s="27">
        <v>44265</v>
      </c>
      <c r="B1571" s="21">
        <v>250.72229999999999</v>
      </c>
      <c r="C1571">
        <v>270.57530000000003</v>
      </c>
      <c r="D1571">
        <v>128.982741</v>
      </c>
      <c r="E1571" s="22">
        <v>99.202355999999995</v>
      </c>
    </row>
    <row r="1572" spans="1:5" x14ac:dyDescent="0.4">
      <c r="A1572" s="27">
        <v>44266</v>
      </c>
      <c r="B1572" s="21">
        <v>251.9529</v>
      </c>
      <c r="C1572">
        <v>271.12090000000001</v>
      </c>
      <c r="D1572">
        <v>128.98103900000001</v>
      </c>
      <c r="E1572" s="22">
        <v>99.200806999999998</v>
      </c>
    </row>
    <row r="1573" spans="1:5" x14ac:dyDescent="0.4">
      <c r="A1573" s="27">
        <v>44267</v>
      </c>
      <c r="B1573" s="21">
        <v>251.38319999999999</v>
      </c>
      <c r="C1573">
        <v>270.42250000000001</v>
      </c>
      <c r="D1573">
        <v>128.97933599999999</v>
      </c>
      <c r="E1573" s="22">
        <v>99.199261000000007</v>
      </c>
    </row>
    <row r="1574" spans="1:5" x14ac:dyDescent="0.4">
      <c r="A1574" s="27">
        <v>44270</v>
      </c>
      <c r="B1574" s="21">
        <v>251.3272</v>
      </c>
      <c r="C1574">
        <v>271.02710000000002</v>
      </c>
      <c r="D1574">
        <v>128.97421600000001</v>
      </c>
      <c r="E1574" s="22">
        <v>99.194614999999999</v>
      </c>
    </row>
    <row r="1575" spans="1:5" x14ac:dyDescent="0.4">
      <c r="A1575" s="27">
        <v>44271</v>
      </c>
      <c r="B1575" s="21">
        <v>253.44820000000001</v>
      </c>
      <c r="C1575">
        <v>270.95519999999999</v>
      </c>
      <c r="D1575">
        <v>128.9725</v>
      </c>
      <c r="E1575" s="22">
        <v>99.193061</v>
      </c>
    </row>
    <row r="1576" spans="1:5" x14ac:dyDescent="0.4">
      <c r="A1576" s="27">
        <v>44272</v>
      </c>
      <c r="B1576" s="21">
        <v>252.5094</v>
      </c>
      <c r="C1576">
        <v>269.90129999999999</v>
      </c>
      <c r="D1576">
        <v>128.970798</v>
      </c>
      <c r="E1576" s="22">
        <v>99.191513</v>
      </c>
    </row>
    <row r="1577" spans="1:5" x14ac:dyDescent="0.4">
      <c r="A1577" s="27">
        <v>44273</v>
      </c>
      <c r="B1577" s="21">
        <v>253.7071</v>
      </c>
      <c r="C1577">
        <v>269.56349999999998</v>
      </c>
      <c r="D1577">
        <v>128.96909500000001</v>
      </c>
      <c r="E1577" s="22">
        <v>99.189966999999996</v>
      </c>
    </row>
    <row r="1578" spans="1:5" x14ac:dyDescent="0.4">
      <c r="A1578" s="27">
        <v>44274</v>
      </c>
      <c r="B1578" s="21">
        <v>251.68610000000001</v>
      </c>
      <c r="C1578">
        <v>270.01670000000001</v>
      </c>
      <c r="D1578">
        <v>128.967367</v>
      </c>
      <c r="E1578" s="22">
        <v>99.188407999999995</v>
      </c>
    </row>
    <row r="1579" spans="1:5" x14ac:dyDescent="0.4">
      <c r="A1579" s="27">
        <v>44277</v>
      </c>
      <c r="B1579" s="21">
        <v>252.2329</v>
      </c>
      <c r="C1579">
        <v>270.23469999999998</v>
      </c>
      <c r="D1579">
        <v>128.962208</v>
      </c>
      <c r="E1579" s="22">
        <v>99.183738000000005</v>
      </c>
    </row>
    <row r="1580" spans="1:5" x14ac:dyDescent="0.4">
      <c r="A1580" s="27">
        <v>44278</v>
      </c>
      <c r="B1580" s="21">
        <v>251.64609999999999</v>
      </c>
      <c r="C1580">
        <v>270.77679999999998</v>
      </c>
      <c r="D1580">
        <v>128.96047999999999</v>
      </c>
      <c r="E1580" s="22">
        <v>99.182177999999993</v>
      </c>
    </row>
    <row r="1581" spans="1:5" x14ac:dyDescent="0.4">
      <c r="A1581" s="27">
        <v>44279</v>
      </c>
      <c r="B1581" s="21">
        <v>251.6978</v>
      </c>
      <c r="C1581">
        <v>271.0838</v>
      </c>
      <c r="D1581">
        <v>128.958765</v>
      </c>
      <c r="E1581" s="22">
        <v>99.180627000000001</v>
      </c>
    </row>
    <row r="1582" spans="1:5" x14ac:dyDescent="0.4">
      <c r="A1582" s="27">
        <v>44280</v>
      </c>
      <c r="B1582" s="21">
        <v>251.69059999999999</v>
      </c>
      <c r="C1582">
        <v>271.4708</v>
      </c>
      <c r="D1582">
        <v>128.95705000000001</v>
      </c>
      <c r="E1582" s="22">
        <v>99.179073000000002</v>
      </c>
    </row>
    <row r="1583" spans="1:5" x14ac:dyDescent="0.4">
      <c r="A1583" s="27">
        <v>44281</v>
      </c>
      <c r="B1583" s="21">
        <v>254.02</v>
      </c>
      <c r="C1583">
        <v>271.00020000000001</v>
      </c>
      <c r="D1583">
        <v>128.95533499999999</v>
      </c>
      <c r="E1583" s="22">
        <v>99.177519000000004</v>
      </c>
    </row>
    <row r="1584" spans="1:5" x14ac:dyDescent="0.4">
      <c r="A1584" s="27">
        <v>44284</v>
      </c>
      <c r="B1584" s="21">
        <v>254.50710000000001</v>
      </c>
      <c r="C1584">
        <v>270.40100000000001</v>
      </c>
      <c r="D1584">
        <v>128.95013800000001</v>
      </c>
      <c r="E1584" s="22">
        <v>99.172825000000003</v>
      </c>
    </row>
    <row r="1585" spans="1:5" x14ac:dyDescent="0.4">
      <c r="A1585" s="27">
        <v>44285</v>
      </c>
      <c r="B1585" s="21">
        <v>256.27339999999998</v>
      </c>
      <c r="C1585">
        <v>269.77890000000002</v>
      </c>
      <c r="D1585">
        <v>128.948397</v>
      </c>
      <c r="E1585" s="22">
        <v>99.171255000000002</v>
      </c>
    </row>
    <row r="1586" spans="1:5" x14ac:dyDescent="0.4">
      <c r="A1586" s="27">
        <v>44286</v>
      </c>
      <c r="B1586" s="21">
        <v>255.59440000000001</v>
      </c>
      <c r="C1586">
        <v>270.1377</v>
      </c>
      <c r="D1586">
        <v>128.94665599999999</v>
      </c>
      <c r="E1586" s="22">
        <v>99.169685000000001</v>
      </c>
    </row>
    <row r="1587" spans="1:5" x14ac:dyDescent="0.4">
      <c r="A1587" s="27">
        <v>44287</v>
      </c>
      <c r="B1587" s="21">
        <v>257.08629999999999</v>
      </c>
      <c r="C1587">
        <v>270.74149999999997</v>
      </c>
      <c r="D1587">
        <v>128.94490300000001</v>
      </c>
      <c r="E1587" s="22">
        <v>99.168103000000002</v>
      </c>
    </row>
    <row r="1588" spans="1:5" x14ac:dyDescent="0.4">
      <c r="A1588" s="27">
        <v>44292</v>
      </c>
      <c r="B1588" s="21">
        <v>258.9264</v>
      </c>
      <c r="C1588">
        <v>270.42989999999998</v>
      </c>
      <c r="D1588">
        <v>128.93628899999999</v>
      </c>
      <c r="E1588" s="22">
        <v>99.160308000000001</v>
      </c>
    </row>
    <row r="1589" spans="1:5" x14ac:dyDescent="0.4">
      <c r="A1589" s="27">
        <v>44293</v>
      </c>
      <c r="B1589" s="21">
        <v>258.35980000000001</v>
      </c>
      <c r="C1589">
        <v>270.45749999999998</v>
      </c>
      <c r="D1589">
        <v>128.934561</v>
      </c>
      <c r="E1589" s="22">
        <v>99.158745999999994</v>
      </c>
    </row>
    <row r="1590" spans="1:5" x14ac:dyDescent="0.4">
      <c r="A1590" s="27">
        <v>44294</v>
      </c>
      <c r="B1590" s="21">
        <v>259.96069999999997</v>
      </c>
      <c r="C1590">
        <v>270.6979</v>
      </c>
      <c r="D1590">
        <v>128.93283400000001</v>
      </c>
      <c r="E1590" s="22">
        <v>99.157184000000001</v>
      </c>
    </row>
    <row r="1591" spans="1:5" x14ac:dyDescent="0.4">
      <c r="A1591" s="27">
        <v>44295</v>
      </c>
      <c r="B1591" s="21">
        <v>260.22460000000001</v>
      </c>
      <c r="C1591">
        <v>270.01889999999997</v>
      </c>
      <c r="D1591">
        <v>128.931093</v>
      </c>
      <c r="E1591" s="22">
        <v>99.155614</v>
      </c>
    </row>
    <row r="1592" spans="1:5" x14ac:dyDescent="0.4">
      <c r="A1592" s="27">
        <v>44298</v>
      </c>
      <c r="B1592" s="21">
        <v>259.09570000000002</v>
      </c>
      <c r="C1592">
        <v>269.91699999999997</v>
      </c>
      <c r="D1592">
        <v>128.92589699999999</v>
      </c>
      <c r="E1592" s="22">
        <v>99.150920999999997</v>
      </c>
    </row>
    <row r="1593" spans="1:5" x14ac:dyDescent="0.4">
      <c r="A1593" s="27">
        <v>44299</v>
      </c>
      <c r="B1593" s="21">
        <v>259.24639999999999</v>
      </c>
      <c r="C1593">
        <v>269.78379999999999</v>
      </c>
      <c r="D1593">
        <v>128.92417</v>
      </c>
      <c r="E1593" s="22">
        <v>99.149359000000004</v>
      </c>
    </row>
    <row r="1594" spans="1:5" x14ac:dyDescent="0.4">
      <c r="A1594" s="27">
        <v>44300</v>
      </c>
      <c r="B1594" s="21">
        <v>259.77280000000002</v>
      </c>
      <c r="C1594">
        <v>269.39800000000002</v>
      </c>
      <c r="D1594">
        <v>128.92245500000001</v>
      </c>
      <c r="E1594" s="22">
        <v>99.147808999999995</v>
      </c>
    </row>
    <row r="1595" spans="1:5" x14ac:dyDescent="0.4">
      <c r="A1595" s="27">
        <v>44301</v>
      </c>
      <c r="B1595" s="21">
        <v>261.02100000000002</v>
      </c>
      <c r="C1595">
        <v>269.96089999999998</v>
      </c>
      <c r="D1595">
        <v>128.92075299999999</v>
      </c>
      <c r="E1595" s="22">
        <v>99.146265999999997</v>
      </c>
    </row>
    <row r="1596" spans="1:5" x14ac:dyDescent="0.4">
      <c r="A1596" s="27">
        <v>44302</v>
      </c>
      <c r="B1596" s="21">
        <v>263.45139999999998</v>
      </c>
      <c r="C1596">
        <v>269.58980000000003</v>
      </c>
      <c r="D1596">
        <v>128.919026</v>
      </c>
      <c r="E1596" s="22">
        <v>99.144707999999994</v>
      </c>
    </row>
    <row r="1597" spans="1:5" x14ac:dyDescent="0.4">
      <c r="A1597" s="27">
        <v>44305</v>
      </c>
      <c r="B1597" s="21">
        <v>263.4599</v>
      </c>
      <c r="C1597">
        <v>269.22089999999997</v>
      </c>
      <c r="D1597">
        <v>128.91386900000001</v>
      </c>
      <c r="E1597" s="22">
        <v>99.140039000000002</v>
      </c>
    </row>
    <row r="1598" spans="1:5" x14ac:dyDescent="0.4">
      <c r="A1598" s="27">
        <v>44306</v>
      </c>
      <c r="B1598" s="21">
        <v>258.47579999999999</v>
      </c>
      <c r="C1598">
        <v>269.39929999999998</v>
      </c>
      <c r="D1598">
        <v>128.91214099999999</v>
      </c>
      <c r="E1598" s="22">
        <v>99.138478000000006</v>
      </c>
    </row>
    <row r="1599" spans="1:5" x14ac:dyDescent="0.4">
      <c r="A1599" s="27">
        <v>44307</v>
      </c>
      <c r="B1599" s="21">
        <v>260.3272</v>
      </c>
      <c r="C1599">
        <v>269.65750000000003</v>
      </c>
      <c r="D1599">
        <v>128.910414</v>
      </c>
      <c r="E1599" s="22">
        <v>99.136916999999997</v>
      </c>
    </row>
    <row r="1600" spans="1:5" x14ac:dyDescent="0.4">
      <c r="A1600" s="27">
        <v>44308</v>
      </c>
      <c r="B1600" s="21">
        <v>262.04570000000001</v>
      </c>
      <c r="C1600">
        <v>269.7131</v>
      </c>
      <c r="D1600">
        <v>128.90869900000001</v>
      </c>
      <c r="E1600" s="22">
        <v>99.135361000000003</v>
      </c>
    </row>
    <row r="1601" spans="1:5" x14ac:dyDescent="0.4">
      <c r="A1601" s="27">
        <v>44309</v>
      </c>
      <c r="B1601" s="21">
        <v>261.68299999999999</v>
      </c>
      <c r="C1601">
        <v>269.47519999999997</v>
      </c>
      <c r="D1601">
        <v>128.90698499999999</v>
      </c>
      <c r="E1601" s="22">
        <v>99.133804999999995</v>
      </c>
    </row>
    <row r="1602" spans="1:5" x14ac:dyDescent="0.4">
      <c r="A1602" s="27">
        <v>44312</v>
      </c>
      <c r="B1602" s="21">
        <v>262.28129999999999</v>
      </c>
      <c r="C1602">
        <v>269.45589999999999</v>
      </c>
      <c r="D1602">
        <v>128.90182899999999</v>
      </c>
      <c r="E1602" s="22">
        <v>99.129137</v>
      </c>
    </row>
    <row r="1603" spans="1:5" x14ac:dyDescent="0.4">
      <c r="A1603" s="27">
        <v>44313</v>
      </c>
      <c r="B1603" s="21">
        <v>262.17860000000002</v>
      </c>
      <c r="C1603">
        <v>269.28800000000001</v>
      </c>
      <c r="D1603">
        <v>128.90010100000001</v>
      </c>
      <c r="E1603" s="22">
        <v>99.127576000000005</v>
      </c>
    </row>
    <row r="1604" spans="1:5" x14ac:dyDescent="0.4">
      <c r="A1604" s="27">
        <v>44314</v>
      </c>
      <c r="B1604" s="21">
        <v>262.28890000000001</v>
      </c>
      <c r="C1604">
        <v>268.97469999999998</v>
      </c>
      <c r="D1604">
        <v>128.89840000000001</v>
      </c>
      <c r="E1604" s="22">
        <v>99.126034000000004</v>
      </c>
    </row>
    <row r="1605" spans="1:5" x14ac:dyDescent="0.4">
      <c r="A1605" s="27">
        <v>44315</v>
      </c>
      <c r="B1605" s="21">
        <v>261.67169999999999</v>
      </c>
      <c r="C1605">
        <v>268.19279999999998</v>
      </c>
      <c r="D1605">
        <v>128.89667299999999</v>
      </c>
      <c r="E1605" s="22">
        <v>99.124475000000004</v>
      </c>
    </row>
    <row r="1606" spans="1:5" x14ac:dyDescent="0.4">
      <c r="A1606" s="27">
        <v>44316</v>
      </c>
      <c r="B1606" s="21">
        <v>260.88330000000002</v>
      </c>
      <c r="C1606">
        <v>268.22789999999998</v>
      </c>
      <c r="D1606">
        <v>128.89494500000001</v>
      </c>
      <c r="E1606" s="22">
        <v>99.122917000000001</v>
      </c>
    </row>
    <row r="1607" spans="1:5" x14ac:dyDescent="0.4">
      <c r="A1607" s="27">
        <v>44319</v>
      </c>
      <c r="B1607" s="21">
        <v>262.3836</v>
      </c>
      <c r="C1607">
        <v>268.48719999999997</v>
      </c>
      <c r="D1607">
        <v>128.88975099999999</v>
      </c>
      <c r="E1607" s="22">
        <v>99.118217000000001</v>
      </c>
    </row>
    <row r="1608" spans="1:5" x14ac:dyDescent="0.4">
      <c r="A1608" s="27">
        <v>44320</v>
      </c>
      <c r="B1608" s="21">
        <v>258.80869999999999</v>
      </c>
      <c r="C1608">
        <v>269.00330000000002</v>
      </c>
      <c r="D1608">
        <v>128.888024</v>
      </c>
      <c r="E1608" s="22">
        <v>99.116656000000006</v>
      </c>
    </row>
    <row r="1609" spans="1:5" x14ac:dyDescent="0.4">
      <c r="A1609" s="27">
        <v>44321</v>
      </c>
      <c r="B1609" s="21">
        <v>263.7047</v>
      </c>
      <c r="C1609">
        <v>268.70979999999997</v>
      </c>
      <c r="D1609">
        <v>128.88631000000001</v>
      </c>
      <c r="E1609" s="22">
        <v>99.115103000000005</v>
      </c>
    </row>
    <row r="1610" spans="1:5" x14ac:dyDescent="0.4">
      <c r="A1610" s="27">
        <v>44322</v>
      </c>
      <c r="B1610" s="21">
        <v>263.62</v>
      </c>
      <c r="C1610">
        <v>268.64999999999998</v>
      </c>
      <c r="D1610">
        <v>128.88458299999999</v>
      </c>
      <c r="E1610" s="22">
        <v>99.113545000000002</v>
      </c>
    </row>
    <row r="1611" spans="1:5" x14ac:dyDescent="0.4">
      <c r="A1611" s="27">
        <v>44323</v>
      </c>
      <c r="B1611" s="21">
        <v>265.95209999999997</v>
      </c>
      <c r="C1611">
        <v>268.29109999999997</v>
      </c>
      <c r="D1611">
        <v>128.882868</v>
      </c>
      <c r="E1611" s="22">
        <v>99.111988999999994</v>
      </c>
    </row>
    <row r="1612" spans="1:5" x14ac:dyDescent="0.4">
      <c r="A1612" s="27">
        <v>44326</v>
      </c>
      <c r="B1612" s="21">
        <v>266.34980000000002</v>
      </c>
      <c r="C1612">
        <v>268.28370000000001</v>
      </c>
      <c r="D1612">
        <v>128.87773899999999</v>
      </c>
      <c r="E1612" s="22">
        <v>99.107338999999996</v>
      </c>
    </row>
    <row r="1613" spans="1:5" x14ac:dyDescent="0.4">
      <c r="A1613" s="27">
        <v>44327</v>
      </c>
      <c r="B1613" s="21">
        <v>261.07010000000002</v>
      </c>
      <c r="C1613">
        <v>267.32310000000001</v>
      </c>
      <c r="D1613">
        <v>128.876012</v>
      </c>
      <c r="E1613" s="22">
        <v>99.105778000000001</v>
      </c>
    </row>
    <row r="1614" spans="1:5" x14ac:dyDescent="0.4">
      <c r="A1614" s="27">
        <v>44328</v>
      </c>
      <c r="B1614" s="21">
        <v>262.08350000000002</v>
      </c>
      <c r="C1614">
        <v>266.72250000000003</v>
      </c>
      <c r="D1614">
        <v>128.87429800000001</v>
      </c>
      <c r="E1614" s="22">
        <v>99.104225999999997</v>
      </c>
    </row>
    <row r="1615" spans="1:5" x14ac:dyDescent="0.4">
      <c r="A1615" s="27">
        <v>44329</v>
      </c>
      <c r="B1615" s="21">
        <v>261.80070000000001</v>
      </c>
      <c r="C1615">
        <v>266.52390000000003</v>
      </c>
      <c r="D1615">
        <v>128.87258399999999</v>
      </c>
      <c r="E1615" s="22">
        <v>99.102672999999996</v>
      </c>
    </row>
    <row r="1616" spans="1:5" x14ac:dyDescent="0.4">
      <c r="A1616" s="27">
        <v>44330</v>
      </c>
      <c r="B1616" s="21">
        <v>264.9853</v>
      </c>
      <c r="C1616">
        <v>266.48680000000002</v>
      </c>
      <c r="D1616">
        <v>128.87087</v>
      </c>
      <c r="E1616" s="22">
        <v>99.101119999999995</v>
      </c>
    </row>
    <row r="1617" spans="1:5" x14ac:dyDescent="0.4">
      <c r="A1617" s="27">
        <v>44333</v>
      </c>
      <c r="B1617" s="21">
        <v>264.97750000000002</v>
      </c>
      <c r="C1617">
        <v>266.1866</v>
      </c>
      <c r="D1617">
        <v>128.86572799999999</v>
      </c>
      <c r="E1617" s="22">
        <v>99.096463</v>
      </c>
    </row>
    <row r="1618" spans="1:5" x14ac:dyDescent="0.4">
      <c r="A1618" s="27">
        <v>44334</v>
      </c>
      <c r="B1618" s="21">
        <v>265.35120000000001</v>
      </c>
      <c r="C1618">
        <v>266.1902</v>
      </c>
      <c r="D1618">
        <v>128.864014</v>
      </c>
      <c r="E1618" s="22">
        <v>99.094907000000006</v>
      </c>
    </row>
    <row r="1619" spans="1:5" x14ac:dyDescent="0.4">
      <c r="A1619" s="27">
        <v>44335</v>
      </c>
      <c r="B1619" s="21">
        <v>261.28100000000001</v>
      </c>
      <c r="C1619">
        <v>266.13159999999999</v>
      </c>
      <c r="D1619">
        <v>128.862326</v>
      </c>
      <c r="E1619" s="22">
        <v>99.093371000000005</v>
      </c>
    </row>
    <row r="1620" spans="1:5" x14ac:dyDescent="0.4">
      <c r="A1620" s="27">
        <v>44336</v>
      </c>
      <c r="B1620" s="21">
        <v>264.74619999999999</v>
      </c>
      <c r="C1620">
        <v>266.40460000000002</v>
      </c>
      <c r="D1620">
        <v>128.860612</v>
      </c>
      <c r="E1620" s="22">
        <v>99.091819000000001</v>
      </c>
    </row>
    <row r="1621" spans="1:5" x14ac:dyDescent="0.4">
      <c r="A1621" s="27">
        <v>44337</v>
      </c>
      <c r="B1621" s="21">
        <v>266.29930000000002</v>
      </c>
      <c r="C1621">
        <v>266.8279</v>
      </c>
      <c r="D1621">
        <v>128.85889800000001</v>
      </c>
      <c r="E1621" s="22">
        <v>99.090269000000006</v>
      </c>
    </row>
    <row r="1622" spans="1:5" x14ac:dyDescent="0.4">
      <c r="A1622" s="27">
        <v>44340</v>
      </c>
      <c r="B1622" s="21">
        <v>266.77199999999999</v>
      </c>
      <c r="C1622">
        <v>267.03739999999999</v>
      </c>
      <c r="D1622">
        <v>128.853757</v>
      </c>
      <c r="E1622" s="22">
        <v>99.085611999999998</v>
      </c>
    </row>
    <row r="1623" spans="1:5" x14ac:dyDescent="0.4">
      <c r="A1623" s="27">
        <v>44341</v>
      </c>
      <c r="B1623" s="21">
        <v>266.76479999999998</v>
      </c>
      <c r="C1623">
        <v>267.62619999999998</v>
      </c>
      <c r="D1623">
        <v>128.85203000000001</v>
      </c>
      <c r="E1623" s="22">
        <v>99.084053999999995</v>
      </c>
    </row>
    <row r="1624" spans="1:5" x14ac:dyDescent="0.4">
      <c r="A1624" s="27">
        <v>44342</v>
      </c>
      <c r="B1624" s="21">
        <v>266.79579999999999</v>
      </c>
      <c r="C1624">
        <v>268.34820000000002</v>
      </c>
      <c r="D1624">
        <v>128.85031599999999</v>
      </c>
      <c r="E1624" s="22">
        <v>99.082498999999999</v>
      </c>
    </row>
    <row r="1625" spans="1:5" x14ac:dyDescent="0.4">
      <c r="A1625" s="27">
        <v>44343</v>
      </c>
      <c r="B1625" s="21">
        <v>267.40629999999999</v>
      </c>
      <c r="C1625">
        <v>267.77339999999998</v>
      </c>
      <c r="D1625">
        <v>128.848603</v>
      </c>
      <c r="E1625" s="22">
        <v>99.080944000000002</v>
      </c>
    </row>
    <row r="1626" spans="1:5" x14ac:dyDescent="0.4">
      <c r="A1626" s="27">
        <v>44344</v>
      </c>
      <c r="B1626" s="21">
        <v>268.9615</v>
      </c>
      <c r="C1626">
        <v>267.94690000000003</v>
      </c>
      <c r="D1626">
        <v>128.846889</v>
      </c>
      <c r="E1626" s="22">
        <v>99.079391999999999</v>
      </c>
    </row>
    <row r="1627" spans="1:5" x14ac:dyDescent="0.4">
      <c r="A1627" s="27">
        <v>44347</v>
      </c>
      <c r="B1627" s="21">
        <v>267.56760000000003</v>
      </c>
      <c r="C1627">
        <v>268.01819999999998</v>
      </c>
      <c r="D1627">
        <v>128.841722</v>
      </c>
      <c r="E1627" s="22">
        <v>99.074718000000004</v>
      </c>
    </row>
    <row r="1628" spans="1:5" x14ac:dyDescent="0.4">
      <c r="A1628" s="27">
        <v>44348</v>
      </c>
      <c r="B1628" s="21">
        <v>269.55540000000002</v>
      </c>
      <c r="C1628">
        <v>268.00240000000002</v>
      </c>
      <c r="D1628">
        <v>128.83998299999999</v>
      </c>
      <c r="E1628" s="22">
        <v>99.073147000000006</v>
      </c>
    </row>
    <row r="1629" spans="1:5" x14ac:dyDescent="0.4">
      <c r="A1629" s="27">
        <v>44349</v>
      </c>
      <c r="B1629" s="21">
        <v>270.45830000000001</v>
      </c>
      <c r="C1629">
        <v>268.33240000000001</v>
      </c>
      <c r="D1629">
        <v>128.838269</v>
      </c>
      <c r="E1629" s="22">
        <v>99.071595000000002</v>
      </c>
    </row>
    <row r="1630" spans="1:5" x14ac:dyDescent="0.4">
      <c r="A1630" s="27">
        <v>44350</v>
      </c>
      <c r="B1630" s="21">
        <v>270.27510000000001</v>
      </c>
      <c r="C1630">
        <v>268.11059999999998</v>
      </c>
      <c r="D1630">
        <v>128.836556</v>
      </c>
      <c r="E1630" s="22">
        <v>99.070046000000005</v>
      </c>
    </row>
    <row r="1631" spans="1:5" x14ac:dyDescent="0.4">
      <c r="A1631" s="27">
        <v>44351</v>
      </c>
      <c r="B1631" s="21">
        <v>271.26909999999998</v>
      </c>
      <c r="C1631">
        <v>268.47730000000001</v>
      </c>
      <c r="D1631">
        <v>128.83484200000001</v>
      </c>
      <c r="E1631" s="22">
        <v>99.068495999999996</v>
      </c>
    </row>
    <row r="1632" spans="1:5" x14ac:dyDescent="0.4">
      <c r="A1632" s="27">
        <v>44354</v>
      </c>
      <c r="B1632" s="21">
        <v>272.02289999999999</v>
      </c>
      <c r="C1632">
        <v>268.25220000000002</v>
      </c>
      <c r="D1632">
        <v>128.829714</v>
      </c>
      <c r="E1632" s="22">
        <v>99.063847999999993</v>
      </c>
    </row>
    <row r="1633" spans="1:5" x14ac:dyDescent="0.4">
      <c r="A1633" s="27">
        <v>44355</v>
      </c>
      <c r="B1633" s="21">
        <v>272.23579999999998</v>
      </c>
      <c r="C1633">
        <v>268.69690000000003</v>
      </c>
      <c r="D1633">
        <v>128.828001</v>
      </c>
      <c r="E1633" s="22">
        <v>99.062296000000003</v>
      </c>
    </row>
    <row r="1634" spans="1:5" x14ac:dyDescent="0.4">
      <c r="A1634" s="27">
        <v>44356</v>
      </c>
      <c r="B1634" s="21">
        <v>272.54629999999997</v>
      </c>
      <c r="C1634">
        <v>269.28379999999999</v>
      </c>
      <c r="D1634">
        <v>128.82628800000001</v>
      </c>
      <c r="E1634" s="22">
        <v>99.060747000000006</v>
      </c>
    </row>
    <row r="1635" spans="1:5" x14ac:dyDescent="0.4">
      <c r="A1635" s="27">
        <v>44357</v>
      </c>
      <c r="B1635" s="21">
        <v>272.72820000000002</v>
      </c>
      <c r="C1635">
        <v>269.1345</v>
      </c>
      <c r="D1635">
        <v>128.82457400000001</v>
      </c>
      <c r="E1635" s="22">
        <v>99.059195000000003</v>
      </c>
    </row>
    <row r="1636" spans="1:5" x14ac:dyDescent="0.4">
      <c r="A1636" s="27">
        <v>44358</v>
      </c>
      <c r="B1636" s="21">
        <v>274.55500000000001</v>
      </c>
      <c r="C1636">
        <v>269.68700000000001</v>
      </c>
      <c r="D1636">
        <v>128.82287400000001</v>
      </c>
      <c r="E1636" s="22">
        <v>99.057651000000007</v>
      </c>
    </row>
    <row r="1637" spans="1:5" x14ac:dyDescent="0.4">
      <c r="A1637" s="27">
        <v>44361</v>
      </c>
      <c r="B1637" s="21">
        <v>275.06720000000001</v>
      </c>
      <c r="C1637">
        <v>269.34989999999999</v>
      </c>
      <c r="D1637">
        <v>128.81770800000001</v>
      </c>
      <c r="E1637" s="22">
        <v>99.052978999999993</v>
      </c>
    </row>
    <row r="1638" spans="1:5" x14ac:dyDescent="0.4">
      <c r="A1638" s="27">
        <v>44362</v>
      </c>
      <c r="B1638" s="21">
        <v>275.58199999999999</v>
      </c>
      <c r="C1638">
        <v>269.06970000000001</v>
      </c>
      <c r="D1638">
        <v>128.81599499999999</v>
      </c>
      <c r="E1638" s="22">
        <v>99.051424999999995</v>
      </c>
    </row>
    <row r="1639" spans="1:5" x14ac:dyDescent="0.4">
      <c r="A1639" s="27">
        <v>44363</v>
      </c>
      <c r="B1639" s="21">
        <v>276.17520000000002</v>
      </c>
      <c r="C1639">
        <v>269.1893</v>
      </c>
      <c r="D1639">
        <v>128.81429399999999</v>
      </c>
      <c r="E1639" s="22">
        <v>99.049880999999999</v>
      </c>
    </row>
    <row r="1640" spans="1:5" x14ac:dyDescent="0.4">
      <c r="A1640" s="27">
        <v>44364</v>
      </c>
      <c r="B1640" s="21">
        <v>275.9966</v>
      </c>
      <c r="C1640">
        <v>268.88889999999998</v>
      </c>
      <c r="D1640">
        <v>128.81259399999999</v>
      </c>
      <c r="E1640" s="22">
        <v>99.048334999999994</v>
      </c>
    </row>
    <row r="1641" spans="1:5" x14ac:dyDescent="0.4">
      <c r="A1641" s="27">
        <v>44365</v>
      </c>
      <c r="B1641" s="21">
        <v>271.49810000000002</v>
      </c>
      <c r="C1641">
        <v>268.97800000000001</v>
      </c>
      <c r="D1641">
        <v>128.81088099999999</v>
      </c>
      <c r="E1641" s="22">
        <v>99.046785999999997</v>
      </c>
    </row>
    <row r="1642" spans="1:5" x14ac:dyDescent="0.4">
      <c r="A1642" s="27">
        <v>44368</v>
      </c>
      <c r="B1642" s="21">
        <v>273.46140000000003</v>
      </c>
      <c r="C1642">
        <v>268.6157</v>
      </c>
      <c r="D1642">
        <v>128.80575400000001</v>
      </c>
      <c r="E1642" s="22">
        <v>99.042139000000006</v>
      </c>
    </row>
    <row r="1643" spans="1:5" x14ac:dyDescent="0.4">
      <c r="A1643" s="27">
        <v>44369</v>
      </c>
      <c r="B1643" s="21">
        <v>274.12599999999998</v>
      </c>
      <c r="C1643">
        <v>268.41559999999998</v>
      </c>
      <c r="D1643">
        <v>128.80404100000001</v>
      </c>
      <c r="E1643" s="22">
        <v>99.040587000000002</v>
      </c>
    </row>
    <row r="1644" spans="1:5" x14ac:dyDescent="0.4">
      <c r="A1644" s="27">
        <v>44370</v>
      </c>
      <c r="B1644" s="21">
        <v>272.18729999999999</v>
      </c>
      <c r="C1644">
        <v>268.5566</v>
      </c>
      <c r="D1644">
        <v>128.80232799999999</v>
      </c>
      <c r="E1644" s="22">
        <v>99.039034999999998</v>
      </c>
    </row>
    <row r="1645" spans="1:5" x14ac:dyDescent="0.4">
      <c r="A1645" s="27">
        <v>44371</v>
      </c>
      <c r="B1645" s="21">
        <v>274.6891</v>
      </c>
      <c r="C1645">
        <v>268.7022</v>
      </c>
      <c r="D1645">
        <v>128.80061499999999</v>
      </c>
      <c r="E1645" s="22">
        <v>99.037486999999999</v>
      </c>
    </row>
    <row r="1646" spans="1:5" x14ac:dyDescent="0.4">
      <c r="A1646" s="27">
        <v>44372</v>
      </c>
      <c r="B1646" s="21">
        <v>275.07470000000001</v>
      </c>
      <c r="C1646">
        <v>267.89819999999997</v>
      </c>
      <c r="D1646">
        <v>128.798902</v>
      </c>
      <c r="E1646" s="22">
        <v>99.035932000000003</v>
      </c>
    </row>
    <row r="1647" spans="1:5" x14ac:dyDescent="0.4">
      <c r="A1647" s="27">
        <v>44375</v>
      </c>
      <c r="B1647" s="21">
        <v>273.33819999999997</v>
      </c>
      <c r="C1647">
        <v>268.48599999999999</v>
      </c>
      <c r="D1647">
        <v>128.79374999999999</v>
      </c>
      <c r="E1647" s="22">
        <v>99.031268999999995</v>
      </c>
    </row>
    <row r="1648" spans="1:5" x14ac:dyDescent="0.4">
      <c r="A1648" s="27">
        <v>44376</v>
      </c>
      <c r="B1648" s="21">
        <v>274.20580000000001</v>
      </c>
      <c r="C1648">
        <v>268.39640000000003</v>
      </c>
      <c r="D1648">
        <v>128.792024</v>
      </c>
      <c r="E1648" s="22">
        <v>99.029712000000004</v>
      </c>
    </row>
    <row r="1649" spans="1:5" x14ac:dyDescent="0.4">
      <c r="A1649" s="27">
        <v>44377</v>
      </c>
      <c r="B1649" s="21">
        <v>272.10599999999999</v>
      </c>
      <c r="C1649">
        <v>269.0675</v>
      </c>
      <c r="D1649">
        <v>128.79029800000001</v>
      </c>
      <c r="E1649" s="22">
        <v>99.028149999999997</v>
      </c>
    </row>
    <row r="1650" spans="1:5" x14ac:dyDescent="0.4">
      <c r="A1650" s="27">
        <v>44378</v>
      </c>
      <c r="B1650" s="21">
        <v>273.72480000000002</v>
      </c>
      <c r="C1650">
        <v>269.09550000000002</v>
      </c>
      <c r="D1650">
        <v>128.788521</v>
      </c>
      <c r="E1650" s="22">
        <v>99.026551999999995</v>
      </c>
    </row>
    <row r="1651" spans="1:5" x14ac:dyDescent="0.4">
      <c r="A1651" s="27">
        <v>44379</v>
      </c>
      <c r="B1651" s="21">
        <v>274.33940000000001</v>
      </c>
      <c r="C1651">
        <v>269.6481</v>
      </c>
      <c r="D1651">
        <v>128.78680800000001</v>
      </c>
      <c r="E1651" s="22">
        <v>99.024997999999997</v>
      </c>
    </row>
    <row r="1652" spans="1:5" x14ac:dyDescent="0.4">
      <c r="A1652" s="27">
        <v>44382</v>
      </c>
      <c r="B1652" s="21">
        <v>275.23090000000002</v>
      </c>
      <c r="C1652">
        <v>269.26760000000002</v>
      </c>
      <c r="D1652">
        <v>128.781656</v>
      </c>
      <c r="E1652" s="22">
        <v>99.020335000000003</v>
      </c>
    </row>
    <row r="1653" spans="1:5" x14ac:dyDescent="0.4">
      <c r="A1653" s="27">
        <v>44383</v>
      </c>
      <c r="B1653" s="21">
        <v>273.76100000000002</v>
      </c>
      <c r="C1653">
        <v>270.32170000000002</v>
      </c>
      <c r="D1653">
        <v>128.779931</v>
      </c>
      <c r="E1653" s="22">
        <v>99.018777999999998</v>
      </c>
    </row>
    <row r="1654" spans="1:5" x14ac:dyDescent="0.4">
      <c r="A1654" s="27">
        <v>44384</v>
      </c>
      <c r="B1654" s="21">
        <v>275.90359999999998</v>
      </c>
      <c r="C1654">
        <v>270.79509999999999</v>
      </c>
      <c r="D1654">
        <v>128.77821800000001</v>
      </c>
      <c r="E1654" s="22">
        <v>99.017223999999999</v>
      </c>
    </row>
    <row r="1655" spans="1:5" x14ac:dyDescent="0.4">
      <c r="A1655" s="27">
        <v>44385</v>
      </c>
      <c r="B1655" s="21">
        <v>271.28469999999999</v>
      </c>
      <c r="C1655">
        <v>270.89400000000001</v>
      </c>
      <c r="D1655">
        <v>128.77650499999999</v>
      </c>
      <c r="E1655" s="22">
        <v>99.01567</v>
      </c>
    </row>
    <row r="1656" spans="1:5" x14ac:dyDescent="0.4">
      <c r="A1656" s="27">
        <v>44386</v>
      </c>
      <c r="B1656" s="21">
        <v>274.91609999999997</v>
      </c>
      <c r="C1656">
        <v>270.40570000000002</v>
      </c>
      <c r="D1656">
        <v>128.77477999999999</v>
      </c>
      <c r="E1656" s="22">
        <v>99.014112999999995</v>
      </c>
    </row>
    <row r="1657" spans="1:5" x14ac:dyDescent="0.4">
      <c r="A1657" s="27">
        <v>44389</v>
      </c>
      <c r="B1657" s="21">
        <v>276.80520000000001</v>
      </c>
      <c r="C1657">
        <v>270.61669999999998</v>
      </c>
      <c r="D1657">
        <v>128.76961600000001</v>
      </c>
      <c r="E1657" s="22">
        <v>99.009443000000005</v>
      </c>
    </row>
    <row r="1658" spans="1:5" x14ac:dyDescent="0.4">
      <c r="A1658" s="27">
        <v>44390</v>
      </c>
      <c r="B1658" s="21">
        <v>276.91030000000001</v>
      </c>
      <c r="C1658">
        <v>270.79199999999997</v>
      </c>
      <c r="D1658">
        <v>128.76788999999999</v>
      </c>
      <c r="E1658" s="22">
        <v>99.007880999999998</v>
      </c>
    </row>
    <row r="1659" spans="1:5" x14ac:dyDescent="0.4">
      <c r="A1659" s="27">
        <v>44391</v>
      </c>
      <c r="B1659" s="21">
        <v>276.74560000000002</v>
      </c>
      <c r="C1659">
        <v>271.01299999999998</v>
      </c>
      <c r="D1659">
        <v>128.766165</v>
      </c>
      <c r="E1659" s="22">
        <v>99.006325000000004</v>
      </c>
    </row>
    <row r="1660" spans="1:5" x14ac:dyDescent="0.4">
      <c r="A1660" s="27">
        <v>44392</v>
      </c>
      <c r="B1660" s="21">
        <v>274.07159999999999</v>
      </c>
      <c r="C1660">
        <v>271.20440000000002</v>
      </c>
      <c r="D1660">
        <v>128.76443900000001</v>
      </c>
      <c r="E1660" s="22">
        <v>99.004767999999999</v>
      </c>
    </row>
    <row r="1661" spans="1:5" x14ac:dyDescent="0.4">
      <c r="A1661" s="27">
        <v>44393</v>
      </c>
      <c r="B1661" s="21">
        <v>273.17610000000002</v>
      </c>
      <c r="C1661">
        <v>271.59589999999997</v>
      </c>
      <c r="D1661">
        <v>128.76271399999999</v>
      </c>
      <c r="E1661" s="22">
        <v>99.003210999999993</v>
      </c>
    </row>
    <row r="1662" spans="1:5" x14ac:dyDescent="0.4">
      <c r="A1662" s="27">
        <v>44396</v>
      </c>
      <c r="B1662" s="21">
        <v>266.92770000000002</v>
      </c>
      <c r="C1662">
        <v>272.18920000000003</v>
      </c>
      <c r="D1662">
        <v>128.75753800000001</v>
      </c>
      <c r="E1662" s="22">
        <v>98.998532999999995</v>
      </c>
    </row>
    <row r="1663" spans="1:5" x14ac:dyDescent="0.4">
      <c r="A1663" s="27">
        <v>44397</v>
      </c>
      <c r="B1663" s="21">
        <v>268.27449999999999</v>
      </c>
      <c r="C1663">
        <v>272.57909999999998</v>
      </c>
      <c r="D1663">
        <v>128.75581199999999</v>
      </c>
      <c r="E1663" s="22">
        <v>98.996977000000001</v>
      </c>
    </row>
    <row r="1664" spans="1:5" x14ac:dyDescent="0.4">
      <c r="A1664" s="27">
        <v>44398</v>
      </c>
      <c r="B1664" s="21">
        <v>272.65069999999997</v>
      </c>
      <c r="C1664">
        <v>272.1395</v>
      </c>
      <c r="D1664">
        <v>128.754087</v>
      </c>
      <c r="E1664" s="22">
        <v>98.995418000000001</v>
      </c>
    </row>
    <row r="1665" spans="1:5" x14ac:dyDescent="0.4">
      <c r="A1665" s="27">
        <v>44399</v>
      </c>
      <c r="B1665" s="21">
        <v>273.92919999999998</v>
      </c>
      <c r="C1665">
        <v>272.66860000000003</v>
      </c>
      <c r="D1665">
        <v>128.75236200000001</v>
      </c>
      <c r="E1665" s="22">
        <v>98.993855999999994</v>
      </c>
    </row>
    <row r="1666" spans="1:5" x14ac:dyDescent="0.4">
      <c r="A1666" s="27">
        <v>44400</v>
      </c>
      <c r="B1666" s="21">
        <v>276.9896</v>
      </c>
      <c r="C1666">
        <v>272.75940000000003</v>
      </c>
      <c r="D1666">
        <v>128.75064900000001</v>
      </c>
      <c r="E1666" s="22">
        <v>98.992307999999994</v>
      </c>
    </row>
    <row r="1667" spans="1:5" x14ac:dyDescent="0.4">
      <c r="A1667" s="27">
        <v>44403</v>
      </c>
      <c r="B1667" s="21">
        <v>276.77940000000001</v>
      </c>
      <c r="C1667">
        <v>272.73520000000002</v>
      </c>
      <c r="D1667">
        <v>128.745473</v>
      </c>
      <c r="E1667" s="22">
        <v>98.987629999999996</v>
      </c>
    </row>
    <row r="1668" spans="1:5" x14ac:dyDescent="0.4">
      <c r="A1668" s="27">
        <v>44404</v>
      </c>
      <c r="B1668" s="21">
        <v>275.26530000000002</v>
      </c>
      <c r="C1668">
        <v>273.00229999999999</v>
      </c>
      <c r="D1668">
        <v>128.74374800000001</v>
      </c>
      <c r="E1668" s="22">
        <v>98.986070999999995</v>
      </c>
    </row>
    <row r="1669" spans="1:5" x14ac:dyDescent="0.4">
      <c r="A1669" s="27">
        <v>44405</v>
      </c>
      <c r="B1669" s="21">
        <v>277.06079999999997</v>
      </c>
      <c r="C1669">
        <v>272.99829999999997</v>
      </c>
      <c r="D1669">
        <v>128.74203600000001</v>
      </c>
      <c r="E1669" s="22">
        <v>98.984522999999996</v>
      </c>
    </row>
    <row r="1670" spans="1:5" x14ac:dyDescent="0.4">
      <c r="A1670" s="27">
        <v>44406</v>
      </c>
      <c r="B1670" s="21">
        <v>278.529</v>
      </c>
      <c r="C1670">
        <v>273.09690000000001</v>
      </c>
      <c r="D1670">
        <v>128.74031099999999</v>
      </c>
      <c r="E1670" s="22">
        <v>98.982963999999996</v>
      </c>
    </row>
    <row r="1671" spans="1:5" x14ac:dyDescent="0.4">
      <c r="A1671" s="27">
        <v>44407</v>
      </c>
      <c r="B1671" s="21">
        <v>277.1601</v>
      </c>
      <c r="C1671">
        <v>273.2724</v>
      </c>
      <c r="D1671">
        <v>128.738586</v>
      </c>
      <c r="E1671" s="22">
        <v>98.981404999999995</v>
      </c>
    </row>
    <row r="1672" spans="1:5" x14ac:dyDescent="0.4">
      <c r="A1672" s="27">
        <v>44410</v>
      </c>
      <c r="B1672" s="21">
        <v>278.733</v>
      </c>
      <c r="C1672">
        <v>273.75850000000003</v>
      </c>
      <c r="D1672">
        <v>128.733372</v>
      </c>
      <c r="E1672" s="22">
        <v>98.976695000000007</v>
      </c>
    </row>
    <row r="1673" spans="1:5" x14ac:dyDescent="0.4">
      <c r="A1673" s="27">
        <v>44411</v>
      </c>
      <c r="B1673" s="21">
        <v>279.37619999999998</v>
      </c>
      <c r="C1673">
        <v>273.93770000000001</v>
      </c>
      <c r="D1673">
        <v>128.73166000000001</v>
      </c>
      <c r="E1673" s="22">
        <v>98.975142000000005</v>
      </c>
    </row>
    <row r="1674" spans="1:5" x14ac:dyDescent="0.4">
      <c r="A1674" s="27">
        <v>44412</v>
      </c>
      <c r="B1674" s="21">
        <v>280.98360000000002</v>
      </c>
      <c r="C1674">
        <v>273.93020000000001</v>
      </c>
      <c r="D1674">
        <v>128.72992199999999</v>
      </c>
      <c r="E1674" s="22">
        <v>98.973574999999997</v>
      </c>
    </row>
    <row r="1675" spans="1:5" x14ac:dyDescent="0.4">
      <c r="A1675" s="27">
        <v>44413</v>
      </c>
      <c r="B1675" s="21">
        <v>282.08240000000001</v>
      </c>
      <c r="C1675">
        <v>274.43790000000001</v>
      </c>
      <c r="D1675">
        <v>128.728184</v>
      </c>
      <c r="E1675" s="22">
        <v>98.972008000000002</v>
      </c>
    </row>
    <row r="1676" spans="1:5" x14ac:dyDescent="0.4">
      <c r="A1676" s="27">
        <v>44414</v>
      </c>
      <c r="B1676" s="21">
        <v>282.17399999999998</v>
      </c>
      <c r="C1676">
        <v>273.5523</v>
      </c>
      <c r="D1676">
        <v>128.72645900000001</v>
      </c>
      <c r="E1676" s="22">
        <v>98.970451999999995</v>
      </c>
    </row>
    <row r="1677" spans="1:5" x14ac:dyDescent="0.4">
      <c r="A1677" s="27">
        <v>44417</v>
      </c>
      <c r="B1677" s="21">
        <v>282.72309999999999</v>
      </c>
      <c r="C1677">
        <v>273.69369999999998</v>
      </c>
      <c r="D1677">
        <v>128.721271</v>
      </c>
      <c r="E1677" s="22">
        <v>98.965759000000006</v>
      </c>
    </row>
    <row r="1678" spans="1:5" x14ac:dyDescent="0.4">
      <c r="A1678" s="27">
        <v>44418</v>
      </c>
      <c r="B1678" s="21">
        <v>283.69299999999998</v>
      </c>
      <c r="C1678">
        <v>273.90859999999998</v>
      </c>
      <c r="D1678">
        <v>128.71954600000001</v>
      </c>
      <c r="E1678" s="22">
        <v>98.964196999999999</v>
      </c>
    </row>
    <row r="1679" spans="1:5" x14ac:dyDescent="0.4">
      <c r="A1679" s="27">
        <v>44419</v>
      </c>
      <c r="B1679" s="21">
        <v>284.87920000000003</v>
      </c>
      <c r="C1679">
        <v>273.70339999999999</v>
      </c>
      <c r="D1679">
        <v>128.71782200000001</v>
      </c>
      <c r="E1679" s="22">
        <v>98.962638999999996</v>
      </c>
    </row>
    <row r="1680" spans="1:5" x14ac:dyDescent="0.4">
      <c r="A1680" s="27">
        <v>44420</v>
      </c>
      <c r="B1680" s="21">
        <v>285.47590000000002</v>
      </c>
      <c r="C1680">
        <v>273.78890000000001</v>
      </c>
      <c r="D1680">
        <v>128.71609699999999</v>
      </c>
      <c r="E1680" s="22">
        <v>98.961079999999995</v>
      </c>
    </row>
    <row r="1681" spans="1:5" x14ac:dyDescent="0.4">
      <c r="A1681" s="27">
        <v>44421</v>
      </c>
      <c r="B1681" s="21">
        <v>285.99400000000003</v>
      </c>
      <c r="C1681">
        <v>273.84379999999999</v>
      </c>
      <c r="D1681">
        <v>128.714372</v>
      </c>
      <c r="E1681" s="22">
        <v>98.959519</v>
      </c>
    </row>
    <row r="1682" spans="1:5" x14ac:dyDescent="0.4">
      <c r="A1682" s="27">
        <v>44424</v>
      </c>
      <c r="B1682" s="21">
        <v>284.43099999999998</v>
      </c>
      <c r="C1682">
        <v>273.90519999999998</v>
      </c>
      <c r="D1682">
        <v>128.70918499999999</v>
      </c>
      <c r="E1682" s="22">
        <v>98.954825999999997</v>
      </c>
    </row>
    <row r="1683" spans="1:5" x14ac:dyDescent="0.4">
      <c r="A1683" s="27">
        <v>44425</v>
      </c>
      <c r="B1683" s="21">
        <v>284.70010000000002</v>
      </c>
      <c r="C1683">
        <v>273.80849999999998</v>
      </c>
      <c r="D1683">
        <v>128.70746</v>
      </c>
      <c r="E1683" s="22">
        <v>98.953261999999995</v>
      </c>
    </row>
    <row r="1684" spans="1:5" x14ac:dyDescent="0.4">
      <c r="A1684" s="27">
        <v>44426</v>
      </c>
      <c r="B1684" s="21">
        <v>284.93759999999997</v>
      </c>
      <c r="C1684">
        <v>273.99939999999998</v>
      </c>
      <c r="D1684">
        <v>128.705735</v>
      </c>
      <c r="E1684" s="22">
        <v>98.951701</v>
      </c>
    </row>
    <row r="1685" spans="1:5" x14ac:dyDescent="0.4">
      <c r="A1685" s="27">
        <v>44427</v>
      </c>
      <c r="B1685" s="21">
        <v>280.67259999999999</v>
      </c>
      <c r="C1685">
        <v>274.09050000000002</v>
      </c>
      <c r="D1685">
        <v>128.70401100000001</v>
      </c>
      <c r="E1685" s="22">
        <v>98.950142999999997</v>
      </c>
    </row>
    <row r="1686" spans="1:5" x14ac:dyDescent="0.4">
      <c r="A1686" s="27">
        <v>44428</v>
      </c>
      <c r="B1686" s="21">
        <v>281.5684</v>
      </c>
      <c r="C1686">
        <v>274.24419999999998</v>
      </c>
      <c r="D1686">
        <v>128.70228599999999</v>
      </c>
      <c r="E1686" s="22">
        <v>98.948583999999997</v>
      </c>
    </row>
    <row r="1687" spans="1:5" x14ac:dyDescent="0.4">
      <c r="A1687" s="27">
        <v>44431</v>
      </c>
      <c r="B1687" s="21">
        <v>283.423</v>
      </c>
      <c r="C1687">
        <v>273.92309999999998</v>
      </c>
      <c r="D1687">
        <v>128.697112</v>
      </c>
      <c r="E1687" s="22">
        <v>98.943909000000005</v>
      </c>
    </row>
    <row r="1688" spans="1:5" x14ac:dyDescent="0.4">
      <c r="A1688" s="27">
        <v>44432</v>
      </c>
      <c r="B1688" s="21">
        <v>283.38679999999999</v>
      </c>
      <c r="C1688">
        <v>273.87700000000001</v>
      </c>
      <c r="D1688">
        <v>128.69538800000001</v>
      </c>
      <c r="E1688" s="22">
        <v>98.942347999999996</v>
      </c>
    </row>
    <row r="1689" spans="1:5" x14ac:dyDescent="0.4">
      <c r="A1689" s="27">
        <v>44433</v>
      </c>
      <c r="B1689" s="21">
        <v>283.33280000000002</v>
      </c>
      <c r="C1689">
        <v>272.67649999999998</v>
      </c>
      <c r="D1689">
        <v>128.69366299999999</v>
      </c>
      <c r="E1689" s="22">
        <v>98.940788999999995</v>
      </c>
    </row>
    <row r="1690" spans="1:5" x14ac:dyDescent="0.4">
      <c r="A1690" s="27">
        <v>44434</v>
      </c>
      <c r="B1690" s="21">
        <v>282.46300000000002</v>
      </c>
      <c r="C1690">
        <v>272.56569999999999</v>
      </c>
      <c r="D1690">
        <v>128.69195199999999</v>
      </c>
      <c r="E1690" s="22">
        <v>98.939239000000001</v>
      </c>
    </row>
    <row r="1691" spans="1:5" x14ac:dyDescent="0.4">
      <c r="A1691" s="27">
        <v>44435</v>
      </c>
      <c r="B1691" s="21">
        <v>283.62139999999999</v>
      </c>
      <c r="C1691">
        <v>272.61149999999998</v>
      </c>
      <c r="D1691">
        <v>128.690214</v>
      </c>
      <c r="E1691" s="22">
        <v>98.937673000000004</v>
      </c>
    </row>
    <row r="1692" spans="1:5" x14ac:dyDescent="0.4">
      <c r="A1692" s="27">
        <v>44439</v>
      </c>
      <c r="B1692" s="21">
        <v>282.62380000000002</v>
      </c>
      <c r="C1692">
        <v>271.9862</v>
      </c>
      <c r="D1692">
        <v>128.683291</v>
      </c>
      <c r="E1692" s="22">
        <v>98.931411999999995</v>
      </c>
    </row>
    <row r="1693" spans="1:5" x14ac:dyDescent="0.4">
      <c r="A1693" s="27">
        <v>44440</v>
      </c>
      <c r="B1693" s="21">
        <v>284.01819999999998</v>
      </c>
      <c r="C1693">
        <v>271.7921</v>
      </c>
      <c r="D1693">
        <v>128.68155400000001</v>
      </c>
      <c r="E1693" s="22">
        <v>98.929845999999998</v>
      </c>
    </row>
    <row r="1694" spans="1:5" x14ac:dyDescent="0.4">
      <c r="A1694" s="27">
        <v>44441</v>
      </c>
      <c r="B1694" s="21">
        <v>284.99189999999999</v>
      </c>
      <c r="C1694">
        <v>272.05930000000001</v>
      </c>
      <c r="D1694">
        <v>128.67982900000001</v>
      </c>
      <c r="E1694" s="22">
        <v>98.928281999999996</v>
      </c>
    </row>
    <row r="1695" spans="1:5" x14ac:dyDescent="0.4">
      <c r="A1695" s="27">
        <v>44442</v>
      </c>
      <c r="B1695" s="21">
        <v>283.33440000000002</v>
      </c>
      <c r="C1695">
        <v>271.70839999999998</v>
      </c>
      <c r="D1695">
        <v>128.67810499999999</v>
      </c>
      <c r="E1695" s="22">
        <v>98.926719000000006</v>
      </c>
    </row>
    <row r="1696" spans="1:5" x14ac:dyDescent="0.4">
      <c r="A1696" s="27">
        <v>44445</v>
      </c>
      <c r="B1696" s="21">
        <v>285.30349999999999</v>
      </c>
      <c r="C1696">
        <v>271.86130000000003</v>
      </c>
      <c r="D1696">
        <v>128.67291900000001</v>
      </c>
      <c r="E1696" s="22">
        <v>98.922036000000006</v>
      </c>
    </row>
    <row r="1697" spans="1:5" x14ac:dyDescent="0.4">
      <c r="A1697" s="27">
        <v>44446</v>
      </c>
      <c r="B1697" s="21">
        <v>284.03039999999999</v>
      </c>
      <c r="C1697">
        <v>270.96870000000001</v>
      </c>
      <c r="D1697">
        <v>128.67119500000001</v>
      </c>
      <c r="E1697" s="22">
        <v>98.920473000000001</v>
      </c>
    </row>
    <row r="1698" spans="1:5" x14ac:dyDescent="0.4">
      <c r="A1698" s="27">
        <v>44447</v>
      </c>
      <c r="B1698" s="21">
        <v>281.1352</v>
      </c>
      <c r="C1698">
        <v>271.1155</v>
      </c>
      <c r="D1698">
        <v>128.66947099999999</v>
      </c>
      <c r="E1698" s="22">
        <v>98.918908999999999</v>
      </c>
    </row>
    <row r="1699" spans="1:5" x14ac:dyDescent="0.4">
      <c r="A1699" s="27">
        <v>44448</v>
      </c>
      <c r="B1699" s="21">
        <v>280.77260000000001</v>
      </c>
      <c r="C1699">
        <v>271.96440000000001</v>
      </c>
      <c r="D1699">
        <v>128.66774699999999</v>
      </c>
      <c r="E1699" s="22">
        <v>98.917345999999995</v>
      </c>
    </row>
    <row r="1700" spans="1:5" x14ac:dyDescent="0.4">
      <c r="A1700" s="27">
        <v>44449</v>
      </c>
      <c r="B1700" s="21">
        <v>280.07369999999997</v>
      </c>
      <c r="C1700">
        <v>271.4889</v>
      </c>
      <c r="D1700">
        <v>128.66601</v>
      </c>
      <c r="E1700" s="22">
        <v>98.915779000000001</v>
      </c>
    </row>
    <row r="1701" spans="1:5" x14ac:dyDescent="0.4">
      <c r="A1701" s="27">
        <v>44452</v>
      </c>
      <c r="B1701" s="21">
        <v>280.93439999999998</v>
      </c>
      <c r="C1701">
        <v>271.44260000000003</v>
      </c>
      <c r="D1701">
        <v>128.660811</v>
      </c>
      <c r="E1701" s="22">
        <v>98.911080999999996</v>
      </c>
    </row>
    <row r="1702" spans="1:5" x14ac:dyDescent="0.4">
      <c r="A1702" s="27">
        <v>44453</v>
      </c>
      <c r="B1702" s="21">
        <v>280.9323</v>
      </c>
      <c r="C1702">
        <v>271.70549999999997</v>
      </c>
      <c r="D1702">
        <v>128.659075</v>
      </c>
      <c r="E1702" s="22">
        <v>98.909512000000007</v>
      </c>
    </row>
    <row r="1703" spans="1:5" x14ac:dyDescent="0.4">
      <c r="A1703" s="27">
        <v>44454</v>
      </c>
      <c r="B1703" s="21">
        <v>278.78769999999997</v>
      </c>
      <c r="C1703">
        <v>271.23020000000002</v>
      </c>
      <c r="D1703">
        <v>128.65735100000001</v>
      </c>
      <c r="E1703" s="22">
        <v>98.907950999999997</v>
      </c>
    </row>
    <row r="1704" spans="1:5" x14ac:dyDescent="0.4">
      <c r="A1704" s="27">
        <v>44455</v>
      </c>
      <c r="B1704" s="21">
        <v>279.8974</v>
      </c>
      <c r="C1704">
        <v>271.0693</v>
      </c>
      <c r="D1704">
        <v>128.65560099999999</v>
      </c>
      <c r="E1704" s="22">
        <v>98.906377000000006</v>
      </c>
    </row>
    <row r="1705" spans="1:5" x14ac:dyDescent="0.4">
      <c r="A1705" s="27">
        <v>44456</v>
      </c>
      <c r="B1705" s="21">
        <v>277.33969999999999</v>
      </c>
      <c r="C1705">
        <v>270.62479999999999</v>
      </c>
      <c r="D1705">
        <v>128.65387699999999</v>
      </c>
      <c r="E1705" s="22">
        <v>98.904819000000003</v>
      </c>
    </row>
    <row r="1706" spans="1:5" x14ac:dyDescent="0.4">
      <c r="A1706" s="27">
        <v>44459</v>
      </c>
      <c r="B1706" s="21">
        <v>272.7912</v>
      </c>
      <c r="C1706">
        <v>271.07530000000003</v>
      </c>
      <c r="D1706">
        <v>128.64866599999999</v>
      </c>
      <c r="E1706" s="22">
        <v>98.900113000000005</v>
      </c>
    </row>
    <row r="1707" spans="1:5" x14ac:dyDescent="0.4">
      <c r="A1707" s="27">
        <v>44460</v>
      </c>
      <c r="B1707" s="21">
        <v>275.68060000000003</v>
      </c>
      <c r="C1707">
        <v>271.36739999999998</v>
      </c>
      <c r="D1707">
        <v>128.646942</v>
      </c>
      <c r="E1707" s="22">
        <v>98.898557999999994</v>
      </c>
    </row>
    <row r="1708" spans="1:5" x14ac:dyDescent="0.4">
      <c r="A1708" s="27">
        <v>44461</v>
      </c>
      <c r="B1708" s="21">
        <v>278.39240000000001</v>
      </c>
      <c r="C1708">
        <v>271.46069999999997</v>
      </c>
      <c r="D1708">
        <v>128.645206</v>
      </c>
      <c r="E1708" s="22">
        <v>98.896990000000002</v>
      </c>
    </row>
    <row r="1709" spans="1:5" x14ac:dyDescent="0.4">
      <c r="A1709" s="27">
        <v>44462</v>
      </c>
      <c r="B1709" s="21">
        <v>280.95229999999998</v>
      </c>
      <c r="C1709">
        <v>270.37580000000003</v>
      </c>
      <c r="D1709">
        <v>128.64348200000001</v>
      </c>
      <c r="E1709" s="22">
        <v>98.895435000000006</v>
      </c>
    </row>
    <row r="1710" spans="1:5" x14ac:dyDescent="0.4">
      <c r="A1710" s="27">
        <v>44463</v>
      </c>
      <c r="B1710" s="21">
        <v>278.51650000000001</v>
      </c>
      <c r="C1710">
        <v>269.75029999999998</v>
      </c>
      <c r="D1710">
        <v>128.64174499999999</v>
      </c>
      <c r="E1710" s="22">
        <v>98.893868999999995</v>
      </c>
    </row>
    <row r="1711" spans="1:5" x14ac:dyDescent="0.4">
      <c r="A1711" s="27">
        <v>44466</v>
      </c>
      <c r="B1711" s="21">
        <v>278.1628</v>
      </c>
      <c r="C1711">
        <v>269.61590000000001</v>
      </c>
      <c r="D1711">
        <v>128.636561</v>
      </c>
      <c r="E1711" s="22">
        <v>98.889179999999996</v>
      </c>
    </row>
    <row r="1712" spans="1:5" x14ac:dyDescent="0.4">
      <c r="A1712" s="27">
        <v>44467</v>
      </c>
      <c r="B1712" s="21">
        <v>272.47820000000002</v>
      </c>
      <c r="C1712">
        <v>269.19909999999999</v>
      </c>
      <c r="D1712">
        <v>128.63482400000001</v>
      </c>
      <c r="E1712" s="22">
        <v>98.887611000000007</v>
      </c>
    </row>
    <row r="1713" spans="1:5" x14ac:dyDescent="0.4">
      <c r="A1713" s="27">
        <v>44468</v>
      </c>
      <c r="B1713" s="21">
        <v>274.22210000000001</v>
      </c>
      <c r="C1713">
        <v>269.52960000000002</v>
      </c>
      <c r="D1713">
        <v>128.63307499999999</v>
      </c>
      <c r="E1713" s="22">
        <v>98.886037000000002</v>
      </c>
    </row>
    <row r="1714" spans="1:5" x14ac:dyDescent="0.4">
      <c r="A1714" s="27">
        <v>44469</v>
      </c>
      <c r="B1714" s="21">
        <v>274.11219999999997</v>
      </c>
      <c r="C1714">
        <v>269.0643</v>
      </c>
      <c r="D1714">
        <v>128.631338</v>
      </c>
      <c r="E1714" s="22">
        <v>98.884466000000003</v>
      </c>
    </row>
    <row r="1715" spans="1:5" x14ac:dyDescent="0.4">
      <c r="A1715" s="27">
        <v>44470</v>
      </c>
      <c r="B1715" s="21">
        <v>272.93029999999999</v>
      </c>
      <c r="C1715">
        <v>269.5138</v>
      </c>
      <c r="D1715">
        <v>128.62956299999999</v>
      </c>
      <c r="E1715" s="22">
        <v>98.882873000000004</v>
      </c>
    </row>
    <row r="1716" spans="1:5" x14ac:dyDescent="0.4">
      <c r="A1716" s="27">
        <v>44473</v>
      </c>
      <c r="B1716" s="21">
        <v>271.90780000000001</v>
      </c>
      <c r="C1716">
        <v>269.34230000000002</v>
      </c>
      <c r="D1716">
        <v>128.62435400000001</v>
      </c>
      <c r="E1716" s="22">
        <v>98.878168000000002</v>
      </c>
    </row>
    <row r="1717" spans="1:5" x14ac:dyDescent="0.4">
      <c r="A1717" s="27">
        <v>44474</v>
      </c>
      <c r="B1717" s="21">
        <v>275.0625</v>
      </c>
      <c r="C1717">
        <v>268.85919999999999</v>
      </c>
      <c r="D1717">
        <v>128.62262999999999</v>
      </c>
      <c r="E1717" s="22">
        <v>98.876604999999998</v>
      </c>
    </row>
    <row r="1718" spans="1:5" x14ac:dyDescent="0.4">
      <c r="A1718" s="27">
        <v>44475</v>
      </c>
      <c r="B1718" s="21">
        <v>272.29219999999998</v>
      </c>
      <c r="C1718">
        <v>268.73009999999999</v>
      </c>
      <c r="D1718">
        <v>128.62090699999999</v>
      </c>
      <c r="E1718" s="22">
        <v>98.875041999999993</v>
      </c>
    </row>
    <row r="1719" spans="1:5" x14ac:dyDescent="0.4">
      <c r="A1719" s="27">
        <v>44476</v>
      </c>
      <c r="B1719" s="21">
        <v>276.70479999999998</v>
      </c>
      <c r="C1719">
        <v>268.85430000000002</v>
      </c>
      <c r="D1719">
        <v>128.61918299999999</v>
      </c>
      <c r="E1719" s="22">
        <v>98.873479000000003</v>
      </c>
    </row>
    <row r="1720" spans="1:5" x14ac:dyDescent="0.4">
      <c r="A1720" s="27">
        <v>44477</v>
      </c>
      <c r="B1720" s="21">
        <v>276.0702</v>
      </c>
      <c r="C1720">
        <v>268.33969999999999</v>
      </c>
      <c r="D1720">
        <v>128.61745999999999</v>
      </c>
      <c r="E1720" s="22">
        <v>98.871919000000005</v>
      </c>
    </row>
    <row r="1721" spans="1:5" x14ac:dyDescent="0.4">
      <c r="A1721" s="27">
        <v>44480</v>
      </c>
      <c r="B1721" s="21">
        <v>276.33699999999999</v>
      </c>
      <c r="C1721">
        <v>267.80689999999998</v>
      </c>
      <c r="D1721">
        <v>128.61227600000001</v>
      </c>
      <c r="E1721" s="22">
        <v>98.867238999999998</v>
      </c>
    </row>
    <row r="1722" spans="1:5" x14ac:dyDescent="0.4">
      <c r="A1722" s="27">
        <v>44481</v>
      </c>
      <c r="B1722" s="21">
        <v>276.09350000000001</v>
      </c>
      <c r="C1722">
        <v>267.48669999999998</v>
      </c>
      <c r="D1722">
        <v>128.61053999999999</v>
      </c>
      <c r="E1722" s="22">
        <v>98.865673999999999</v>
      </c>
    </row>
    <row r="1723" spans="1:5" x14ac:dyDescent="0.4">
      <c r="A1723" s="27">
        <v>44482</v>
      </c>
      <c r="B1723" s="21">
        <v>277.8417</v>
      </c>
      <c r="C1723">
        <v>268.24950000000001</v>
      </c>
      <c r="D1723">
        <v>128.60884200000001</v>
      </c>
      <c r="E1723" s="22">
        <v>98.864131</v>
      </c>
    </row>
    <row r="1724" spans="1:5" x14ac:dyDescent="0.4">
      <c r="A1724" s="27">
        <v>44483</v>
      </c>
      <c r="B1724" s="21">
        <v>281.07119999999998</v>
      </c>
      <c r="C1724">
        <v>269.137</v>
      </c>
      <c r="D1724">
        <v>128.60711900000001</v>
      </c>
      <c r="E1724" s="22">
        <v>98.862567999999996</v>
      </c>
    </row>
    <row r="1725" spans="1:5" x14ac:dyDescent="0.4">
      <c r="A1725" s="27">
        <v>44484</v>
      </c>
      <c r="B1725" s="21">
        <v>283.22160000000002</v>
      </c>
      <c r="C1725">
        <v>268.93880000000001</v>
      </c>
      <c r="D1725">
        <v>128.60538299999999</v>
      </c>
      <c r="E1725" s="22">
        <v>98.861002999999997</v>
      </c>
    </row>
    <row r="1726" spans="1:5" x14ac:dyDescent="0.4">
      <c r="A1726" s="27">
        <v>44487</v>
      </c>
      <c r="B1726" s="21">
        <v>281.79419999999999</v>
      </c>
      <c r="C1726">
        <v>268.61880000000002</v>
      </c>
      <c r="D1726">
        <v>128.60016100000001</v>
      </c>
      <c r="E1726" s="22">
        <v>98.856290000000001</v>
      </c>
    </row>
    <row r="1727" spans="1:5" x14ac:dyDescent="0.4">
      <c r="A1727" s="27">
        <v>44488</v>
      </c>
      <c r="B1727" s="21">
        <v>282.70769999999999</v>
      </c>
      <c r="C1727">
        <v>267.92759999999998</v>
      </c>
      <c r="D1727">
        <v>128.598412</v>
      </c>
      <c r="E1727" s="22">
        <v>98.854714000000001</v>
      </c>
    </row>
    <row r="1728" spans="1:5" x14ac:dyDescent="0.4">
      <c r="A1728" s="27">
        <v>44489</v>
      </c>
      <c r="B1728" s="21">
        <v>283.61950000000002</v>
      </c>
      <c r="C1728">
        <v>268.15050000000002</v>
      </c>
      <c r="D1728">
        <v>128.596664</v>
      </c>
      <c r="E1728" s="22">
        <v>98.853140999999994</v>
      </c>
    </row>
    <row r="1729" spans="1:5" x14ac:dyDescent="0.4">
      <c r="A1729" s="27">
        <v>44490</v>
      </c>
      <c r="B1729" s="21">
        <v>283.38830000000002</v>
      </c>
      <c r="C1729">
        <v>267.74239999999998</v>
      </c>
      <c r="D1729">
        <v>128.59492700000001</v>
      </c>
      <c r="E1729" s="22">
        <v>98.851573000000002</v>
      </c>
    </row>
    <row r="1730" spans="1:5" x14ac:dyDescent="0.4">
      <c r="A1730" s="27">
        <v>44491</v>
      </c>
      <c r="B1730" s="21">
        <v>284.6909</v>
      </c>
      <c r="C1730">
        <v>267.8503</v>
      </c>
      <c r="D1730">
        <v>128.59317899999999</v>
      </c>
      <c r="E1730" s="22">
        <v>98.849998999999997</v>
      </c>
    </row>
    <row r="1731" spans="1:5" x14ac:dyDescent="0.4">
      <c r="A1731" s="27">
        <v>44494</v>
      </c>
      <c r="B1731" s="21">
        <v>284.92219999999998</v>
      </c>
      <c r="C1731">
        <v>268.1848</v>
      </c>
      <c r="D1731">
        <v>128.587996</v>
      </c>
      <c r="E1731" s="22">
        <v>98.845312000000007</v>
      </c>
    </row>
    <row r="1732" spans="1:5" x14ac:dyDescent="0.4">
      <c r="A1732" s="27">
        <v>44495</v>
      </c>
      <c r="B1732" s="21">
        <v>287.04899999999998</v>
      </c>
      <c r="C1732">
        <v>268.16399999999999</v>
      </c>
      <c r="D1732">
        <v>128.58626000000001</v>
      </c>
      <c r="E1732" s="22">
        <v>98.843744000000001</v>
      </c>
    </row>
    <row r="1733" spans="1:5" x14ac:dyDescent="0.4">
      <c r="A1733" s="27">
        <v>44496</v>
      </c>
      <c r="B1733" s="21">
        <v>285.96030000000002</v>
      </c>
      <c r="C1733">
        <v>269.26560000000001</v>
      </c>
      <c r="D1733">
        <v>128.58452399999999</v>
      </c>
      <c r="E1733" s="22">
        <v>98.842179000000002</v>
      </c>
    </row>
    <row r="1734" spans="1:5" x14ac:dyDescent="0.4">
      <c r="A1734" s="27">
        <v>44497</v>
      </c>
      <c r="B1734" s="21">
        <v>286.63819999999998</v>
      </c>
      <c r="C1734">
        <v>268.6472</v>
      </c>
      <c r="D1734">
        <v>128.582776</v>
      </c>
      <c r="E1734" s="22">
        <v>98.840605999999994</v>
      </c>
    </row>
    <row r="1735" spans="1:5" x14ac:dyDescent="0.4">
      <c r="A1735" s="27">
        <v>44498</v>
      </c>
      <c r="B1735" s="21">
        <v>286.8802</v>
      </c>
      <c r="C1735">
        <v>267.41180000000003</v>
      </c>
      <c r="D1735">
        <v>128.58102700000001</v>
      </c>
      <c r="E1735" s="22">
        <v>98.839033000000001</v>
      </c>
    </row>
    <row r="1736" spans="1:5" x14ac:dyDescent="0.4">
      <c r="A1736" s="27">
        <v>44501</v>
      </c>
      <c r="B1736" s="21">
        <v>289.0018</v>
      </c>
      <c r="C1736">
        <v>267.31060000000002</v>
      </c>
      <c r="D1736">
        <v>128.57574199999999</v>
      </c>
      <c r="E1736" s="22">
        <v>98.834271999999999</v>
      </c>
    </row>
    <row r="1737" spans="1:5" x14ac:dyDescent="0.4">
      <c r="A1737" s="27">
        <v>44502</v>
      </c>
      <c r="B1737" s="21">
        <v>289.41879999999998</v>
      </c>
      <c r="C1737">
        <v>268.834</v>
      </c>
      <c r="D1737">
        <v>128.573981</v>
      </c>
      <c r="E1737" s="22">
        <v>98.832683000000003</v>
      </c>
    </row>
    <row r="1738" spans="1:5" x14ac:dyDescent="0.4">
      <c r="A1738" s="27">
        <v>44503</v>
      </c>
      <c r="B1738" s="21">
        <v>290.4896</v>
      </c>
      <c r="C1738">
        <v>268.98579999999998</v>
      </c>
      <c r="D1738">
        <v>128.57225800000001</v>
      </c>
      <c r="E1738" s="22">
        <v>98.831119999999999</v>
      </c>
    </row>
    <row r="1739" spans="1:5" x14ac:dyDescent="0.4">
      <c r="A1739" s="27">
        <v>44504</v>
      </c>
      <c r="B1739" s="21">
        <v>291.4821</v>
      </c>
      <c r="C1739">
        <v>269.90249999999997</v>
      </c>
      <c r="D1739">
        <v>128.57050899999999</v>
      </c>
      <c r="E1739" s="22">
        <v>98.829544999999996</v>
      </c>
    </row>
    <row r="1740" spans="1:5" x14ac:dyDescent="0.4">
      <c r="A1740" s="27">
        <v>44505</v>
      </c>
      <c r="B1740" s="21">
        <v>291.6361</v>
      </c>
      <c r="C1740">
        <v>271.02510000000001</v>
      </c>
      <c r="D1740">
        <v>128.56876099999999</v>
      </c>
      <c r="E1740" s="22">
        <v>98.827972000000003</v>
      </c>
    </row>
    <row r="1741" spans="1:5" x14ac:dyDescent="0.4">
      <c r="A1741" s="27">
        <v>44508</v>
      </c>
      <c r="B1741" s="21">
        <v>291.67599999999999</v>
      </c>
      <c r="C1741">
        <v>270.5179</v>
      </c>
      <c r="D1741">
        <v>128.56354099999999</v>
      </c>
      <c r="E1741" s="22">
        <v>98.823261000000002</v>
      </c>
    </row>
    <row r="1742" spans="1:5" x14ac:dyDescent="0.4">
      <c r="A1742" s="27">
        <v>44509</v>
      </c>
      <c r="B1742" s="21">
        <v>291.20460000000003</v>
      </c>
      <c r="C1742">
        <v>271.43459999999999</v>
      </c>
      <c r="D1742">
        <v>128.561792</v>
      </c>
      <c r="E1742" s="22">
        <v>98.821681999999996</v>
      </c>
    </row>
    <row r="1743" spans="1:5" x14ac:dyDescent="0.4">
      <c r="A1743" s="27">
        <v>44510</v>
      </c>
      <c r="B1743" s="21">
        <v>291.8974</v>
      </c>
      <c r="C1743">
        <v>270.43090000000001</v>
      </c>
      <c r="D1743">
        <v>128.560044</v>
      </c>
      <c r="E1743" s="22">
        <v>98.820104000000001</v>
      </c>
    </row>
    <row r="1744" spans="1:5" x14ac:dyDescent="0.4">
      <c r="A1744" s="27">
        <v>44511</v>
      </c>
      <c r="B1744" s="21">
        <v>292.90410000000003</v>
      </c>
      <c r="C1744">
        <v>269.9162</v>
      </c>
      <c r="D1744">
        <v>128.55829600000001</v>
      </c>
      <c r="E1744" s="22">
        <v>98.818522999999999</v>
      </c>
    </row>
    <row r="1745" spans="1:5" x14ac:dyDescent="0.4">
      <c r="A1745" s="27">
        <v>44512</v>
      </c>
      <c r="B1745" s="21">
        <v>293.76260000000002</v>
      </c>
      <c r="C1745">
        <v>270.17149999999998</v>
      </c>
      <c r="D1745">
        <v>128.55654699999999</v>
      </c>
      <c r="E1745" s="22">
        <v>98.816944000000007</v>
      </c>
    </row>
    <row r="1746" spans="1:5" x14ac:dyDescent="0.4">
      <c r="A1746" s="27">
        <v>44515</v>
      </c>
      <c r="B1746" s="21">
        <v>294.82769999999999</v>
      </c>
      <c r="C1746">
        <v>269.90879999999999</v>
      </c>
      <c r="D1746">
        <v>128.55132800000001</v>
      </c>
      <c r="E1746" s="22">
        <v>98.812234000000004</v>
      </c>
    </row>
    <row r="1747" spans="1:5" x14ac:dyDescent="0.4">
      <c r="A1747" s="27">
        <v>44516</v>
      </c>
      <c r="B1747" s="21">
        <v>295.36880000000002</v>
      </c>
      <c r="C1747">
        <v>269.78120000000001</v>
      </c>
      <c r="D1747">
        <v>128.54960500000001</v>
      </c>
      <c r="E1747" s="22">
        <v>98.810671999999997</v>
      </c>
    </row>
    <row r="1748" spans="1:5" x14ac:dyDescent="0.4">
      <c r="A1748" s="27">
        <v>44517</v>
      </c>
      <c r="B1748" s="21">
        <v>295.91660000000002</v>
      </c>
      <c r="C1748">
        <v>269.54430000000002</v>
      </c>
      <c r="D1748">
        <v>128.54786999999999</v>
      </c>
      <c r="E1748" s="22">
        <v>98.809105000000002</v>
      </c>
    </row>
    <row r="1749" spans="1:5" x14ac:dyDescent="0.4">
      <c r="A1749" s="27">
        <v>44518</v>
      </c>
      <c r="B1749" s="21">
        <v>294.55790000000002</v>
      </c>
      <c r="C1749">
        <v>270.25540000000001</v>
      </c>
      <c r="D1749">
        <v>128.546134</v>
      </c>
      <c r="E1749" s="22">
        <v>98.807537999999994</v>
      </c>
    </row>
    <row r="1750" spans="1:5" x14ac:dyDescent="0.4">
      <c r="A1750" s="27">
        <v>44519</v>
      </c>
      <c r="B1750" s="21">
        <v>293.40170000000001</v>
      </c>
      <c r="C1750">
        <v>271.27460000000002</v>
      </c>
      <c r="D1750">
        <v>128.544399</v>
      </c>
      <c r="E1750" s="22">
        <v>98.805971</v>
      </c>
    </row>
    <row r="1751" spans="1:5" x14ac:dyDescent="0.4">
      <c r="A1751" s="27">
        <v>44522</v>
      </c>
      <c r="B1751" s="21">
        <v>293.19740000000002</v>
      </c>
      <c r="C1751">
        <v>270.54149999999998</v>
      </c>
      <c r="D1751">
        <v>128.53916699999999</v>
      </c>
      <c r="E1751" s="22">
        <v>98.801253000000003</v>
      </c>
    </row>
    <row r="1752" spans="1:5" x14ac:dyDescent="0.4">
      <c r="A1752" s="27">
        <v>44523</v>
      </c>
      <c r="B1752" s="21">
        <v>289.64800000000002</v>
      </c>
      <c r="C1752">
        <v>269.16730000000001</v>
      </c>
      <c r="D1752">
        <v>128.537419</v>
      </c>
      <c r="E1752" s="22">
        <v>98.799679999999995</v>
      </c>
    </row>
    <row r="1753" spans="1:5" x14ac:dyDescent="0.4">
      <c r="A1753" s="27">
        <v>44524</v>
      </c>
      <c r="B1753" s="21">
        <v>290.02600000000001</v>
      </c>
      <c r="C1753">
        <v>268.62400000000002</v>
      </c>
      <c r="D1753">
        <v>128.53567100000001</v>
      </c>
      <c r="E1753" s="22">
        <v>98.798105000000007</v>
      </c>
    </row>
    <row r="1754" spans="1:5" x14ac:dyDescent="0.4">
      <c r="A1754" s="27">
        <v>44525</v>
      </c>
      <c r="B1754" s="21">
        <v>291.20549999999997</v>
      </c>
      <c r="C1754">
        <v>269.08699999999999</v>
      </c>
      <c r="D1754">
        <v>128.53393600000001</v>
      </c>
      <c r="E1754" s="22">
        <v>98.796541000000005</v>
      </c>
    </row>
    <row r="1755" spans="1:5" x14ac:dyDescent="0.4">
      <c r="A1755" s="27">
        <v>44526</v>
      </c>
      <c r="B1755" s="21">
        <v>280.4212</v>
      </c>
      <c r="C1755">
        <v>270.35640000000001</v>
      </c>
      <c r="D1755">
        <v>128.53218799999999</v>
      </c>
      <c r="E1755" s="22">
        <v>98.794967999999997</v>
      </c>
    </row>
    <row r="1756" spans="1:5" x14ac:dyDescent="0.4">
      <c r="A1756" s="27">
        <v>44529</v>
      </c>
      <c r="B1756" s="21">
        <v>282.32810000000001</v>
      </c>
      <c r="C1756">
        <v>270.08699999999999</v>
      </c>
      <c r="D1756">
        <v>128.52695600000001</v>
      </c>
      <c r="E1756" s="22">
        <v>98.790250999999998</v>
      </c>
    </row>
    <row r="1757" spans="1:5" x14ac:dyDescent="0.4">
      <c r="A1757" s="27">
        <v>44530</v>
      </c>
      <c r="B1757" s="21">
        <v>279.7346</v>
      </c>
      <c r="C1757">
        <v>270.74970000000002</v>
      </c>
      <c r="D1757">
        <v>128.52520799999999</v>
      </c>
      <c r="E1757" s="22">
        <v>98.788678000000004</v>
      </c>
    </row>
    <row r="1758" spans="1:5" x14ac:dyDescent="0.4">
      <c r="A1758" s="27">
        <v>44531</v>
      </c>
      <c r="B1758" s="21">
        <v>284.56299999999999</v>
      </c>
      <c r="C1758">
        <v>270.4248</v>
      </c>
      <c r="D1758">
        <v>128.523461</v>
      </c>
      <c r="E1758" s="22">
        <v>98.787099999999995</v>
      </c>
    </row>
    <row r="1759" spans="1:5" x14ac:dyDescent="0.4">
      <c r="A1759" s="27">
        <v>44532</v>
      </c>
      <c r="B1759" s="21">
        <v>281.45</v>
      </c>
      <c r="C1759">
        <v>271.30869999999999</v>
      </c>
      <c r="D1759">
        <v>128.52171300000001</v>
      </c>
      <c r="E1759" s="22">
        <v>98.785525000000007</v>
      </c>
    </row>
    <row r="1760" spans="1:5" x14ac:dyDescent="0.4">
      <c r="A1760" s="27">
        <v>44533</v>
      </c>
      <c r="B1760" s="21">
        <v>279.98399999999998</v>
      </c>
      <c r="C1760">
        <v>271.42860000000002</v>
      </c>
      <c r="D1760">
        <v>128.51996500000001</v>
      </c>
      <c r="E1760" s="22">
        <v>98.783946999999998</v>
      </c>
    </row>
    <row r="1761" spans="1:5" x14ac:dyDescent="0.4">
      <c r="A1761" s="27">
        <v>44536</v>
      </c>
      <c r="B1761" s="21">
        <v>283.79430000000002</v>
      </c>
      <c r="C1761">
        <v>271.80889999999999</v>
      </c>
      <c r="D1761">
        <v>128.51468299999999</v>
      </c>
      <c r="E1761" s="22">
        <v>98.779189000000002</v>
      </c>
    </row>
    <row r="1762" spans="1:5" x14ac:dyDescent="0.4">
      <c r="A1762" s="27">
        <v>44537</v>
      </c>
      <c r="B1762" s="21">
        <v>290.63490000000002</v>
      </c>
      <c r="C1762">
        <v>271.73700000000002</v>
      </c>
      <c r="D1762">
        <v>128.512922</v>
      </c>
      <c r="E1762" s="22">
        <v>98.777602999999999</v>
      </c>
    </row>
    <row r="1763" spans="1:5" x14ac:dyDescent="0.4">
      <c r="A1763" s="27">
        <v>44538</v>
      </c>
      <c r="B1763" s="21">
        <v>288.99299999999999</v>
      </c>
      <c r="C1763">
        <v>270.50240000000002</v>
      </c>
      <c r="D1763">
        <v>128.51116099999999</v>
      </c>
      <c r="E1763" s="22">
        <v>98.776020000000003</v>
      </c>
    </row>
    <row r="1764" spans="1:5" x14ac:dyDescent="0.4">
      <c r="A1764" s="27">
        <v>44539</v>
      </c>
      <c r="B1764" s="21">
        <v>288.68669999999997</v>
      </c>
      <c r="C1764">
        <v>271.17180000000002</v>
      </c>
      <c r="D1764">
        <v>128.509401</v>
      </c>
      <c r="E1764" s="22">
        <v>98.774437000000006</v>
      </c>
    </row>
    <row r="1765" spans="1:5" x14ac:dyDescent="0.4">
      <c r="A1765" s="27">
        <v>44540</v>
      </c>
      <c r="B1765" s="21">
        <v>287.90839999999997</v>
      </c>
      <c r="C1765">
        <v>271.35059999999999</v>
      </c>
      <c r="D1765">
        <v>128.50764000000001</v>
      </c>
      <c r="E1765" s="22">
        <v>98.772851000000003</v>
      </c>
    </row>
    <row r="1766" spans="1:5" x14ac:dyDescent="0.4">
      <c r="A1766" s="27">
        <v>44543</v>
      </c>
      <c r="B1766" s="21">
        <v>286.71460000000002</v>
      </c>
      <c r="C1766">
        <v>271.94200000000001</v>
      </c>
      <c r="D1766">
        <v>128.50237100000001</v>
      </c>
      <c r="E1766" s="22">
        <v>98.768101999999999</v>
      </c>
    </row>
    <row r="1767" spans="1:5" x14ac:dyDescent="0.4">
      <c r="A1767" s="27">
        <v>44544</v>
      </c>
      <c r="B1767" s="21">
        <v>284.33139999999997</v>
      </c>
      <c r="C1767">
        <v>271.70280000000002</v>
      </c>
      <c r="D1767">
        <v>128.50061099999999</v>
      </c>
      <c r="E1767" s="22">
        <v>98.766513000000003</v>
      </c>
    </row>
    <row r="1768" spans="1:5" x14ac:dyDescent="0.4">
      <c r="A1768" s="27">
        <v>44545</v>
      </c>
      <c r="B1768" s="21">
        <v>285.07709999999997</v>
      </c>
      <c r="C1768">
        <v>271.51889999999997</v>
      </c>
      <c r="D1768">
        <v>128.49885</v>
      </c>
      <c r="E1768" s="22">
        <v>98.764930000000007</v>
      </c>
    </row>
    <row r="1769" spans="1:5" x14ac:dyDescent="0.4">
      <c r="A1769" s="27">
        <v>44546</v>
      </c>
      <c r="B1769" s="21">
        <v>288.65570000000002</v>
      </c>
      <c r="C1769">
        <v>270.98840000000001</v>
      </c>
      <c r="D1769">
        <v>128.49708999999999</v>
      </c>
      <c r="E1769" s="22">
        <v>98.763346999999996</v>
      </c>
    </row>
    <row r="1770" spans="1:5" x14ac:dyDescent="0.4">
      <c r="A1770" s="27">
        <v>44547</v>
      </c>
      <c r="B1770" s="21">
        <v>286.95580000000001</v>
      </c>
      <c r="C1770">
        <v>271.55900000000003</v>
      </c>
      <c r="D1770">
        <v>128.495329</v>
      </c>
      <c r="E1770" s="22">
        <v>98.761763999999999</v>
      </c>
    </row>
    <row r="1771" spans="1:5" x14ac:dyDescent="0.4">
      <c r="A1771" s="27">
        <v>44550</v>
      </c>
      <c r="B1771" s="21">
        <v>283.05599999999998</v>
      </c>
      <c r="C1771">
        <v>271.41149999999999</v>
      </c>
      <c r="D1771">
        <v>128.49007399999999</v>
      </c>
      <c r="E1771" s="22">
        <v>98.757024000000001</v>
      </c>
    </row>
    <row r="1772" spans="1:5" x14ac:dyDescent="0.4">
      <c r="A1772" s="27">
        <v>44551</v>
      </c>
      <c r="B1772" s="21">
        <v>287.11790000000002</v>
      </c>
      <c r="C1772">
        <v>269.95769999999999</v>
      </c>
      <c r="D1772">
        <v>128.488327</v>
      </c>
      <c r="E1772" s="22">
        <v>98.755443999999997</v>
      </c>
    </row>
    <row r="1773" spans="1:5" x14ac:dyDescent="0.4">
      <c r="A1773" s="27">
        <v>44552</v>
      </c>
      <c r="B1773" s="21">
        <v>289.67020000000002</v>
      </c>
      <c r="C1773">
        <v>269.65559999999999</v>
      </c>
      <c r="D1773">
        <v>128.486592</v>
      </c>
      <c r="E1773" s="22">
        <v>98.753877000000003</v>
      </c>
    </row>
    <row r="1774" spans="1:5" x14ac:dyDescent="0.4">
      <c r="A1774" s="27">
        <v>44553</v>
      </c>
      <c r="B1774" s="21">
        <v>292.52780000000001</v>
      </c>
      <c r="C1774">
        <v>268.67509999999999</v>
      </c>
      <c r="D1774">
        <v>128.48484500000001</v>
      </c>
      <c r="E1774" s="22">
        <v>98.752302999999998</v>
      </c>
    </row>
    <row r="1775" spans="1:5" x14ac:dyDescent="0.4">
      <c r="A1775" s="27">
        <v>44554</v>
      </c>
      <c r="B1775" s="21">
        <v>292.21210000000002</v>
      </c>
      <c r="C1775">
        <v>268.68540000000002</v>
      </c>
      <c r="D1775">
        <v>128.48309699999999</v>
      </c>
      <c r="E1775" s="22">
        <v>98.750722999999994</v>
      </c>
    </row>
    <row r="1776" spans="1:5" x14ac:dyDescent="0.4">
      <c r="A1776" s="27">
        <v>44557</v>
      </c>
      <c r="B1776" s="21">
        <v>293.9667</v>
      </c>
      <c r="C1776">
        <v>268.58969999999999</v>
      </c>
      <c r="D1776">
        <v>128.47780399999999</v>
      </c>
      <c r="E1776" s="22">
        <v>98.745949999999993</v>
      </c>
    </row>
    <row r="1777" spans="1:5" x14ac:dyDescent="0.4">
      <c r="A1777" s="27">
        <v>44558</v>
      </c>
      <c r="B1777" s="21">
        <v>295.76990000000001</v>
      </c>
      <c r="C1777">
        <v>268.65629999999999</v>
      </c>
      <c r="D1777">
        <v>128.476056</v>
      </c>
      <c r="E1777" s="22">
        <v>98.744370000000004</v>
      </c>
    </row>
    <row r="1778" spans="1:5" x14ac:dyDescent="0.4">
      <c r="A1778" s="27">
        <v>44559</v>
      </c>
      <c r="B1778" s="21">
        <v>295.32510000000002</v>
      </c>
      <c r="C1778">
        <v>267.68639999999999</v>
      </c>
      <c r="D1778">
        <v>128.47430900000001</v>
      </c>
      <c r="E1778" s="22">
        <v>98.742793000000006</v>
      </c>
    </row>
    <row r="1779" spans="1:5" x14ac:dyDescent="0.4">
      <c r="A1779" s="27">
        <v>44560</v>
      </c>
      <c r="B1779" s="21">
        <v>295.69659999999999</v>
      </c>
      <c r="C1779">
        <v>267.49959999999999</v>
      </c>
      <c r="D1779">
        <v>128.47254899999999</v>
      </c>
      <c r="E1779" s="22">
        <v>98.741207000000003</v>
      </c>
    </row>
    <row r="1780" spans="1:5" x14ac:dyDescent="0.4">
      <c r="A1780" s="27">
        <v>44561</v>
      </c>
      <c r="B1780" s="21">
        <v>295.16680000000002</v>
      </c>
      <c r="C1780">
        <v>267.51</v>
      </c>
      <c r="D1780">
        <v>128.470789</v>
      </c>
      <c r="E1780" s="22">
        <v>98.739615999999998</v>
      </c>
    </row>
    <row r="1781" spans="1:5" x14ac:dyDescent="0.4">
      <c r="A1781" s="27">
        <v>44564</v>
      </c>
      <c r="B1781" s="21">
        <v>296.62639999999999</v>
      </c>
      <c r="C1781">
        <v>266.92270000000002</v>
      </c>
      <c r="D1781">
        <v>128.46538000000001</v>
      </c>
      <c r="E1781" s="22">
        <v>98.734762000000003</v>
      </c>
    </row>
    <row r="1782" spans="1:5" x14ac:dyDescent="0.4">
      <c r="A1782" s="27">
        <v>44565</v>
      </c>
      <c r="B1782" s="21">
        <v>299.25139999999999</v>
      </c>
      <c r="C1782">
        <v>266.99149999999997</v>
      </c>
      <c r="D1782">
        <v>128.46361999999999</v>
      </c>
      <c r="E1782" s="22">
        <v>98.733176</v>
      </c>
    </row>
    <row r="1783" spans="1:5" x14ac:dyDescent="0.4">
      <c r="A1783" s="27">
        <v>44566</v>
      </c>
      <c r="B1783" s="21">
        <v>299.42660000000001</v>
      </c>
      <c r="C1783">
        <v>266.88240000000002</v>
      </c>
      <c r="D1783">
        <v>128.46186</v>
      </c>
      <c r="E1783" s="22">
        <v>98.731590999999995</v>
      </c>
    </row>
    <row r="1784" spans="1:5" x14ac:dyDescent="0.4">
      <c r="A1784" s="27">
        <v>44567</v>
      </c>
      <c r="B1784" s="21">
        <v>295.79160000000002</v>
      </c>
      <c r="C1784">
        <v>266.30259999999998</v>
      </c>
      <c r="D1784">
        <v>128.46010000000001</v>
      </c>
      <c r="E1784" s="22">
        <v>98.730006000000003</v>
      </c>
    </row>
    <row r="1785" spans="1:5" x14ac:dyDescent="0.4">
      <c r="A1785" s="27">
        <v>44568</v>
      </c>
      <c r="B1785" s="21">
        <v>294.9006</v>
      </c>
      <c r="C1785">
        <v>265.95089999999999</v>
      </c>
      <c r="D1785">
        <v>128.45834099999999</v>
      </c>
      <c r="E1785" s="22">
        <v>98.728420999999997</v>
      </c>
    </row>
    <row r="1786" spans="1:5" x14ac:dyDescent="0.4">
      <c r="A1786" s="27">
        <v>44571</v>
      </c>
      <c r="B1786" s="21">
        <v>290.74700000000001</v>
      </c>
      <c r="C1786">
        <v>265.9846</v>
      </c>
      <c r="D1786">
        <v>128.453048</v>
      </c>
      <c r="E1786" s="22">
        <v>98.723648999999995</v>
      </c>
    </row>
    <row r="1787" spans="1:5" x14ac:dyDescent="0.4">
      <c r="A1787" s="27">
        <v>44572</v>
      </c>
      <c r="B1787" s="21">
        <v>293.26119999999997</v>
      </c>
      <c r="C1787">
        <v>265.69139999999999</v>
      </c>
      <c r="D1787">
        <v>128.45128800000001</v>
      </c>
      <c r="E1787" s="22">
        <v>98.722060999999997</v>
      </c>
    </row>
    <row r="1788" spans="1:5" x14ac:dyDescent="0.4">
      <c r="A1788" s="27">
        <v>44573</v>
      </c>
      <c r="B1788" s="21">
        <v>295.15600000000001</v>
      </c>
      <c r="C1788">
        <v>266.30119999999999</v>
      </c>
      <c r="D1788">
        <v>128.44952799999999</v>
      </c>
      <c r="E1788" s="22">
        <v>98.720472999999998</v>
      </c>
    </row>
    <row r="1789" spans="1:5" x14ac:dyDescent="0.4">
      <c r="A1789" s="27">
        <v>44574</v>
      </c>
      <c r="B1789" s="21">
        <v>295.22309999999999</v>
      </c>
      <c r="C1789">
        <v>266.90179999999998</v>
      </c>
      <c r="D1789">
        <v>128.44776899999999</v>
      </c>
      <c r="E1789" s="22">
        <v>98.718888000000007</v>
      </c>
    </row>
    <row r="1790" spans="1:5" x14ac:dyDescent="0.4">
      <c r="A1790" s="27">
        <v>44575</v>
      </c>
      <c r="B1790" s="21">
        <v>292.52600000000001</v>
      </c>
      <c r="C1790">
        <v>266.13170000000002</v>
      </c>
      <c r="D1790">
        <v>128.446009</v>
      </c>
      <c r="E1790" s="22">
        <v>98.717303000000001</v>
      </c>
    </row>
    <row r="1791" spans="1:5" x14ac:dyDescent="0.4">
      <c r="A1791" s="27">
        <v>44578</v>
      </c>
      <c r="B1791" s="21">
        <v>294.57740000000001</v>
      </c>
      <c r="C1791">
        <v>265.63830000000002</v>
      </c>
      <c r="D1791">
        <v>128.44073</v>
      </c>
      <c r="E1791" s="22">
        <v>98.712548999999996</v>
      </c>
    </row>
    <row r="1792" spans="1:5" x14ac:dyDescent="0.4">
      <c r="A1792" s="27">
        <v>44579</v>
      </c>
      <c r="B1792" s="21">
        <v>291.96339999999998</v>
      </c>
      <c r="C1792">
        <v>265.48930000000001</v>
      </c>
      <c r="D1792">
        <v>128.43897000000001</v>
      </c>
      <c r="E1792" s="22">
        <v>98.710964000000004</v>
      </c>
    </row>
    <row r="1793" spans="1:5" x14ac:dyDescent="0.4">
      <c r="A1793" s="27">
        <v>44580</v>
      </c>
      <c r="B1793" s="21">
        <v>292.53030000000001</v>
      </c>
      <c r="C1793">
        <v>265.20549999999997</v>
      </c>
      <c r="D1793">
        <v>128.43721099999999</v>
      </c>
      <c r="E1793" s="22">
        <v>98.709376000000006</v>
      </c>
    </row>
    <row r="1794" spans="1:5" x14ac:dyDescent="0.4">
      <c r="A1794" s="27">
        <v>44581</v>
      </c>
      <c r="B1794" s="21">
        <v>293.97919999999999</v>
      </c>
      <c r="C1794">
        <v>265.6979</v>
      </c>
      <c r="D1794">
        <v>128.435451</v>
      </c>
      <c r="E1794" s="22">
        <v>98.707791</v>
      </c>
    </row>
    <row r="1795" spans="1:5" x14ac:dyDescent="0.4">
      <c r="A1795" s="27">
        <v>44582</v>
      </c>
      <c r="B1795" s="21">
        <v>288.73320000000001</v>
      </c>
      <c r="C1795">
        <v>266.19639999999998</v>
      </c>
      <c r="D1795">
        <v>128.43369100000001</v>
      </c>
      <c r="E1795" s="22">
        <v>98.706204</v>
      </c>
    </row>
    <row r="1796" spans="1:5" x14ac:dyDescent="0.4">
      <c r="A1796" s="27">
        <v>44585</v>
      </c>
      <c r="B1796" s="21">
        <v>277.98399999999998</v>
      </c>
      <c r="C1796">
        <v>266.51339999999999</v>
      </c>
      <c r="D1796">
        <v>128.42840000000001</v>
      </c>
      <c r="E1796" s="22">
        <v>98.701441000000003</v>
      </c>
    </row>
    <row r="1797" spans="1:5" x14ac:dyDescent="0.4">
      <c r="A1797" s="27">
        <v>44586</v>
      </c>
      <c r="B1797" s="21">
        <v>280.0462</v>
      </c>
      <c r="C1797">
        <v>266.21719999999999</v>
      </c>
      <c r="D1797">
        <v>128.42663999999999</v>
      </c>
      <c r="E1797" s="22">
        <v>98.699854000000002</v>
      </c>
    </row>
    <row r="1798" spans="1:5" x14ac:dyDescent="0.4">
      <c r="A1798" s="27">
        <v>44587</v>
      </c>
      <c r="B1798" s="21">
        <v>284.74829999999997</v>
      </c>
      <c r="C1798">
        <v>265.65230000000003</v>
      </c>
      <c r="D1798">
        <v>128.424881</v>
      </c>
      <c r="E1798" s="22">
        <v>98.698268999999996</v>
      </c>
    </row>
    <row r="1799" spans="1:5" x14ac:dyDescent="0.4">
      <c r="A1799" s="27">
        <v>44588</v>
      </c>
      <c r="B1799" s="21">
        <v>286.7285</v>
      </c>
      <c r="C1799">
        <v>265.69560000000001</v>
      </c>
      <c r="D1799">
        <v>128.423134</v>
      </c>
      <c r="E1799" s="22">
        <v>98.696690000000004</v>
      </c>
    </row>
    <row r="1800" spans="1:5" x14ac:dyDescent="0.4">
      <c r="A1800" s="27">
        <v>44589</v>
      </c>
      <c r="B1800" s="21">
        <v>283.84660000000002</v>
      </c>
      <c r="C1800">
        <v>265.40350000000001</v>
      </c>
      <c r="D1800">
        <v>128.42138800000001</v>
      </c>
      <c r="E1800" s="22">
        <v>98.695119000000005</v>
      </c>
    </row>
    <row r="1801" spans="1:5" x14ac:dyDescent="0.4">
      <c r="A1801" s="27">
        <v>44592</v>
      </c>
      <c r="B1801" s="21">
        <v>285.73099999999999</v>
      </c>
      <c r="C1801">
        <v>264.50700000000001</v>
      </c>
      <c r="D1801">
        <v>128.41616099999999</v>
      </c>
      <c r="E1801" s="22">
        <v>98.690405999999996</v>
      </c>
    </row>
    <row r="1802" spans="1:5" x14ac:dyDescent="0.4">
      <c r="A1802" s="27">
        <v>44593</v>
      </c>
      <c r="B1802" s="21">
        <v>289.36520000000002</v>
      </c>
      <c r="C1802">
        <v>263.93209999999999</v>
      </c>
      <c r="D1802">
        <v>128.414402</v>
      </c>
      <c r="E1802" s="22">
        <v>98.688818999999995</v>
      </c>
    </row>
    <row r="1803" spans="1:5" x14ac:dyDescent="0.4">
      <c r="A1803" s="27">
        <v>44594</v>
      </c>
      <c r="B1803" s="21">
        <v>290.54689999999999</v>
      </c>
      <c r="C1803">
        <v>263.92959999999999</v>
      </c>
      <c r="D1803">
        <v>128.412643</v>
      </c>
      <c r="E1803" s="22">
        <v>98.687234000000004</v>
      </c>
    </row>
    <row r="1804" spans="1:5" x14ac:dyDescent="0.4">
      <c r="A1804" s="27">
        <v>44595</v>
      </c>
      <c r="B1804" s="21">
        <v>285.61410000000001</v>
      </c>
      <c r="C1804">
        <v>261.60390000000001</v>
      </c>
      <c r="D1804">
        <v>128.41088300000001</v>
      </c>
      <c r="E1804" s="22">
        <v>98.685649999999995</v>
      </c>
    </row>
    <row r="1805" spans="1:5" x14ac:dyDescent="0.4">
      <c r="A1805" s="27">
        <v>44596</v>
      </c>
      <c r="B1805" s="21">
        <v>281.95370000000003</v>
      </c>
      <c r="C1805">
        <v>260.20100000000002</v>
      </c>
      <c r="D1805">
        <v>128.40912399999999</v>
      </c>
      <c r="E1805" s="22">
        <v>98.684067999999996</v>
      </c>
    </row>
    <row r="1806" spans="1:5" x14ac:dyDescent="0.4">
      <c r="A1806" s="27">
        <v>44599</v>
      </c>
      <c r="B1806" s="21">
        <v>283.96910000000003</v>
      </c>
      <c r="C1806">
        <v>259.07740000000001</v>
      </c>
      <c r="D1806">
        <v>128.40384599999999</v>
      </c>
      <c r="E1806" s="22">
        <v>98.679315000000003</v>
      </c>
    </row>
    <row r="1807" spans="1:5" x14ac:dyDescent="0.4">
      <c r="A1807" s="27">
        <v>44600</v>
      </c>
      <c r="B1807" s="21">
        <v>283.96359999999999</v>
      </c>
      <c r="C1807">
        <v>258.47120000000001</v>
      </c>
      <c r="D1807">
        <v>128.40208699999999</v>
      </c>
      <c r="E1807" s="22">
        <v>98.677730999999994</v>
      </c>
    </row>
    <row r="1808" spans="1:5" x14ac:dyDescent="0.4">
      <c r="A1808" s="27">
        <v>44601</v>
      </c>
      <c r="B1808" s="21">
        <v>288.74540000000002</v>
      </c>
      <c r="C1808">
        <v>259.3383</v>
      </c>
      <c r="D1808">
        <v>128.400341</v>
      </c>
      <c r="E1808" s="22">
        <v>98.676157000000003</v>
      </c>
    </row>
    <row r="1809" spans="1:5" x14ac:dyDescent="0.4">
      <c r="A1809" s="27">
        <v>44602</v>
      </c>
      <c r="B1809" s="21">
        <v>288.03930000000003</v>
      </c>
      <c r="C1809">
        <v>258.0847</v>
      </c>
      <c r="D1809">
        <v>128.398582</v>
      </c>
      <c r="E1809" s="22">
        <v>98.674572999999995</v>
      </c>
    </row>
    <row r="1810" spans="1:5" x14ac:dyDescent="0.4">
      <c r="A1810" s="27">
        <v>44603</v>
      </c>
      <c r="B1810" s="21">
        <v>286.4991</v>
      </c>
      <c r="C1810">
        <v>257.67239999999998</v>
      </c>
      <c r="D1810">
        <v>128.396849</v>
      </c>
      <c r="E1810" s="22">
        <v>98.673005000000003</v>
      </c>
    </row>
    <row r="1811" spans="1:5" x14ac:dyDescent="0.4">
      <c r="A1811" s="27">
        <v>44606</v>
      </c>
      <c r="B1811" s="21">
        <v>281.31900000000002</v>
      </c>
      <c r="C1811">
        <v>257.61189999999999</v>
      </c>
      <c r="D1811">
        <v>128.391572</v>
      </c>
      <c r="E1811" s="22">
        <v>98.668251999999995</v>
      </c>
    </row>
    <row r="1812" spans="1:5" x14ac:dyDescent="0.4">
      <c r="A1812" s="27">
        <v>44607</v>
      </c>
      <c r="B1812" s="21">
        <v>285.25200000000001</v>
      </c>
      <c r="C1812">
        <v>256.90320000000003</v>
      </c>
      <c r="D1812">
        <v>128.389813</v>
      </c>
      <c r="E1812" s="22">
        <v>98.666668000000001</v>
      </c>
    </row>
    <row r="1813" spans="1:5" x14ac:dyDescent="0.4">
      <c r="A1813" s="27">
        <v>44608</v>
      </c>
      <c r="B1813" s="21">
        <v>285.42360000000002</v>
      </c>
      <c r="C1813">
        <v>257.70310000000001</v>
      </c>
      <c r="D1813">
        <v>128.38806600000001</v>
      </c>
      <c r="E1813" s="22">
        <v>98.665090000000006</v>
      </c>
    </row>
    <row r="1814" spans="1:5" x14ac:dyDescent="0.4">
      <c r="A1814" s="27">
        <v>44609</v>
      </c>
      <c r="B1814" s="21">
        <v>283.64879999999999</v>
      </c>
      <c r="C1814">
        <v>258.42790000000002</v>
      </c>
      <c r="D1814">
        <v>128.38632000000001</v>
      </c>
      <c r="E1814" s="22">
        <v>98.663511</v>
      </c>
    </row>
    <row r="1815" spans="1:5" x14ac:dyDescent="0.4">
      <c r="A1815" s="27">
        <v>44610</v>
      </c>
      <c r="B1815" s="21">
        <v>281.49149999999997</v>
      </c>
      <c r="C1815">
        <v>258.70769999999999</v>
      </c>
      <c r="D1815">
        <v>128.38457399999999</v>
      </c>
      <c r="E1815" s="22">
        <v>98.661931999999993</v>
      </c>
    </row>
    <row r="1816" spans="1:5" x14ac:dyDescent="0.4">
      <c r="A1816" s="27">
        <v>44613</v>
      </c>
      <c r="B1816" s="21">
        <v>277.9513</v>
      </c>
      <c r="C1816">
        <v>258.24790000000002</v>
      </c>
      <c r="D1816">
        <v>128.379323</v>
      </c>
      <c r="E1816" s="22">
        <v>98.657195999999999</v>
      </c>
    </row>
    <row r="1817" spans="1:5" x14ac:dyDescent="0.4">
      <c r="A1817" s="27">
        <v>44614</v>
      </c>
      <c r="B1817" s="21">
        <v>278.09800000000001</v>
      </c>
      <c r="C1817">
        <v>257.5718</v>
      </c>
      <c r="D1817">
        <v>128.377577</v>
      </c>
      <c r="E1817" s="22">
        <v>98.655618000000004</v>
      </c>
    </row>
    <row r="1818" spans="1:5" x14ac:dyDescent="0.4">
      <c r="A1818" s="27">
        <v>44615</v>
      </c>
      <c r="B1818" s="21">
        <v>277.44819999999999</v>
      </c>
      <c r="C1818">
        <v>257.74380000000002</v>
      </c>
      <c r="D1818">
        <v>128.37583100000001</v>
      </c>
      <c r="E1818" s="22">
        <v>98.654042000000004</v>
      </c>
    </row>
    <row r="1819" spans="1:5" x14ac:dyDescent="0.4">
      <c r="A1819" s="27">
        <v>44616</v>
      </c>
      <c r="B1819" s="21">
        <v>268.59089999999998</v>
      </c>
      <c r="C1819">
        <v>258.49590000000001</v>
      </c>
      <c r="D1819">
        <v>128.37408600000001</v>
      </c>
      <c r="E1819" s="22">
        <v>98.652463999999995</v>
      </c>
    </row>
    <row r="1820" spans="1:5" x14ac:dyDescent="0.4">
      <c r="A1820" s="27">
        <v>44617</v>
      </c>
      <c r="B1820" s="21">
        <v>277.43310000000002</v>
      </c>
      <c r="C1820">
        <v>257.82530000000003</v>
      </c>
      <c r="D1820">
        <v>128.37234000000001</v>
      </c>
      <c r="E1820" s="22">
        <v>98.650885000000002</v>
      </c>
    </row>
    <row r="1821" spans="1:5" x14ac:dyDescent="0.4">
      <c r="A1821" s="27">
        <v>44620</v>
      </c>
      <c r="B1821" s="21">
        <v>277.11790000000002</v>
      </c>
      <c r="C1821">
        <v>258.65499999999997</v>
      </c>
      <c r="D1821">
        <v>128.36710199999999</v>
      </c>
      <c r="E1821" s="22">
        <v>98.646158</v>
      </c>
    </row>
    <row r="1822" spans="1:5" x14ac:dyDescent="0.4">
      <c r="A1822" s="27">
        <v>44621</v>
      </c>
      <c r="B1822" s="21">
        <v>270.68920000000003</v>
      </c>
      <c r="C1822">
        <v>262.64609999999999</v>
      </c>
      <c r="D1822">
        <v>128.365343</v>
      </c>
      <c r="E1822" s="22">
        <v>98.644569000000004</v>
      </c>
    </row>
    <row r="1823" spans="1:5" x14ac:dyDescent="0.4">
      <c r="A1823" s="27">
        <v>44622</v>
      </c>
      <c r="B1823" s="21">
        <v>273.04790000000003</v>
      </c>
      <c r="C1823">
        <v>261.2801</v>
      </c>
      <c r="D1823">
        <v>128.363585</v>
      </c>
      <c r="E1823" s="22">
        <v>98.642988000000003</v>
      </c>
    </row>
    <row r="1824" spans="1:5" x14ac:dyDescent="0.4">
      <c r="A1824" s="27">
        <v>44623</v>
      </c>
      <c r="B1824" s="21">
        <v>267.66930000000002</v>
      </c>
      <c r="C1824">
        <v>260.96730000000002</v>
      </c>
      <c r="D1824">
        <v>128.36182600000001</v>
      </c>
      <c r="E1824" s="22">
        <v>98.641403999999994</v>
      </c>
    </row>
    <row r="1825" spans="1:5" x14ac:dyDescent="0.4">
      <c r="A1825" s="27">
        <v>44624</v>
      </c>
      <c r="B1825" s="21">
        <v>258.18900000000002</v>
      </c>
      <c r="C1825">
        <v>262.44189999999998</v>
      </c>
      <c r="D1825">
        <v>128.36006800000001</v>
      </c>
      <c r="E1825" s="22">
        <v>98.639818000000005</v>
      </c>
    </row>
    <row r="1826" spans="1:5" x14ac:dyDescent="0.4">
      <c r="A1826" s="27">
        <v>44627</v>
      </c>
      <c r="B1826" s="21">
        <v>255.4315</v>
      </c>
      <c r="C1826">
        <v>261.50259999999997</v>
      </c>
      <c r="D1826">
        <v>128.354805</v>
      </c>
      <c r="E1826" s="22">
        <v>98.635075000000001</v>
      </c>
    </row>
    <row r="1827" spans="1:5" x14ac:dyDescent="0.4">
      <c r="A1827" s="27">
        <v>44628</v>
      </c>
      <c r="B1827" s="21">
        <v>254.32089999999999</v>
      </c>
      <c r="C1827">
        <v>259.70580000000001</v>
      </c>
      <c r="D1827">
        <v>128.35304600000001</v>
      </c>
      <c r="E1827" s="22">
        <v>98.633488</v>
      </c>
    </row>
    <row r="1828" spans="1:5" x14ac:dyDescent="0.4">
      <c r="A1828" s="27">
        <v>44629</v>
      </c>
      <c r="B1828" s="21">
        <v>266.02269999999999</v>
      </c>
      <c r="C1828">
        <v>258.2672</v>
      </c>
      <c r="D1828">
        <v>128.35128800000001</v>
      </c>
      <c r="E1828" s="22">
        <v>98.631901999999997</v>
      </c>
    </row>
    <row r="1829" spans="1:5" x14ac:dyDescent="0.4">
      <c r="A1829" s="27">
        <v>44630</v>
      </c>
      <c r="B1829" s="21">
        <v>261.71120000000002</v>
      </c>
      <c r="C1829">
        <v>256.51409999999998</v>
      </c>
      <c r="D1829">
        <v>128.34952999999999</v>
      </c>
      <c r="E1829" s="22">
        <v>98.630313000000001</v>
      </c>
    </row>
    <row r="1830" spans="1:5" x14ac:dyDescent="0.4">
      <c r="A1830" s="27">
        <v>44631</v>
      </c>
      <c r="B1830" s="21">
        <v>264.05829999999997</v>
      </c>
      <c r="C1830">
        <v>256.351</v>
      </c>
      <c r="D1830">
        <v>128.34778399999999</v>
      </c>
      <c r="E1830" s="22">
        <v>98.628735000000006</v>
      </c>
    </row>
    <row r="1831" spans="1:5" x14ac:dyDescent="0.4">
      <c r="A1831" s="27">
        <v>44634</v>
      </c>
      <c r="B1831" s="21">
        <v>267.05029999999999</v>
      </c>
      <c r="C1831">
        <v>254.9211</v>
      </c>
      <c r="D1831">
        <v>128.342522</v>
      </c>
      <c r="E1831" s="22">
        <v>98.623992000000001</v>
      </c>
    </row>
    <row r="1832" spans="1:5" x14ac:dyDescent="0.4">
      <c r="A1832" s="27">
        <v>44635</v>
      </c>
      <c r="B1832" s="21">
        <v>266.44310000000002</v>
      </c>
      <c r="C1832">
        <v>255.65209999999999</v>
      </c>
      <c r="D1832">
        <v>128.34076400000001</v>
      </c>
      <c r="E1832" s="22">
        <v>98.622411999999997</v>
      </c>
    </row>
    <row r="1833" spans="1:5" x14ac:dyDescent="0.4">
      <c r="A1833" s="27">
        <v>44636</v>
      </c>
      <c r="B1833" s="21">
        <v>274.41919999999999</v>
      </c>
      <c r="C1833">
        <v>255.1206</v>
      </c>
      <c r="D1833">
        <v>128.33901800000001</v>
      </c>
      <c r="E1833" s="22">
        <v>98.620841999999996</v>
      </c>
    </row>
    <row r="1834" spans="1:5" x14ac:dyDescent="0.4">
      <c r="A1834" s="27">
        <v>44637</v>
      </c>
      <c r="B1834" s="21">
        <v>275.87880000000001</v>
      </c>
      <c r="C1834">
        <v>255.2526</v>
      </c>
      <c r="D1834">
        <v>128.33725999999999</v>
      </c>
      <c r="E1834" s="22">
        <v>98.619260999999995</v>
      </c>
    </row>
    <row r="1835" spans="1:5" x14ac:dyDescent="0.4">
      <c r="A1835" s="27">
        <v>44638</v>
      </c>
      <c r="B1835" s="21">
        <v>278.38900000000001</v>
      </c>
      <c r="C1835">
        <v>255.7056</v>
      </c>
      <c r="D1835">
        <v>128.33550199999999</v>
      </c>
      <c r="E1835" s="22">
        <v>98.617677999999998</v>
      </c>
    </row>
    <row r="1836" spans="1:5" x14ac:dyDescent="0.4">
      <c r="A1836" s="27">
        <v>44641</v>
      </c>
      <c r="B1836" s="21">
        <v>278.52589999999998</v>
      </c>
      <c r="C1836">
        <v>254.5119</v>
      </c>
      <c r="D1836">
        <v>128.33022700000001</v>
      </c>
      <c r="E1836" s="22">
        <v>98.612927999999997</v>
      </c>
    </row>
    <row r="1837" spans="1:5" x14ac:dyDescent="0.4">
      <c r="A1837" s="27">
        <v>44642</v>
      </c>
      <c r="B1837" s="21">
        <v>280.95960000000002</v>
      </c>
      <c r="C1837">
        <v>253.5744</v>
      </c>
      <c r="D1837">
        <v>128.32846900000001</v>
      </c>
      <c r="E1837" s="22">
        <v>98.611345</v>
      </c>
    </row>
    <row r="1838" spans="1:5" x14ac:dyDescent="0.4">
      <c r="A1838" s="27">
        <v>44643</v>
      </c>
      <c r="B1838" s="21">
        <v>278.19869999999997</v>
      </c>
      <c r="C1838">
        <v>254.0224</v>
      </c>
      <c r="D1838">
        <v>128.32671099999999</v>
      </c>
      <c r="E1838" s="22">
        <v>98.609761000000006</v>
      </c>
    </row>
    <row r="1839" spans="1:5" x14ac:dyDescent="0.4">
      <c r="A1839" s="27">
        <v>44644</v>
      </c>
      <c r="B1839" s="21">
        <v>277.70499999999998</v>
      </c>
      <c r="C1839">
        <v>253.48840000000001</v>
      </c>
      <c r="D1839">
        <v>128.32495299999999</v>
      </c>
      <c r="E1839" s="22">
        <v>98.608177999999995</v>
      </c>
    </row>
    <row r="1840" spans="1:5" x14ac:dyDescent="0.4">
      <c r="A1840" s="27">
        <v>44645</v>
      </c>
      <c r="B1840" s="21">
        <v>277.98849999999999</v>
      </c>
      <c r="C1840">
        <v>252.99940000000001</v>
      </c>
      <c r="D1840">
        <v>128.323195</v>
      </c>
      <c r="E1840" s="22">
        <v>98.606592000000006</v>
      </c>
    </row>
    <row r="1841" spans="1:5" x14ac:dyDescent="0.4">
      <c r="A1841" s="27">
        <v>44648</v>
      </c>
      <c r="B1841" s="21">
        <v>278.37939999999998</v>
      </c>
      <c r="C1841">
        <v>252.71510000000001</v>
      </c>
      <c r="D1841">
        <v>128.31789499999999</v>
      </c>
      <c r="E1841" s="22">
        <v>98.601817999999994</v>
      </c>
    </row>
    <row r="1842" spans="1:5" x14ac:dyDescent="0.4">
      <c r="A1842" s="27">
        <v>44649</v>
      </c>
      <c r="B1842" s="21">
        <v>283.10820000000001</v>
      </c>
      <c r="C1842">
        <v>251.858</v>
      </c>
      <c r="D1842">
        <v>128.316137</v>
      </c>
      <c r="E1842" s="22">
        <v>98.600228999999999</v>
      </c>
    </row>
    <row r="1843" spans="1:5" x14ac:dyDescent="0.4">
      <c r="A1843" s="27">
        <v>44650</v>
      </c>
      <c r="B1843" s="21">
        <v>282.04410000000001</v>
      </c>
      <c r="C1843">
        <v>251.45330000000001</v>
      </c>
      <c r="D1843">
        <v>128.314379</v>
      </c>
      <c r="E1843" s="22">
        <v>98.598643999999993</v>
      </c>
    </row>
    <row r="1844" spans="1:5" x14ac:dyDescent="0.4">
      <c r="A1844" s="27">
        <v>44651</v>
      </c>
      <c r="B1844" s="21">
        <v>279.4554</v>
      </c>
      <c r="C1844">
        <v>253.0273</v>
      </c>
      <c r="D1844">
        <v>128.31262100000001</v>
      </c>
      <c r="E1844" s="22">
        <v>98.597058000000004</v>
      </c>
    </row>
    <row r="1845" spans="1:5" x14ac:dyDescent="0.4">
      <c r="A1845" s="27">
        <v>44652</v>
      </c>
      <c r="B1845" s="21">
        <v>281.02159999999998</v>
      </c>
      <c r="C1845">
        <v>252.27430000000001</v>
      </c>
      <c r="D1845">
        <v>128.310812</v>
      </c>
      <c r="E1845" s="22">
        <v>98.595433999999997</v>
      </c>
    </row>
    <row r="1846" spans="1:5" x14ac:dyDescent="0.4">
      <c r="A1846" s="27">
        <v>44655</v>
      </c>
      <c r="B1846" s="21">
        <v>283.34690000000001</v>
      </c>
      <c r="C1846">
        <v>252.91309999999999</v>
      </c>
      <c r="D1846">
        <v>128.30549999999999</v>
      </c>
      <c r="E1846" s="22">
        <v>98.590652000000006</v>
      </c>
    </row>
    <row r="1847" spans="1:5" x14ac:dyDescent="0.4">
      <c r="A1847" s="27">
        <v>44656</v>
      </c>
      <c r="B1847" s="21">
        <v>283.87630000000001</v>
      </c>
      <c r="C1847">
        <v>250.86250000000001</v>
      </c>
      <c r="D1847">
        <v>128.30371600000001</v>
      </c>
      <c r="E1847" s="22">
        <v>98.58905</v>
      </c>
    </row>
    <row r="1848" spans="1:5" x14ac:dyDescent="0.4">
      <c r="A1848" s="27">
        <v>44657</v>
      </c>
      <c r="B1848" s="21">
        <v>279.7903</v>
      </c>
      <c r="C1848">
        <v>250.1044</v>
      </c>
      <c r="D1848">
        <v>128.30193299999999</v>
      </c>
      <c r="E1848" s="22">
        <v>98.587445000000002</v>
      </c>
    </row>
    <row r="1849" spans="1:5" x14ac:dyDescent="0.4">
      <c r="A1849" s="27">
        <v>44658</v>
      </c>
      <c r="B1849" s="21">
        <v>279.35610000000003</v>
      </c>
      <c r="C1849">
        <v>249.70590000000001</v>
      </c>
      <c r="D1849">
        <v>128.30015</v>
      </c>
      <c r="E1849" s="22">
        <v>98.585846000000004</v>
      </c>
    </row>
    <row r="1850" spans="1:5" x14ac:dyDescent="0.4">
      <c r="A1850" s="27">
        <v>44659</v>
      </c>
      <c r="B1850" s="21">
        <v>283.21660000000003</v>
      </c>
      <c r="C1850">
        <v>249.37819999999999</v>
      </c>
      <c r="D1850">
        <v>128.29837900000001</v>
      </c>
      <c r="E1850" s="22">
        <v>98.584252000000006</v>
      </c>
    </row>
    <row r="1851" spans="1:5" x14ac:dyDescent="0.4">
      <c r="A1851" s="27">
        <v>44662</v>
      </c>
      <c r="B1851" s="21">
        <v>281.72050000000002</v>
      </c>
      <c r="C1851">
        <v>247.92140000000001</v>
      </c>
      <c r="D1851">
        <v>128.29305500000001</v>
      </c>
      <c r="E1851" s="22">
        <v>98.579462000000007</v>
      </c>
    </row>
    <row r="1852" spans="1:5" x14ac:dyDescent="0.4">
      <c r="A1852" s="27">
        <v>44663</v>
      </c>
      <c r="B1852" s="21">
        <v>280.68049999999999</v>
      </c>
      <c r="C1852">
        <v>248.18709999999999</v>
      </c>
      <c r="D1852">
        <v>128.29127099999999</v>
      </c>
      <c r="E1852" s="22">
        <v>98.577862999999994</v>
      </c>
    </row>
    <row r="1853" spans="1:5" x14ac:dyDescent="0.4">
      <c r="A1853" s="27">
        <v>44664</v>
      </c>
      <c r="B1853" s="21">
        <v>280.79629999999997</v>
      </c>
      <c r="C1853">
        <v>248.65799999999999</v>
      </c>
      <c r="D1853">
        <v>128.289501</v>
      </c>
      <c r="E1853" s="22">
        <v>98.576267000000001</v>
      </c>
    </row>
    <row r="1854" spans="1:5" x14ac:dyDescent="0.4">
      <c r="A1854" s="27">
        <v>44665</v>
      </c>
      <c r="B1854" s="21">
        <v>282.63619999999997</v>
      </c>
      <c r="C1854">
        <v>247.38910000000001</v>
      </c>
      <c r="D1854">
        <v>128.28771800000001</v>
      </c>
      <c r="E1854" s="22">
        <v>98.574664999999996</v>
      </c>
    </row>
    <row r="1855" spans="1:5" x14ac:dyDescent="0.4">
      <c r="A1855" s="27">
        <v>44670</v>
      </c>
      <c r="B1855" s="21">
        <v>280.66399999999999</v>
      </c>
      <c r="C1855">
        <v>246.19759999999999</v>
      </c>
      <c r="D1855">
        <v>128.27878899999999</v>
      </c>
      <c r="E1855" s="22">
        <v>98.566642000000002</v>
      </c>
    </row>
    <row r="1856" spans="1:5" x14ac:dyDescent="0.4">
      <c r="A1856" s="27">
        <v>44671</v>
      </c>
      <c r="B1856" s="21">
        <v>282.92619999999999</v>
      </c>
      <c r="C1856">
        <v>247.16229999999999</v>
      </c>
      <c r="D1856">
        <v>128.27703199999999</v>
      </c>
      <c r="E1856" s="22">
        <v>98.565054000000003</v>
      </c>
    </row>
    <row r="1857" spans="1:5" x14ac:dyDescent="0.4">
      <c r="A1857" s="27">
        <v>44672</v>
      </c>
      <c r="B1857" s="21">
        <v>283.73329999999999</v>
      </c>
      <c r="C1857">
        <v>246.12219999999999</v>
      </c>
      <c r="D1857">
        <v>128.275261</v>
      </c>
      <c r="E1857" s="22">
        <v>98.563457999999997</v>
      </c>
    </row>
    <row r="1858" spans="1:5" x14ac:dyDescent="0.4">
      <c r="A1858" s="27">
        <v>44673</v>
      </c>
      <c r="B1858" s="21">
        <v>278.8852</v>
      </c>
      <c r="C1858">
        <v>245.27500000000001</v>
      </c>
      <c r="D1858">
        <v>128.27347800000001</v>
      </c>
      <c r="E1858" s="22">
        <v>98.561856000000006</v>
      </c>
    </row>
    <row r="1859" spans="1:5" x14ac:dyDescent="0.4">
      <c r="A1859" s="27">
        <v>44676</v>
      </c>
      <c r="B1859" s="21">
        <v>273.94720000000001</v>
      </c>
      <c r="C1859">
        <v>246.6062</v>
      </c>
      <c r="D1859">
        <v>128.26815500000001</v>
      </c>
      <c r="E1859" s="22">
        <v>98.557067000000004</v>
      </c>
    </row>
    <row r="1860" spans="1:5" x14ac:dyDescent="0.4">
      <c r="A1860" s="27">
        <v>44677</v>
      </c>
      <c r="B1860" s="21">
        <v>271.67829999999998</v>
      </c>
      <c r="C1860">
        <v>247.24359999999999</v>
      </c>
      <c r="D1860">
        <v>128.26637199999999</v>
      </c>
      <c r="E1860" s="22">
        <v>98.555465999999996</v>
      </c>
    </row>
    <row r="1861" spans="1:5" x14ac:dyDescent="0.4">
      <c r="A1861" s="27">
        <v>44678</v>
      </c>
      <c r="B1861" s="21">
        <v>273.89499999999998</v>
      </c>
      <c r="C1861">
        <v>246.8511</v>
      </c>
      <c r="D1861">
        <v>128.264602</v>
      </c>
      <c r="E1861" s="22">
        <v>98.553872999999996</v>
      </c>
    </row>
    <row r="1862" spans="1:5" x14ac:dyDescent="0.4">
      <c r="A1862" s="27">
        <v>44679</v>
      </c>
      <c r="B1862" s="21">
        <v>275.70299999999997</v>
      </c>
      <c r="C1862">
        <v>245.09950000000001</v>
      </c>
      <c r="D1862">
        <v>128.262832</v>
      </c>
      <c r="E1862" s="22">
        <v>98.552277000000004</v>
      </c>
    </row>
    <row r="1863" spans="1:5" x14ac:dyDescent="0.4">
      <c r="A1863" s="27">
        <v>44680</v>
      </c>
      <c r="B1863" s="21">
        <v>277.78910000000002</v>
      </c>
      <c r="C1863">
        <v>244.37970000000001</v>
      </c>
      <c r="D1863">
        <v>128.26106200000001</v>
      </c>
      <c r="E1863" s="22">
        <v>98.550680999999997</v>
      </c>
    </row>
    <row r="1864" spans="1:5" x14ac:dyDescent="0.4">
      <c r="A1864" s="27">
        <v>44683</v>
      </c>
      <c r="B1864" s="21">
        <v>274.18950000000001</v>
      </c>
      <c r="C1864">
        <v>244.01859999999999</v>
      </c>
      <c r="D1864">
        <v>128.25570099999999</v>
      </c>
      <c r="E1864" s="22">
        <v>98.545867999999999</v>
      </c>
    </row>
    <row r="1865" spans="1:5" x14ac:dyDescent="0.4">
      <c r="A1865" s="27">
        <v>44684</v>
      </c>
      <c r="B1865" s="21">
        <v>275.64980000000003</v>
      </c>
      <c r="C1865">
        <v>244.25149999999999</v>
      </c>
      <c r="D1865">
        <v>128.25393099999999</v>
      </c>
      <c r="E1865" s="22">
        <v>98.544272000000007</v>
      </c>
    </row>
    <row r="1866" spans="1:5" x14ac:dyDescent="0.4">
      <c r="A1866" s="27">
        <v>44685</v>
      </c>
      <c r="B1866" s="21">
        <v>272.81900000000002</v>
      </c>
      <c r="C1866">
        <v>243.50700000000001</v>
      </c>
      <c r="D1866">
        <v>128.252174</v>
      </c>
      <c r="E1866" s="22">
        <v>98.542687000000001</v>
      </c>
    </row>
    <row r="1867" spans="1:5" x14ac:dyDescent="0.4">
      <c r="A1867" s="27">
        <v>44686</v>
      </c>
      <c r="B1867" s="21">
        <v>271.14109999999999</v>
      </c>
      <c r="C1867">
        <v>242.8177</v>
      </c>
      <c r="D1867">
        <v>128.25039100000001</v>
      </c>
      <c r="E1867" s="22">
        <v>98.541086000000007</v>
      </c>
    </row>
    <row r="1868" spans="1:5" x14ac:dyDescent="0.4">
      <c r="A1868" s="27">
        <v>44687</v>
      </c>
      <c r="B1868" s="21">
        <v>266.25940000000003</v>
      </c>
      <c r="C1868">
        <v>240.8058</v>
      </c>
      <c r="D1868">
        <v>128.24860799999999</v>
      </c>
      <c r="E1868" s="22">
        <v>98.539484999999999</v>
      </c>
    </row>
    <row r="1869" spans="1:5" x14ac:dyDescent="0.4">
      <c r="A1869" s="27">
        <v>44690</v>
      </c>
      <c r="B1869" s="21">
        <v>258.65980000000002</v>
      </c>
      <c r="C1869">
        <v>241.25190000000001</v>
      </c>
      <c r="D1869">
        <v>128.24325999999999</v>
      </c>
      <c r="E1869" s="22">
        <v>98.534681000000006</v>
      </c>
    </row>
    <row r="1870" spans="1:5" x14ac:dyDescent="0.4">
      <c r="A1870" s="27">
        <v>44691</v>
      </c>
      <c r="B1870" s="21">
        <v>260.5557</v>
      </c>
      <c r="C1870">
        <v>242.72970000000001</v>
      </c>
      <c r="D1870">
        <v>128.241478</v>
      </c>
      <c r="E1870" s="22">
        <v>98.533077000000006</v>
      </c>
    </row>
    <row r="1871" spans="1:5" x14ac:dyDescent="0.4">
      <c r="A1871" s="27">
        <v>44692</v>
      </c>
      <c r="B1871" s="21">
        <v>265.0729</v>
      </c>
      <c r="C1871">
        <v>243.12029999999999</v>
      </c>
      <c r="D1871">
        <v>128.23969500000001</v>
      </c>
      <c r="E1871" s="22">
        <v>98.531478000000007</v>
      </c>
    </row>
    <row r="1872" spans="1:5" x14ac:dyDescent="0.4">
      <c r="A1872" s="27">
        <v>44693</v>
      </c>
      <c r="B1872" s="21">
        <v>263.16849999999999</v>
      </c>
      <c r="C1872">
        <v>245.32499999999999</v>
      </c>
      <c r="D1872">
        <v>128.23791299999999</v>
      </c>
      <c r="E1872" s="22">
        <v>98.529880000000006</v>
      </c>
    </row>
    <row r="1873" spans="1:5" x14ac:dyDescent="0.4">
      <c r="A1873" s="27">
        <v>44694</v>
      </c>
      <c r="B1873" s="21">
        <v>268.70299999999997</v>
      </c>
      <c r="C1873">
        <v>244.16470000000001</v>
      </c>
      <c r="D1873">
        <v>128.23615599999999</v>
      </c>
      <c r="E1873" s="22">
        <v>98.528300999999999</v>
      </c>
    </row>
    <row r="1874" spans="1:5" x14ac:dyDescent="0.4">
      <c r="A1874" s="27">
        <v>44697</v>
      </c>
      <c r="B1874" s="21">
        <v>268.89109999999999</v>
      </c>
      <c r="C1874">
        <v>244.41589999999999</v>
      </c>
      <c r="D1874">
        <v>128.230795</v>
      </c>
      <c r="E1874" s="22">
        <v>98.523488999999998</v>
      </c>
    </row>
    <row r="1875" spans="1:5" x14ac:dyDescent="0.4">
      <c r="A1875" s="27">
        <v>44698</v>
      </c>
      <c r="B1875" s="21">
        <v>272.17039999999997</v>
      </c>
      <c r="C1875">
        <v>242.8982</v>
      </c>
      <c r="D1875">
        <v>128.22901300000001</v>
      </c>
      <c r="E1875" s="22">
        <v>98.521888000000004</v>
      </c>
    </row>
    <row r="1876" spans="1:5" x14ac:dyDescent="0.4">
      <c r="A1876" s="27">
        <v>44699</v>
      </c>
      <c r="B1876" s="21">
        <v>269.06</v>
      </c>
      <c r="C1876">
        <v>243.3065</v>
      </c>
      <c r="D1876">
        <v>128.22723099999999</v>
      </c>
      <c r="E1876" s="22">
        <v>98.520286999999996</v>
      </c>
    </row>
    <row r="1877" spans="1:5" x14ac:dyDescent="0.4">
      <c r="A1877" s="27">
        <v>44700</v>
      </c>
      <c r="B1877" s="21">
        <v>265.45479999999998</v>
      </c>
      <c r="C1877">
        <v>243.8766</v>
      </c>
      <c r="D1877">
        <v>128.225448</v>
      </c>
      <c r="E1877" s="22">
        <v>98.518686000000002</v>
      </c>
    </row>
    <row r="1878" spans="1:5" x14ac:dyDescent="0.4">
      <c r="A1878" s="27">
        <v>44701</v>
      </c>
      <c r="B1878" s="21">
        <v>267.41469999999998</v>
      </c>
      <c r="C1878">
        <v>243.42670000000001</v>
      </c>
      <c r="D1878">
        <v>128.22366600000001</v>
      </c>
      <c r="E1878" s="22">
        <v>98.517086000000006</v>
      </c>
    </row>
    <row r="1879" spans="1:5" x14ac:dyDescent="0.4">
      <c r="A1879" s="27">
        <v>44704</v>
      </c>
      <c r="B1879" s="21">
        <v>271.00099999999998</v>
      </c>
      <c r="C1879">
        <v>242.53870000000001</v>
      </c>
      <c r="D1879">
        <v>128.21831900000001</v>
      </c>
      <c r="E1879" s="22">
        <v>98.512282999999996</v>
      </c>
    </row>
    <row r="1880" spans="1:5" x14ac:dyDescent="0.4">
      <c r="A1880" s="27">
        <v>44705</v>
      </c>
      <c r="B1880" s="21">
        <v>268.13440000000003</v>
      </c>
      <c r="C1880">
        <v>243.11760000000001</v>
      </c>
      <c r="D1880">
        <v>128.21653699999999</v>
      </c>
      <c r="E1880" s="22">
        <v>98.510678999999996</v>
      </c>
    </row>
    <row r="1881" spans="1:5" x14ac:dyDescent="0.4">
      <c r="A1881" s="27">
        <v>44706</v>
      </c>
      <c r="B1881" s="21">
        <v>269.84739999999999</v>
      </c>
      <c r="C1881">
        <v>243.16210000000001</v>
      </c>
      <c r="D1881">
        <v>128.214755</v>
      </c>
      <c r="E1881" s="22">
        <v>98.509073000000001</v>
      </c>
    </row>
    <row r="1882" spans="1:5" x14ac:dyDescent="0.4">
      <c r="A1882" s="27">
        <v>44707</v>
      </c>
      <c r="B1882" s="21">
        <v>271.95440000000002</v>
      </c>
      <c r="C1882">
        <v>242.4982</v>
      </c>
      <c r="D1882">
        <v>128.21297200000001</v>
      </c>
      <c r="E1882" s="22">
        <v>98.507467000000005</v>
      </c>
    </row>
    <row r="1883" spans="1:5" x14ac:dyDescent="0.4">
      <c r="A1883" s="27">
        <v>44708</v>
      </c>
      <c r="B1883" s="21">
        <v>275.79590000000002</v>
      </c>
      <c r="C1883">
        <v>243.11529999999999</v>
      </c>
      <c r="D1883">
        <v>128.21117699999999</v>
      </c>
      <c r="E1883" s="22">
        <v>98.505852000000004</v>
      </c>
    </row>
    <row r="1884" spans="1:5" x14ac:dyDescent="0.4">
      <c r="A1884" s="27">
        <v>44711</v>
      </c>
      <c r="B1884" s="21">
        <v>277.5376</v>
      </c>
      <c r="C1884">
        <v>242.0635</v>
      </c>
      <c r="D1884">
        <v>128.20583099999999</v>
      </c>
      <c r="E1884" s="22">
        <v>98.501050000000006</v>
      </c>
    </row>
    <row r="1885" spans="1:5" x14ac:dyDescent="0.4">
      <c r="A1885" s="27">
        <v>44712</v>
      </c>
      <c r="B1885" s="21">
        <v>275.60860000000002</v>
      </c>
      <c r="C1885">
        <v>240.6927</v>
      </c>
      <c r="D1885">
        <v>128.204049</v>
      </c>
      <c r="E1885" s="22">
        <v>98.499447000000004</v>
      </c>
    </row>
    <row r="1886" spans="1:5" x14ac:dyDescent="0.4">
      <c r="A1886" s="27">
        <v>44713</v>
      </c>
      <c r="B1886" s="21">
        <v>272.9529</v>
      </c>
      <c r="C1886">
        <v>239.8749</v>
      </c>
      <c r="D1886">
        <v>128.20225400000001</v>
      </c>
      <c r="E1886" s="22">
        <v>98.497834999999995</v>
      </c>
    </row>
    <row r="1887" spans="1:5" x14ac:dyDescent="0.4">
      <c r="A1887" s="27">
        <v>44718</v>
      </c>
      <c r="B1887" s="21">
        <v>276.17489999999998</v>
      </c>
      <c r="C1887">
        <v>237.28210000000001</v>
      </c>
      <c r="D1887">
        <v>128.193344</v>
      </c>
      <c r="E1887" s="22">
        <v>98.489823999999999</v>
      </c>
    </row>
    <row r="1888" spans="1:5" x14ac:dyDescent="0.4">
      <c r="A1888" s="27">
        <v>44719</v>
      </c>
      <c r="B1888" s="21">
        <v>275.53019999999998</v>
      </c>
      <c r="C1888">
        <v>238.1533</v>
      </c>
      <c r="D1888">
        <v>128.19154900000001</v>
      </c>
      <c r="E1888" s="22">
        <v>98.488209999999995</v>
      </c>
    </row>
    <row r="1889" spans="1:5" x14ac:dyDescent="0.4">
      <c r="A1889" s="27">
        <v>44720</v>
      </c>
      <c r="B1889" s="21">
        <v>274.00080000000003</v>
      </c>
      <c r="C1889">
        <v>237.1771</v>
      </c>
      <c r="D1889">
        <v>128.18978000000001</v>
      </c>
      <c r="E1889" s="22">
        <v>98.486615</v>
      </c>
    </row>
    <row r="1890" spans="1:5" x14ac:dyDescent="0.4">
      <c r="A1890" s="27">
        <v>44721</v>
      </c>
      <c r="B1890" s="21">
        <v>270.33449999999999</v>
      </c>
      <c r="C1890">
        <v>235.4194</v>
      </c>
      <c r="D1890">
        <v>128.18801099999999</v>
      </c>
      <c r="E1890" s="22">
        <v>98.485022999999998</v>
      </c>
    </row>
    <row r="1891" spans="1:5" x14ac:dyDescent="0.4">
      <c r="A1891" s="27">
        <v>44722</v>
      </c>
      <c r="B1891" s="21">
        <v>263.27480000000003</v>
      </c>
      <c r="C1891">
        <v>233.86789999999999</v>
      </c>
      <c r="D1891">
        <v>128.18624199999999</v>
      </c>
      <c r="E1891" s="22">
        <v>98.483430999999996</v>
      </c>
    </row>
    <row r="1892" spans="1:5" x14ac:dyDescent="0.4">
      <c r="A1892" s="27">
        <v>44725</v>
      </c>
      <c r="B1892" s="21">
        <v>257.12700000000001</v>
      </c>
      <c r="C1892">
        <v>230.9204</v>
      </c>
      <c r="D1892">
        <v>128.180948</v>
      </c>
      <c r="E1892" s="22">
        <v>98.478662999999997</v>
      </c>
    </row>
    <row r="1893" spans="1:5" x14ac:dyDescent="0.4">
      <c r="A1893" s="27">
        <v>44726</v>
      </c>
      <c r="B1893" s="21">
        <v>253.98310000000001</v>
      </c>
      <c r="C1893">
        <v>229.14359999999999</v>
      </c>
      <c r="D1893">
        <v>128.179192</v>
      </c>
      <c r="E1893" s="22">
        <v>98.477075999999997</v>
      </c>
    </row>
    <row r="1894" spans="1:5" x14ac:dyDescent="0.4">
      <c r="A1894" s="27">
        <v>44727</v>
      </c>
      <c r="B1894" s="21">
        <v>257.46690000000001</v>
      </c>
      <c r="C1894">
        <v>231.18369999999999</v>
      </c>
      <c r="D1894">
        <v>128.177436</v>
      </c>
      <c r="E1894" s="22">
        <v>98.475494999999995</v>
      </c>
    </row>
    <row r="1895" spans="1:5" x14ac:dyDescent="0.4">
      <c r="A1895" s="27">
        <v>44728</v>
      </c>
      <c r="B1895" s="21">
        <v>251.29300000000001</v>
      </c>
      <c r="C1895">
        <v>230.4597</v>
      </c>
      <c r="D1895">
        <v>128.17568</v>
      </c>
      <c r="E1895" s="22">
        <v>98.473907999999994</v>
      </c>
    </row>
    <row r="1896" spans="1:5" x14ac:dyDescent="0.4">
      <c r="A1896" s="27">
        <v>44729</v>
      </c>
      <c r="B1896" s="21">
        <v>251.2963</v>
      </c>
      <c r="C1896">
        <v>231.21539999999999</v>
      </c>
      <c r="D1896">
        <v>128.173911</v>
      </c>
      <c r="E1896" s="22">
        <v>98.472316000000006</v>
      </c>
    </row>
    <row r="1897" spans="1:5" x14ac:dyDescent="0.4">
      <c r="A1897" s="27">
        <v>44732</v>
      </c>
      <c r="B1897" s="21">
        <v>253.8158</v>
      </c>
      <c r="C1897">
        <v>230.19370000000001</v>
      </c>
      <c r="D1897">
        <v>128.16860500000001</v>
      </c>
      <c r="E1897" s="22">
        <v>98.46754</v>
      </c>
    </row>
    <row r="1898" spans="1:5" x14ac:dyDescent="0.4">
      <c r="A1898" s="27">
        <v>44733</v>
      </c>
      <c r="B1898" s="21">
        <v>254.71180000000001</v>
      </c>
      <c r="C1898">
        <v>229.72579999999999</v>
      </c>
      <c r="D1898">
        <v>128.16683599999999</v>
      </c>
      <c r="E1898" s="22">
        <v>98.465951000000004</v>
      </c>
    </row>
    <row r="1899" spans="1:5" x14ac:dyDescent="0.4">
      <c r="A1899" s="27">
        <v>44734</v>
      </c>
      <c r="B1899" s="21">
        <v>252.94980000000001</v>
      </c>
      <c r="C1899">
        <v>231.87450000000001</v>
      </c>
      <c r="D1899">
        <v>128.16506699999999</v>
      </c>
      <c r="E1899" s="22">
        <v>98.464359000000002</v>
      </c>
    </row>
    <row r="1900" spans="1:5" x14ac:dyDescent="0.4">
      <c r="A1900" s="27">
        <v>44735</v>
      </c>
      <c r="B1900" s="21">
        <v>250.88640000000001</v>
      </c>
      <c r="C1900">
        <v>234.76329999999999</v>
      </c>
      <c r="D1900">
        <v>128.16331199999999</v>
      </c>
      <c r="E1900" s="22">
        <v>98.462776000000005</v>
      </c>
    </row>
    <row r="1901" spans="1:5" x14ac:dyDescent="0.4">
      <c r="A1901" s="27">
        <v>44736</v>
      </c>
      <c r="B1901" s="21">
        <v>257.58710000000002</v>
      </c>
      <c r="C1901">
        <v>234.54349999999999</v>
      </c>
      <c r="D1901">
        <v>128.16155599999999</v>
      </c>
      <c r="E1901" s="22">
        <v>98.461195000000004</v>
      </c>
    </row>
    <row r="1902" spans="1:5" x14ac:dyDescent="0.4">
      <c r="A1902" s="27">
        <v>44739</v>
      </c>
      <c r="B1902" s="21">
        <v>258.9289</v>
      </c>
      <c r="C1902">
        <v>233.1191</v>
      </c>
      <c r="D1902">
        <v>128.15627599999999</v>
      </c>
      <c r="E1902" s="22">
        <v>98.456435999999997</v>
      </c>
    </row>
    <row r="1903" spans="1:5" x14ac:dyDescent="0.4">
      <c r="A1903" s="27">
        <v>44740</v>
      </c>
      <c r="B1903" s="21">
        <v>259.62639999999999</v>
      </c>
      <c r="C1903">
        <v>231.76310000000001</v>
      </c>
      <c r="D1903">
        <v>128.15451999999999</v>
      </c>
      <c r="E1903" s="22">
        <v>98.454852000000002</v>
      </c>
    </row>
    <row r="1904" spans="1:5" x14ac:dyDescent="0.4">
      <c r="A1904" s="27">
        <v>44741</v>
      </c>
      <c r="B1904" s="21">
        <v>258.19819999999999</v>
      </c>
      <c r="C1904">
        <v>233.58369999999999</v>
      </c>
      <c r="D1904">
        <v>128.15275099999999</v>
      </c>
      <c r="E1904" s="22">
        <v>98.453263000000007</v>
      </c>
    </row>
    <row r="1905" spans="1:5" x14ac:dyDescent="0.4">
      <c r="A1905" s="27">
        <v>44742</v>
      </c>
      <c r="B1905" s="21">
        <v>254.3175</v>
      </c>
      <c r="C1905">
        <v>235.05680000000001</v>
      </c>
      <c r="D1905">
        <v>128.15099599999999</v>
      </c>
      <c r="E1905" s="22">
        <v>98.451683000000003</v>
      </c>
    </row>
    <row r="1906" spans="1:5" x14ac:dyDescent="0.4">
      <c r="A1906" s="27">
        <v>44743</v>
      </c>
      <c r="B1906" s="21">
        <v>254.3227</v>
      </c>
      <c r="C1906">
        <v>237.61170000000001</v>
      </c>
      <c r="D1906">
        <v>128.14918900000001</v>
      </c>
      <c r="E1906" s="22">
        <v>98.450066000000007</v>
      </c>
    </row>
    <row r="1907" spans="1:5" x14ac:dyDescent="0.4">
      <c r="A1907" s="27">
        <v>44746</v>
      </c>
      <c r="B1907" s="21">
        <v>255.90199999999999</v>
      </c>
      <c r="C1907">
        <v>235.43629999999999</v>
      </c>
      <c r="D1907">
        <v>128.14390900000001</v>
      </c>
      <c r="E1907" s="22">
        <v>98.445307999999997</v>
      </c>
    </row>
    <row r="1908" spans="1:5" x14ac:dyDescent="0.4">
      <c r="A1908" s="27">
        <v>44747</v>
      </c>
      <c r="B1908" s="21">
        <v>250.5498</v>
      </c>
      <c r="C1908">
        <v>237.55940000000001</v>
      </c>
      <c r="D1908">
        <v>128.14215300000001</v>
      </c>
      <c r="E1908" s="22">
        <v>98.443721999999994</v>
      </c>
    </row>
    <row r="1909" spans="1:5" x14ac:dyDescent="0.4">
      <c r="A1909" s="27">
        <v>44748</v>
      </c>
      <c r="B1909" s="21">
        <v>254.63749999999999</v>
      </c>
      <c r="C1909">
        <v>238.27690000000001</v>
      </c>
      <c r="D1909">
        <v>128.140398</v>
      </c>
      <c r="E1909" s="22">
        <v>98.442136000000005</v>
      </c>
    </row>
    <row r="1910" spans="1:5" x14ac:dyDescent="0.4">
      <c r="A1910" s="27">
        <v>44749</v>
      </c>
      <c r="B1910" s="21">
        <v>259.39240000000001</v>
      </c>
      <c r="C1910">
        <v>236.785</v>
      </c>
      <c r="D1910">
        <v>128.138642</v>
      </c>
      <c r="E1910" s="22">
        <v>98.440550000000002</v>
      </c>
    </row>
    <row r="1911" spans="1:5" x14ac:dyDescent="0.4">
      <c r="A1911" s="27">
        <v>44750</v>
      </c>
      <c r="B1911" s="21">
        <v>260.75130000000001</v>
      </c>
      <c r="C1911">
        <v>236.51400000000001</v>
      </c>
      <c r="D1911">
        <v>128.136887</v>
      </c>
      <c r="E1911" s="22">
        <v>98.438967000000005</v>
      </c>
    </row>
    <row r="1912" spans="1:5" x14ac:dyDescent="0.4">
      <c r="A1912" s="27">
        <v>44753</v>
      </c>
      <c r="B1912" s="21">
        <v>259.50670000000002</v>
      </c>
      <c r="C1912">
        <v>237.74100000000001</v>
      </c>
      <c r="D1912">
        <v>128.131608</v>
      </c>
      <c r="E1912" s="22">
        <v>98.434217000000004</v>
      </c>
    </row>
    <row r="1913" spans="1:5" x14ac:dyDescent="0.4">
      <c r="A1913" s="27">
        <v>44754</v>
      </c>
      <c r="B1913" s="21">
        <v>260.77629999999999</v>
      </c>
      <c r="C1913">
        <v>239.6865</v>
      </c>
      <c r="D1913">
        <v>128.129852</v>
      </c>
      <c r="E1913" s="22">
        <v>98.432631000000001</v>
      </c>
    </row>
    <row r="1914" spans="1:5" x14ac:dyDescent="0.4">
      <c r="A1914" s="27">
        <v>44755</v>
      </c>
      <c r="B1914" s="21">
        <v>258.15390000000002</v>
      </c>
      <c r="C1914">
        <v>239.13069999999999</v>
      </c>
      <c r="D1914">
        <v>128.128097</v>
      </c>
      <c r="E1914" s="22">
        <v>98.431044999999997</v>
      </c>
    </row>
    <row r="1915" spans="1:5" x14ac:dyDescent="0.4">
      <c r="A1915" s="27">
        <v>44756</v>
      </c>
      <c r="B1915" s="21">
        <v>254.2713</v>
      </c>
      <c r="C1915">
        <v>238.1739</v>
      </c>
      <c r="D1915">
        <v>128.126329</v>
      </c>
      <c r="E1915" s="22">
        <v>98.429456999999999</v>
      </c>
    </row>
    <row r="1916" spans="1:5" x14ac:dyDescent="0.4">
      <c r="A1916" s="27">
        <v>44757</v>
      </c>
      <c r="B1916" s="21">
        <v>258.72859999999997</v>
      </c>
      <c r="C1916">
        <v>239.0291</v>
      </c>
      <c r="D1916">
        <v>128.12456</v>
      </c>
      <c r="E1916" s="22">
        <v>98.427864999999997</v>
      </c>
    </row>
    <row r="1917" spans="1:5" x14ac:dyDescent="0.4">
      <c r="A1917" s="27">
        <v>44760</v>
      </c>
      <c r="B1917" s="21">
        <v>261.10730000000001</v>
      </c>
      <c r="C1917">
        <v>238.02719999999999</v>
      </c>
      <c r="D1917">
        <v>128.11925600000001</v>
      </c>
      <c r="E1917" s="22">
        <v>98.423091999999997</v>
      </c>
    </row>
    <row r="1918" spans="1:5" x14ac:dyDescent="0.4">
      <c r="A1918" s="27">
        <v>44761</v>
      </c>
      <c r="B1918" s="21">
        <v>264.69749999999999</v>
      </c>
      <c r="C1918">
        <v>237.34370000000001</v>
      </c>
      <c r="D1918">
        <v>128.11748800000001</v>
      </c>
      <c r="E1918" s="22">
        <v>98.421499999999995</v>
      </c>
    </row>
    <row r="1919" spans="1:5" x14ac:dyDescent="0.4">
      <c r="A1919" s="27">
        <v>44762</v>
      </c>
      <c r="B1919" s="21">
        <v>264.0145</v>
      </c>
      <c r="C1919">
        <v>237.6173</v>
      </c>
      <c r="D1919">
        <v>128.11572000000001</v>
      </c>
      <c r="E1919" s="22">
        <v>98.419906999999995</v>
      </c>
    </row>
    <row r="1920" spans="1:5" x14ac:dyDescent="0.4">
      <c r="A1920" s="27">
        <v>44763</v>
      </c>
      <c r="B1920" s="21">
        <v>265.0883</v>
      </c>
      <c r="C1920">
        <v>238.0077</v>
      </c>
      <c r="D1920">
        <v>128.11395200000001</v>
      </c>
      <c r="E1920" s="22">
        <v>98.418315000000007</v>
      </c>
    </row>
    <row r="1921" spans="1:5" x14ac:dyDescent="0.4">
      <c r="A1921" s="27">
        <v>44764</v>
      </c>
      <c r="B1921" s="21">
        <v>265.80250000000001</v>
      </c>
      <c r="C1921">
        <v>240.62520000000001</v>
      </c>
      <c r="D1921">
        <v>128.11217099999999</v>
      </c>
      <c r="E1921" s="22">
        <v>98.416719000000001</v>
      </c>
    </row>
    <row r="1922" spans="1:5" x14ac:dyDescent="0.4">
      <c r="A1922" s="27">
        <v>44767</v>
      </c>
      <c r="B1922" s="21">
        <v>266.26209999999998</v>
      </c>
      <c r="C1922">
        <v>241.07050000000001</v>
      </c>
      <c r="D1922">
        <v>128.10686699999999</v>
      </c>
      <c r="E1922" s="22">
        <v>98.411946</v>
      </c>
    </row>
    <row r="1923" spans="1:5" x14ac:dyDescent="0.4">
      <c r="A1923" s="27">
        <v>44768</v>
      </c>
      <c r="B1923" s="21">
        <v>266.3947</v>
      </c>
      <c r="C1923">
        <v>242.18709999999999</v>
      </c>
      <c r="D1923">
        <v>128.105099</v>
      </c>
      <c r="E1923" s="22">
        <v>98.410352000000003</v>
      </c>
    </row>
    <row r="1924" spans="1:5" x14ac:dyDescent="0.4">
      <c r="A1924" s="27">
        <v>44769</v>
      </c>
      <c r="B1924" s="21">
        <v>267.57749999999999</v>
      </c>
      <c r="C1924">
        <v>242.1326</v>
      </c>
      <c r="D1924">
        <v>128.10333199999999</v>
      </c>
      <c r="E1924" s="22">
        <v>98.408764000000005</v>
      </c>
    </row>
    <row r="1925" spans="1:5" x14ac:dyDescent="0.4">
      <c r="A1925" s="27">
        <v>44770</v>
      </c>
      <c r="B1925" s="21">
        <v>270.3252</v>
      </c>
      <c r="C1925">
        <v>244.35659999999999</v>
      </c>
      <c r="D1925">
        <v>128.10333199999999</v>
      </c>
      <c r="E1925" s="22">
        <v>98.408530999999996</v>
      </c>
    </row>
    <row r="1926" spans="1:5" x14ac:dyDescent="0.4">
      <c r="A1926" s="27">
        <v>44771</v>
      </c>
      <c r="B1926" s="21">
        <v>273.65839999999997</v>
      </c>
      <c r="C1926">
        <v>244.7971</v>
      </c>
      <c r="D1926">
        <v>128.103319</v>
      </c>
      <c r="E1926" s="22">
        <v>98.408293999999998</v>
      </c>
    </row>
    <row r="1927" spans="1:5" x14ac:dyDescent="0.4">
      <c r="A1927" s="27">
        <v>44774</v>
      </c>
      <c r="B1927" s="21">
        <v>273.1782</v>
      </c>
      <c r="C1927">
        <v>245.7919</v>
      </c>
      <c r="D1927">
        <v>128.10325499999999</v>
      </c>
      <c r="E1927" s="22">
        <v>98.407546999999994</v>
      </c>
    </row>
    <row r="1928" spans="1:5" x14ac:dyDescent="0.4">
      <c r="A1928" s="27">
        <v>44775</v>
      </c>
      <c r="B1928" s="21">
        <v>272.49290000000002</v>
      </c>
      <c r="C1928">
        <v>245.292</v>
      </c>
      <c r="D1928">
        <v>128.10324199999999</v>
      </c>
      <c r="E1928" s="22">
        <v>98.407307000000003</v>
      </c>
    </row>
    <row r="1929" spans="1:5" x14ac:dyDescent="0.4">
      <c r="A1929" s="27">
        <v>44776</v>
      </c>
      <c r="B1929" s="21">
        <v>273.72710000000001</v>
      </c>
      <c r="C1929">
        <v>244.39779999999999</v>
      </c>
      <c r="D1929">
        <v>128.103229</v>
      </c>
      <c r="E1929" s="22">
        <v>98.407069000000007</v>
      </c>
    </row>
    <row r="1930" spans="1:5" x14ac:dyDescent="0.4">
      <c r="A1930" s="27">
        <v>44777</v>
      </c>
      <c r="B1930" s="21">
        <v>274.2321</v>
      </c>
      <c r="C1930">
        <v>245.43950000000001</v>
      </c>
      <c r="D1930">
        <v>128.103216</v>
      </c>
      <c r="E1930" s="22">
        <v>98.406830999999997</v>
      </c>
    </row>
    <row r="1931" spans="1:5" x14ac:dyDescent="0.4">
      <c r="A1931" s="27">
        <v>44778</v>
      </c>
      <c r="B1931" s="21">
        <v>272.2303</v>
      </c>
      <c r="C1931">
        <v>243.50700000000001</v>
      </c>
      <c r="D1931">
        <v>128.103216</v>
      </c>
      <c r="E1931" s="22">
        <v>98.406600999999995</v>
      </c>
    </row>
    <row r="1932" spans="1:5" x14ac:dyDescent="0.4">
      <c r="A1932" s="27">
        <v>44781</v>
      </c>
      <c r="B1932" s="21">
        <v>274.18619999999999</v>
      </c>
      <c r="C1932">
        <v>243.9975</v>
      </c>
      <c r="D1932">
        <v>128.103216</v>
      </c>
      <c r="E1932" s="22">
        <v>98.405904000000007</v>
      </c>
    </row>
    <row r="1933" spans="1:5" x14ac:dyDescent="0.4">
      <c r="A1933" s="27">
        <v>44782</v>
      </c>
      <c r="B1933" s="21">
        <v>272.48950000000002</v>
      </c>
      <c r="C1933">
        <v>243.24279999999999</v>
      </c>
      <c r="D1933">
        <v>128.103216</v>
      </c>
      <c r="E1933" s="22">
        <v>98.405671999999996</v>
      </c>
    </row>
    <row r="1934" spans="1:5" x14ac:dyDescent="0.4">
      <c r="A1934" s="27">
        <v>44783</v>
      </c>
      <c r="B1934" s="21">
        <v>274.62880000000001</v>
      </c>
      <c r="C1934">
        <v>244.05779999999999</v>
      </c>
      <c r="D1934">
        <v>128.103216</v>
      </c>
      <c r="E1934" s="22">
        <v>98.405439999999999</v>
      </c>
    </row>
    <row r="1935" spans="1:5" x14ac:dyDescent="0.4">
      <c r="A1935" s="27">
        <v>44784</v>
      </c>
      <c r="B1935" s="21">
        <v>275.09339999999997</v>
      </c>
      <c r="C1935">
        <v>242.7116</v>
      </c>
      <c r="D1935">
        <v>128.103216</v>
      </c>
      <c r="E1935" s="22">
        <v>98.405204999999995</v>
      </c>
    </row>
    <row r="1936" spans="1:5" x14ac:dyDescent="0.4">
      <c r="A1936" s="27">
        <v>44785</v>
      </c>
      <c r="B1936" s="21">
        <v>275.4855</v>
      </c>
      <c r="C1936">
        <v>242.3999</v>
      </c>
      <c r="D1936">
        <v>128.103216</v>
      </c>
      <c r="E1936" s="22">
        <v>98.404972000000001</v>
      </c>
    </row>
    <row r="1937" spans="1:5" x14ac:dyDescent="0.4">
      <c r="A1937" s="27">
        <v>44788</v>
      </c>
      <c r="B1937" s="21">
        <v>276.49450000000002</v>
      </c>
      <c r="C1937">
        <v>243.9385</v>
      </c>
      <c r="D1937">
        <v>128.10319100000001</v>
      </c>
      <c r="E1937" s="22">
        <v>98.404251000000002</v>
      </c>
    </row>
    <row r="1938" spans="1:5" x14ac:dyDescent="0.4">
      <c r="A1938" s="27">
        <v>44789</v>
      </c>
      <c r="B1938" s="21">
        <v>276.95069999999998</v>
      </c>
      <c r="C1938">
        <v>242.45930000000001</v>
      </c>
      <c r="D1938">
        <v>128.10317800000001</v>
      </c>
      <c r="E1938" s="22">
        <v>98.40401</v>
      </c>
    </row>
    <row r="1939" spans="1:5" x14ac:dyDescent="0.4">
      <c r="A1939" s="27">
        <v>44790</v>
      </c>
      <c r="B1939" s="21">
        <v>274.59879999999998</v>
      </c>
      <c r="C1939">
        <v>240.5951</v>
      </c>
      <c r="D1939">
        <v>128.10316499999999</v>
      </c>
      <c r="E1939" s="22">
        <v>98.403772000000004</v>
      </c>
    </row>
    <row r="1940" spans="1:5" x14ac:dyDescent="0.4">
      <c r="A1940" s="27">
        <v>44791</v>
      </c>
      <c r="B1940" s="21">
        <v>275.80779999999999</v>
      </c>
      <c r="C1940">
        <v>240.59229999999999</v>
      </c>
      <c r="D1940">
        <v>128.10315199999999</v>
      </c>
      <c r="E1940" s="22">
        <v>98.403535000000005</v>
      </c>
    </row>
    <row r="1941" spans="1:5" x14ac:dyDescent="0.4">
      <c r="A1941" s="27">
        <v>44792</v>
      </c>
      <c r="B1941" s="21">
        <v>273.95119999999997</v>
      </c>
      <c r="C1941">
        <v>238.262</v>
      </c>
      <c r="D1941">
        <v>128.10315199999999</v>
      </c>
      <c r="E1941" s="22">
        <v>98.403305000000003</v>
      </c>
    </row>
    <row r="1942" spans="1:5" x14ac:dyDescent="0.4">
      <c r="A1942" s="27">
        <v>44795</v>
      </c>
      <c r="B1942" s="21">
        <v>271.50040000000001</v>
      </c>
      <c r="C1942">
        <v>237.11699999999999</v>
      </c>
      <c r="D1942">
        <v>128.10316499999999</v>
      </c>
      <c r="E1942" s="22">
        <v>98.402615999999995</v>
      </c>
    </row>
    <row r="1943" spans="1:5" x14ac:dyDescent="0.4">
      <c r="A1943" s="27">
        <v>44796</v>
      </c>
      <c r="B1943" s="21">
        <v>270.363</v>
      </c>
      <c r="C1943">
        <v>236.48670000000001</v>
      </c>
      <c r="D1943">
        <v>128.10317800000001</v>
      </c>
      <c r="E1943" s="22">
        <v>98.402392000000006</v>
      </c>
    </row>
    <row r="1944" spans="1:5" x14ac:dyDescent="0.4">
      <c r="A1944" s="27">
        <v>44797</v>
      </c>
      <c r="B1944" s="21">
        <v>270.78949999999998</v>
      </c>
      <c r="C1944">
        <v>235.75729999999999</v>
      </c>
      <c r="D1944">
        <v>128.10319100000001</v>
      </c>
      <c r="E1944" s="22">
        <v>98.402173000000005</v>
      </c>
    </row>
    <row r="1945" spans="1:5" x14ac:dyDescent="0.4">
      <c r="A1945" s="27">
        <v>44798</v>
      </c>
      <c r="B1945" s="21">
        <v>271.72739999999999</v>
      </c>
      <c r="C1945">
        <v>236.64259999999999</v>
      </c>
      <c r="D1945">
        <v>128.10320400000001</v>
      </c>
      <c r="E1945" s="22">
        <v>98.401949000000002</v>
      </c>
    </row>
    <row r="1946" spans="1:5" x14ac:dyDescent="0.4">
      <c r="A1946" s="27">
        <v>44799</v>
      </c>
      <c r="B1946" s="21">
        <v>267.22129999999999</v>
      </c>
      <c r="C1946">
        <v>235.35679999999999</v>
      </c>
      <c r="D1946">
        <v>128.103216</v>
      </c>
      <c r="E1946" s="22">
        <v>98.401730000000001</v>
      </c>
    </row>
    <row r="1947" spans="1:5" x14ac:dyDescent="0.4">
      <c r="A1947" s="27">
        <v>44803</v>
      </c>
      <c r="B1947" s="21">
        <v>263.29989999999998</v>
      </c>
      <c r="C1947">
        <v>233.34540000000001</v>
      </c>
      <c r="D1947">
        <v>128.10328000000001</v>
      </c>
      <c r="E1947" s="22">
        <v>98.400852999999998</v>
      </c>
    </row>
    <row r="1948" spans="1:5" x14ac:dyDescent="0.4">
      <c r="A1948" s="27">
        <v>44804</v>
      </c>
      <c r="B1948" s="21">
        <v>260.20830000000001</v>
      </c>
      <c r="C1948">
        <v>232.86439999999999</v>
      </c>
      <c r="D1948">
        <v>128.10328000000001</v>
      </c>
      <c r="E1948" s="22">
        <v>98.400622999999996</v>
      </c>
    </row>
    <row r="1949" spans="1:5" x14ac:dyDescent="0.4">
      <c r="A1949" s="27">
        <v>44805</v>
      </c>
      <c r="B1949" s="21">
        <v>255.74279999999999</v>
      </c>
      <c r="C1949">
        <v>231.99440000000001</v>
      </c>
      <c r="D1949">
        <v>128.10325499999999</v>
      </c>
      <c r="E1949" s="22">
        <v>98.400374999999997</v>
      </c>
    </row>
    <row r="1950" spans="1:5" x14ac:dyDescent="0.4">
      <c r="A1950" s="27">
        <v>44806</v>
      </c>
      <c r="B1950" s="21">
        <v>260.8843</v>
      </c>
      <c r="C1950">
        <v>233.16820000000001</v>
      </c>
      <c r="D1950">
        <v>128.10325499999999</v>
      </c>
      <c r="E1950" s="22">
        <v>98.400144999999995</v>
      </c>
    </row>
    <row r="1951" spans="1:5" x14ac:dyDescent="0.4">
      <c r="A1951" s="27">
        <v>44809</v>
      </c>
      <c r="B1951" s="21">
        <v>259.43779999999998</v>
      </c>
      <c r="C1951">
        <v>232.27019999999999</v>
      </c>
      <c r="D1951">
        <v>128.10328000000001</v>
      </c>
      <c r="E1951" s="22">
        <v>98.399465000000006</v>
      </c>
    </row>
    <row r="1952" spans="1:5" x14ac:dyDescent="0.4">
      <c r="A1952" s="27">
        <v>44810</v>
      </c>
      <c r="B1952" s="21">
        <v>259.94639999999998</v>
      </c>
      <c r="C1952">
        <v>232.2252</v>
      </c>
      <c r="D1952">
        <v>128.10326800000001</v>
      </c>
      <c r="E1952" s="22">
        <v>98.399226999999996</v>
      </c>
    </row>
    <row r="1953" spans="1:5" x14ac:dyDescent="0.4">
      <c r="A1953" s="27">
        <v>44811</v>
      </c>
      <c r="B1953" s="21">
        <v>258.37990000000002</v>
      </c>
      <c r="C1953">
        <v>232.90770000000001</v>
      </c>
      <c r="D1953">
        <v>128.10326800000001</v>
      </c>
      <c r="E1953" s="22">
        <v>98.398994000000002</v>
      </c>
    </row>
    <row r="1954" spans="1:5" x14ac:dyDescent="0.4">
      <c r="A1954" s="27">
        <v>44812</v>
      </c>
      <c r="B1954" s="21">
        <v>259.6678</v>
      </c>
      <c r="C1954">
        <v>231.39109999999999</v>
      </c>
      <c r="D1954">
        <v>128.103306</v>
      </c>
      <c r="E1954" s="22">
        <v>98.398786999999999</v>
      </c>
    </row>
    <row r="1955" spans="1:5" x14ac:dyDescent="0.4">
      <c r="A1955" s="27">
        <v>44813</v>
      </c>
      <c r="B1955" s="21">
        <v>263.53820000000002</v>
      </c>
      <c r="C1955">
        <v>231.0427</v>
      </c>
      <c r="D1955">
        <v>128.103306</v>
      </c>
      <c r="E1955" s="22">
        <v>98.398551999999995</v>
      </c>
    </row>
    <row r="1956" spans="1:5" x14ac:dyDescent="0.4">
      <c r="A1956" s="27">
        <v>44816</v>
      </c>
      <c r="B1956" s="21">
        <v>268.12459999999999</v>
      </c>
      <c r="C1956">
        <v>232.17310000000001</v>
      </c>
      <c r="D1956">
        <v>128.103306</v>
      </c>
      <c r="E1956" s="22">
        <v>98.397855000000007</v>
      </c>
    </row>
    <row r="1957" spans="1:5" x14ac:dyDescent="0.4">
      <c r="A1957" s="27">
        <v>44817</v>
      </c>
      <c r="B1957" s="21">
        <v>264.13940000000002</v>
      </c>
      <c r="C1957">
        <v>230.97569999999999</v>
      </c>
      <c r="D1957">
        <v>128.103306</v>
      </c>
      <c r="E1957" s="22">
        <v>98.397620000000003</v>
      </c>
    </row>
    <row r="1958" spans="1:5" x14ac:dyDescent="0.4">
      <c r="A1958" s="27">
        <v>44818</v>
      </c>
      <c r="B1958" s="21">
        <v>261.9452</v>
      </c>
      <c r="C1958">
        <v>231.2287</v>
      </c>
      <c r="D1958">
        <v>128.103319</v>
      </c>
      <c r="E1958" s="22">
        <v>98.397392999999994</v>
      </c>
    </row>
    <row r="1959" spans="1:5" x14ac:dyDescent="0.4">
      <c r="A1959" s="27">
        <v>44819</v>
      </c>
      <c r="B1959" s="21">
        <v>260.15230000000003</v>
      </c>
      <c r="C1959">
        <v>230.83879999999999</v>
      </c>
      <c r="D1959">
        <v>128.10597100000001</v>
      </c>
      <c r="E1959" s="22">
        <v>98.399202000000002</v>
      </c>
    </row>
    <row r="1960" spans="1:5" x14ac:dyDescent="0.4">
      <c r="A1960" s="27">
        <v>44820</v>
      </c>
      <c r="B1960" s="21">
        <v>256.12180000000001</v>
      </c>
      <c r="C1960">
        <v>230.1283</v>
      </c>
      <c r="D1960">
        <v>128.108622</v>
      </c>
      <c r="E1960" s="22">
        <v>98.401005999999995</v>
      </c>
    </row>
    <row r="1961" spans="1:5" x14ac:dyDescent="0.4">
      <c r="A1961" s="27">
        <v>44824</v>
      </c>
      <c r="B1961" s="21">
        <v>253.20750000000001</v>
      </c>
      <c r="C1961">
        <v>227.8784</v>
      </c>
      <c r="D1961">
        <v>128.11921699999999</v>
      </c>
      <c r="E1961" s="22">
        <v>98.408214000000001</v>
      </c>
    </row>
    <row r="1962" spans="1:5" x14ac:dyDescent="0.4">
      <c r="A1962" s="27">
        <v>44825</v>
      </c>
      <c r="B1962" s="21">
        <v>255.44139999999999</v>
      </c>
      <c r="C1962">
        <v>228.37809999999999</v>
      </c>
      <c r="D1962">
        <v>128.121869</v>
      </c>
      <c r="E1962" s="22">
        <v>98.410015000000001</v>
      </c>
    </row>
    <row r="1963" spans="1:5" x14ac:dyDescent="0.4">
      <c r="A1963" s="27">
        <v>44826</v>
      </c>
      <c r="B1963" s="21">
        <v>250.9888</v>
      </c>
      <c r="C1963">
        <v>227.2389</v>
      </c>
      <c r="D1963">
        <v>128.12452099999999</v>
      </c>
      <c r="E1963" s="22">
        <v>98.411822000000001</v>
      </c>
    </row>
    <row r="1964" spans="1:5" x14ac:dyDescent="0.4">
      <c r="A1964" s="27">
        <v>44827</v>
      </c>
      <c r="B1964" s="21">
        <v>245.18639999999999</v>
      </c>
      <c r="C1964">
        <v>226.4682</v>
      </c>
      <c r="D1964">
        <v>128.127173</v>
      </c>
      <c r="E1964" s="22">
        <v>98.413629</v>
      </c>
    </row>
    <row r="1965" spans="1:5" x14ac:dyDescent="0.4">
      <c r="A1965" s="27">
        <v>44830</v>
      </c>
      <c r="B1965" s="21">
        <v>244.25219999999999</v>
      </c>
      <c r="C1965">
        <v>225.5153</v>
      </c>
      <c r="D1965">
        <v>128.135143</v>
      </c>
      <c r="E1965" s="22">
        <v>98.419058000000007</v>
      </c>
    </row>
    <row r="1966" spans="1:5" x14ac:dyDescent="0.4">
      <c r="A1966" s="27">
        <v>44831</v>
      </c>
      <c r="B1966" s="21">
        <v>244.07839999999999</v>
      </c>
      <c r="C1966">
        <v>223.4083</v>
      </c>
      <c r="D1966">
        <v>128.13780800000001</v>
      </c>
      <c r="E1966" s="22">
        <v>98.420871000000005</v>
      </c>
    </row>
    <row r="1967" spans="1:5" x14ac:dyDescent="0.4">
      <c r="A1967" s="27">
        <v>44832</v>
      </c>
      <c r="B1967" s="21">
        <v>244.90629999999999</v>
      </c>
      <c r="C1967">
        <v>224.00479999999999</v>
      </c>
      <c r="D1967">
        <v>128.14046099999999</v>
      </c>
      <c r="E1967" s="22">
        <v>98.422680999999997</v>
      </c>
    </row>
    <row r="1968" spans="1:5" x14ac:dyDescent="0.4">
      <c r="A1968" s="27">
        <v>44833</v>
      </c>
      <c r="B1968" s="21">
        <v>240.98</v>
      </c>
      <c r="C1968">
        <v>223.30029999999999</v>
      </c>
      <c r="D1968">
        <v>128.143113</v>
      </c>
      <c r="E1968" s="22">
        <v>98.424491000000003</v>
      </c>
    </row>
    <row r="1969" spans="1:5" x14ac:dyDescent="0.4">
      <c r="A1969" s="27">
        <v>44834</v>
      </c>
      <c r="B1969" s="21">
        <v>243.86080000000001</v>
      </c>
      <c r="C1969">
        <v>224.27180000000001</v>
      </c>
      <c r="D1969">
        <v>128.14576600000001</v>
      </c>
      <c r="E1969" s="22">
        <v>98.426298000000003</v>
      </c>
    </row>
    <row r="1970" spans="1:5" x14ac:dyDescent="0.4">
      <c r="A1970" s="27">
        <v>44837</v>
      </c>
      <c r="B1970" s="21">
        <v>245.6652</v>
      </c>
      <c r="C1970">
        <v>227.3451</v>
      </c>
      <c r="D1970">
        <v>128.15353099999999</v>
      </c>
      <c r="E1970" s="22">
        <v>98.431563999999995</v>
      </c>
    </row>
    <row r="1971" spans="1:5" x14ac:dyDescent="0.4">
      <c r="A1971" s="27">
        <v>44838</v>
      </c>
      <c r="B1971" s="21">
        <v>253.3365</v>
      </c>
      <c r="C1971">
        <v>228.04949999999999</v>
      </c>
      <c r="D1971">
        <v>128.156171</v>
      </c>
      <c r="E1971" s="22">
        <v>98.433357000000001</v>
      </c>
    </row>
    <row r="1972" spans="1:5" x14ac:dyDescent="0.4">
      <c r="A1972" s="27">
        <v>44839</v>
      </c>
      <c r="B1972" s="21">
        <v>250.9171</v>
      </c>
      <c r="C1972">
        <v>225.73840000000001</v>
      </c>
      <c r="D1972">
        <v>128.15881099999999</v>
      </c>
      <c r="E1972" s="22">
        <v>98.435153999999997</v>
      </c>
    </row>
    <row r="1973" spans="1:5" x14ac:dyDescent="0.4">
      <c r="A1973" s="27">
        <v>44840</v>
      </c>
      <c r="B1973" s="21">
        <v>249.22479999999999</v>
      </c>
      <c r="C1973">
        <v>224.81960000000001</v>
      </c>
      <c r="D1973">
        <v>128.161439</v>
      </c>
      <c r="E1973" s="22">
        <v>98.436937</v>
      </c>
    </row>
    <row r="1974" spans="1:5" x14ac:dyDescent="0.4">
      <c r="A1974" s="27">
        <v>44841</v>
      </c>
      <c r="B1974" s="21">
        <v>246.44990000000001</v>
      </c>
      <c r="C1974">
        <v>223.09700000000001</v>
      </c>
      <c r="D1974">
        <v>128.16407899999999</v>
      </c>
      <c r="E1974" s="22">
        <v>98.438727999999998</v>
      </c>
    </row>
    <row r="1975" spans="1:5" x14ac:dyDescent="0.4">
      <c r="A1975" s="27">
        <v>44844</v>
      </c>
      <c r="B1975" s="21">
        <v>245.43559999999999</v>
      </c>
      <c r="C1975">
        <v>221.75739999999999</v>
      </c>
      <c r="D1975">
        <v>128.171986</v>
      </c>
      <c r="E1975" s="22">
        <v>98.444108999999997</v>
      </c>
    </row>
    <row r="1976" spans="1:5" x14ac:dyDescent="0.4">
      <c r="A1976" s="27">
        <v>44845</v>
      </c>
      <c r="B1976" s="21">
        <v>244.0599</v>
      </c>
      <c r="C1976">
        <v>222.0232</v>
      </c>
      <c r="D1976">
        <v>128.17462699999999</v>
      </c>
      <c r="E1976" s="22">
        <v>98.445899999999995</v>
      </c>
    </row>
    <row r="1977" spans="1:5" x14ac:dyDescent="0.4">
      <c r="A1977" s="27">
        <v>44846</v>
      </c>
      <c r="B1977" s="21">
        <v>242.8622</v>
      </c>
      <c r="C1977">
        <v>220.98509999999999</v>
      </c>
      <c r="D1977">
        <v>128.177267</v>
      </c>
      <c r="E1977" s="22">
        <v>98.447697000000005</v>
      </c>
    </row>
    <row r="1978" spans="1:5" x14ac:dyDescent="0.4">
      <c r="A1978" s="27">
        <v>44847</v>
      </c>
      <c r="B1978" s="21">
        <v>244.74719999999999</v>
      </c>
      <c r="C1978">
        <v>221.32159999999999</v>
      </c>
      <c r="D1978">
        <v>128.17990800000001</v>
      </c>
      <c r="E1978" s="22">
        <v>98.449495999999996</v>
      </c>
    </row>
    <row r="1979" spans="1:5" x14ac:dyDescent="0.4">
      <c r="A1979" s="27">
        <v>44848</v>
      </c>
      <c r="B1979" s="21">
        <v>246.03</v>
      </c>
      <c r="C1979">
        <v>220.99119999999999</v>
      </c>
      <c r="D1979">
        <v>128.182548</v>
      </c>
      <c r="E1979" s="22">
        <v>98.451295999999999</v>
      </c>
    </row>
    <row r="1980" spans="1:5" x14ac:dyDescent="0.4">
      <c r="A1980" s="27">
        <v>44851</v>
      </c>
      <c r="B1980" s="21">
        <v>250.46340000000001</v>
      </c>
      <c r="C1980">
        <v>221.80539999999999</v>
      </c>
      <c r="D1980">
        <v>128.19047</v>
      </c>
      <c r="E1980" s="22">
        <v>98.456686000000005</v>
      </c>
    </row>
    <row r="1981" spans="1:5" x14ac:dyDescent="0.4">
      <c r="A1981" s="27">
        <v>44852</v>
      </c>
      <c r="B1981" s="21">
        <v>251.32939999999999</v>
      </c>
      <c r="C1981">
        <v>222.2492</v>
      </c>
      <c r="D1981">
        <v>128.19311099999999</v>
      </c>
      <c r="E1981" s="22">
        <v>98.458484999999996</v>
      </c>
    </row>
    <row r="1982" spans="1:5" x14ac:dyDescent="0.4">
      <c r="A1982" s="27">
        <v>44853</v>
      </c>
      <c r="B1982" s="21">
        <v>250.10390000000001</v>
      </c>
      <c r="C1982">
        <v>221.1525</v>
      </c>
      <c r="D1982">
        <v>128.195751</v>
      </c>
      <c r="E1982" s="22">
        <v>98.460282000000007</v>
      </c>
    </row>
    <row r="1983" spans="1:5" x14ac:dyDescent="0.4">
      <c r="A1983" s="27">
        <v>44854</v>
      </c>
      <c r="B1983" s="21">
        <v>250.6841</v>
      </c>
      <c r="C1983">
        <v>220.82669999999999</v>
      </c>
      <c r="D1983">
        <v>128.19839200000001</v>
      </c>
      <c r="E1983" s="22">
        <v>98.462075999999996</v>
      </c>
    </row>
    <row r="1984" spans="1:5" x14ac:dyDescent="0.4">
      <c r="A1984" s="27">
        <v>44855</v>
      </c>
      <c r="B1984" s="21">
        <v>249.227</v>
      </c>
      <c r="C1984">
        <v>220.38229999999999</v>
      </c>
      <c r="D1984">
        <v>128.201033</v>
      </c>
      <c r="E1984" s="22">
        <v>98.463870999999997</v>
      </c>
    </row>
    <row r="1985" spans="1:5" x14ac:dyDescent="0.4">
      <c r="A1985" s="27">
        <v>44858</v>
      </c>
      <c r="B1985" s="21">
        <v>252.6474</v>
      </c>
      <c r="C1985">
        <v>221.7807</v>
      </c>
      <c r="D1985">
        <v>128.208956</v>
      </c>
      <c r="E1985" s="22">
        <v>98.469261000000003</v>
      </c>
    </row>
    <row r="1986" spans="1:5" x14ac:dyDescent="0.4">
      <c r="A1986" s="27">
        <v>44859</v>
      </c>
      <c r="B1986" s="21">
        <v>256.31740000000002</v>
      </c>
      <c r="C1986">
        <v>224.1208</v>
      </c>
      <c r="D1986">
        <v>128.21159700000001</v>
      </c>
      <c r="E1986" s="22">
        <v>98.471061000000006</v>
      </c>
    </row>
    <row r="1987" spans="1:5" x14ac:dyDescent="0.4">
      <c r="A1987" s="27">
        <v>44860</v>
      </c>
      <c r="B1987" s="21">
        <v>257.86250000000001</v>
      </c>
      <c r="C1987">
        <v>224.6618</v>
      </c>
      <c r="D1987">
        <v>128.21423799999999</v>
      </c>
      <c r="E1987" s="22">
        <v>98.472855999999993</v>
      </c>
    </row>
    <row r="1988" spans="1:5" x14ac:dyDescent="0.4">
      <c r="A1988" s="27">
        <v>44861</v>
      </c>
      <c r="B1988" s="21">
        <v>257.74040000000002</v>
      </c>
      <c r="C1988">
        <v>226.7124</v>
      </c>
      <c r="D1988">
        <v>128.21687900000001</v>
      </c>
      <c r="E1988" s="22">
        <v>98.474649999999997</v>
      </c>
    </row>
    <row r="1989" spans="1:5" x14ac:dyDescent="0.4">
      <c r="A1989" s="27">
        <v>44862</v>
      </c>
      <c r="B1989" s="21">
        <v>258.1121</v>
      </c>
      <c r="C1989">
        <v>225.7165</v>
      </c>
      <c r="D1989">
        <v>128.21952099999999</v>
      </c>
      <c r="E1989" s="22">
        <v>98.476446999999993</v>
      </c>
    </row>
    <row r="1990" spans="1:5" x14ac:dyDescent="0.4">
      <c r="A1990" s="27">
        <v>44865</v>
      </c>
      <c r="B1990" s="21">
        <v>259.03820000000002</v>
      </c>
      <c r="C1990">
        <v>224.52279999999999</v>
      </c>
      <c r="D1990">
        <v>128.22743199999999</v>
      </c>
      <c r="E1990" s="22">
        <v>98.481831</v>
      </c>
    </row>
    <row r="1991" spans="1:5" x14ac:dyDescent="0.4">
      <c r="A1991" s="27">
        <v>44866</v>
      </c>
      <c r="B1991" s="21">
        <v>260.5222</v>
      </c>
      <c r="C1991">
        <v>224.96610000000001</v>
      </c>
      <c r="D1991">
        <v>128.23004800000001</v>
      </c>
      <c r="E1991" s="22">
        <v>98.483603000000002</v>
      </c>
    </row>
    <row r="1992" spans="1:5" x14ac:dyDescent="0.4">
      <c r="A1992" s="27">
        <v>44867</v>
      </c>
      <c r="B1992" s="21">
        <v>259.70710000000003</v>
      </c>
      <c r="C1992">
        <v>224.87899999999999</v>
      </c>
      <c r="D1992">
        <v>128.23270199999999</v>
      </c>
      <c r="E1992" s="22">
        <v>98.485405999999998</v>
      </c>
    </row>
    <row r="1993" spans="1:5" x14ac:dyDescent="0.4">
      <c r="A1993" s="27">
        <v>44868</v>
      </c>
      <c r="B1993" s="21">
        <v>257.35050000000001</v>
      </c>
      <c r="C1993">
        <v>223.4059</v>
      </c>
      <c r="D1993">
        <v>128.237998</v>
      </c>
      <c r="E1993" s="22">
        <v>98.489243999999999</v>
      </c>
    </row>
    <row r="1994" spans="1:5" x14ac:dyDescent="0.4">
      <c r="A1994" s="27">
        <v>44869</v>
      </c>
      <c r="B1994" s="21">
        <v>262.11059999999998</v>
      </c>
      <c r="C1994">
        <v>222.96289999999999</v>
      </c>
      <c r="D1994">
        <v>128.24329399999999</v>
      </c>
      <c r="E1994" s="22">
        <v>98.493082999999999</v>
      </c>
    </row>
    <row r="1995" spans="1:5" x14ac:dyDescent="0.4">
      <c r="A1995" s="27">
        <v>44872</v>
      </c>
      <c r="B1995" s="21">
        <v>262.7869</v>
      </c>
      <c r="C1995">
        <v>222.91489999999999</v>
      </c>
      <c r="D1995">
        <v>128.25917100000001</v>
      </c>
      <c r="E1995" s="22">
        <v>98.504581999999999</v>
      </c>
    </row>
    <row r="1996" spans="1:5" x14ac:dyDescent="0.4">
      <c r="A1996" s="27">
        <v>44873</v>
      </c>
      <c r="B1996" s="21">
        <v>264.73110000000003</v>
      </c>
      <c r="C1996">
        <v>223.7397</v>
      </c>
      <c r="D1996">
        <v>128.26446799999999</v>
      </c>
      <c r="E1996" s="22">
        <v>98.508412000000007</v>
      </c>
    </row>
    <row r="1997" spans="1:5" x14ac:dyDescent="0.4">
      <c r="A1997" s="27">
        <v>44874</v>
      </c>
      <c r="B1997" s="21">
        <v>263.96019999999999</v>
      </c>
      <c r="C1997">
        <v>224.94319999999999</v>
      </c>
      <c r="D1997">
        <v>128.26976500000001</v>
      </c>
      <c r="E1997" s="22">
        <v>98.512242999999998</v>
      </c>
    </row>
    <row r="1998" spans="1:5" x14ac:dyDescent="0.4">
      <c r="A1998" s="27">
        <v>44875</v>
      </c>
      <c r="B1998" s="21">
        <v>271.0598</v>
      </c>
      <c r="C1998">
        <v>227.673</v>
      </c>
      <c r="D1998">
        <v>128.27506299999999</v>
      </c>
      <c r="E1998" s="22">
        <v>98.516074000000003</v>
      </c>
    </row>
    <row r="1999" spans="1:5" x14ac:dyDescent="0.4">
      <c r="A1999" s="27">
        <v>44876</v>
      </c>
      <c r="B1999" s="21">
        <v>271.24529999999999</v>
      </c>
      <c r="C1999">
        <v>225.54320000000001</v>
      </c>
      <c r="D1999">
        <v>128.28036</v>
      </c>
      <c r="E1999" s="22">
        <v>98.519910999999993</v>
      </c>
    </row>
    <row r="2000" spans="1:5" x14ac:dyDescent="0.4">
      <c r="A2000" s="27">
        <v>44879</v>
      </c>
      <c r="B2000" s="21">
        <v>271.68560000000002</v>
      </c>
      <c r="C2000">
        <v>225.6694</v>
      </c>
      <c r="D2000">
        <v>128.29628</v>
      </c>
      <c r="E2000" s="22">
        <v>98.531437999999994</v>
      </c>
    </row>
    <row r="2001" spans="1:5" x14ac:dyDescent="0.4">
      <c r="A2001" s="27">
        <v>44880</v>
      </c>
      <c r="B2001" s="21">
        <v>272.70229999999998</v>
      </c>
      <c r="C2001">
        <v>226.8895</v>
      </c>
      <c r="D2001">
        <v>128.301579</v>
      </c>
      <c r="E2001" s="22">
        <v>98.535272000000006</v>
      </c>
    </row>
    <row r="2002" spans="1:5" x14ac:dyDescent="0.4">
      <c r="A2002" s="27">
        <v>44881</v>
      </c>
      <c r="B2002" s="21">
        <v>270.18020000000001</v>
      </c>
      <c r="C2002">
        <v>228.14269999999999</v>
      </c>
      <c r="D2002">
        <v>128.30687800000001</v>
      </c>
      <c r="E2002" s="22">
        <v>98.539103999999995</v>
      </c>
    </row>
    <row r="2003" spans="1:5" x14ac:dyDescent="0.4">
      <c r="A2003" s="27">
        <v>44882</v>
      </c>
      <c r="B2003" s="21">
        <v>269.14350000000002</v>
      </c>
      <c r="C2003">
        <v>227.85890000000001</v>
      </c>
      <c r="D2003">
        <v>128.31217699999999</v>
      </c>
      <c r="E2003" s="22">
        <v>98.542939000000004</v>
      </c>
    </row>
    <row r="2004" spans="1:5" x14ac:dyDescent="0.4">
      <c r="A2004" s="27">
        <v>44883</v>
      </c>
      <c r="B2004" s="21">
        <v>272.19420000000002</v>
      </c>
      <c r="C2004">
        <v>228.35910000000001</v>
      </c>
      <c r="D2004">
        <v>128.317476</v>
      </c>
      <c r="E2004" s="22">
        <v>98.546777000000006</v>
      </c>
    </row>
    <row r="2005" spans="1:5" x14ac:dyDescent="0.4">
      <c r="A2005" s="27">
        <v>44886</v>
      </c>
      <c r="B2005" s="21">
        <v>271.97859999999997</v>
      </c>
      <c r="C2005">
        <v>228.63839999999999</v>
      </c>
      <c r="D2005">
        <v>128.33338699999999</v>
      </c>
      <c r="E2005" s="22">
        <v>98.558297999999994</v>
      </c>
    </row>
    <row r="2006" spans="1:5" x14ac:dyDescent="0.4">
      <c r="A2006" s="27">
        <v>44887</v>
      </c>
      <c r="B2006" s="21">
        <v>274.01900000000001</v>
      </c>
      <c r="C2006">
        <v>228.78370000000001</v>
      </c>
      <c r="D2006">
        <v>128.33868699999999</v>
      </c>
      <c r="E2006" s="22">
        <v>98.562139000000002</v>
      </c>
    </row>
    <row r="2007" spans="1:5" x14ac:dyDescent="0.4">
      <c r="A2007" s="27">
        <v>44888</v>
      </c>
      <c r="B2007" s="21">
        <v>275.57350000000002</v>
      </c>
      <c r="C2007">
        <v>229.89959999999999</v>
      </c>
      <c r="D2007">
        <v>128.34400099999999</v>
      </c>
      <c r="E2007" s="22">
        <v>98.565983000000003</v>
      </c>
    </row>
    <row r="2008" spans="1:5" x14ac:dyDescent="0.4">
      <c r="A2008" s="27">
        <v>44889</v>
      </c>
      <c r="B2008" s="21">
        <v>276.80099999999999</v>
      </c>
      <c r="C2008">
        <v>231.2012</v>
      </c>
      <c r="D2008">
        <v>128.34931399999999</v>
      </c>
      <c r="E2008" s="22">
        <v>98.569829999999996</v>
      </c>
    </row>
    <row r="2009" spans="1:5" x14ac:dyDescent="0.4">
      <c r="A2009" s="27">
        <v>44890</v>
      </c>
      <c r="B2009" s="21">
        <v>276.8449</v>
      </c>
      <c r="C2009">
        <v>229.41050000000001</v>
      </c>
      <c r="D2009">
        <v>128.35462799999999</v>
      </c>
      <c r="E2009" s="22">
        <v>98.573677000000004</v>
      </c>
    </row>
    <row r="2010" spans="1:5" x14ac:dyDescent="0.4">
      <c r="A2010" s="27">
        <v>44893</v>
      </c>
      <c r="B2010" s="21">
        <v>275.12580000000003</v>
      </c>
      <c r="C2010">
        <v>229.2647</v>
      </c>
      <c r="D2010">
        <v>128.370544</v>
      </c>
      <c r="E2010" s="22">
        <v>98.585201999999995</v>
      </c>
    </row>
    <row r="2011" spans="1:5" x14ac:dyDescent="0.4">
      <c r="A2011" s="27">
        <v>44894</v>
      </c>
      <c r="B2011" s="21">
        <v>274.95699999999999</v>
      </c>
      <c r="C2011">
        <v>230.4177</v>
      </c>
      <c r="D2011">
        <v>128.375845</v>
      </c>
      <c r="E2011" s="22">
        <v>98.589044000000001</v>
      </c>
    </row>
    <row r="2012" spans="1:5" x14ac:dyDescent="0.4">
      <c r="A2012" s="27">
        <v>44895</v>
      </c>
      <c r="B2012" s="21">
        <v>276.87040000000002</v>
      </c>
      <c r="C2012">
        <v>229.93530000000001</v>
      </c>
      <c r="D2012">
        <v>128.381147</v>
      </c>
      <c r="E2012" s="22">
        <v>98.592883999999998</v>
      </c>
    </row>
    <row r="2013" spans="1:5" x14ac:dyDescent="0.4">
      <c r="A2013" s="27">
        <v>44896</v>
      </c>
      <c r="B2013" s="21">
        <v>279.20999999999998</v>
      </c>
      <c r="C2013">
        <v>231.89580000000001</v>
      </c>
      <c r="D2013">
        <v>128.38641100000001</v>
      </c>
      <c r="E2013" s="22">
        <v>98.596693000000002</v>
      </c>
    </row>
    <row r="2014" spans="1:5" x14ac:dyDescent="0.4">
      <c r="A2014" s="27">
        <v>44897</v>
      </c>
      <c r="B2014" s="21">
        <v>278.74250000000001</v>
      </c>
      <c r="C2014">
        <v>231.37520000000001</v>
      </c>
      <c r="D2014">
        <v>128.39171300000001</v>
      </c>
      <c r="E2014" s="22">
        <v>98.600527999999997</v>
      </c>
    </row>
    <row r="2015" spans="1:5" x14ac:dyDescent="0.4">
      <c r="A2015" s="27">
        <v>44900</v>
      </c>
      <c r="B2015" s="21">
        <v>277.6472</v>
      </c>
      <c r="C2015">
        <v>231.423</v>
      </c>
      <c r="D2015">
        <v>128.40760800000001</v>
      </c>
      <c r="E2015" s="22">
        <v>98.612031000000002</v>
      </c>
    </row>
    <row r="2016" spans="1:5" x14ac:dyDescent="0.4">
      <c r="A2016" s="27">
        <v>44901</v>
      </c>
      <c r="B2016" s="21">
        <v>276.09199999999998</v>
      </c>
      <c r="C2016">
        <v>232.39689999999999</v>
      </c>
      <c r="D2016">
        <v>128.41289900000001</v>
      </c>
      <c r="E2016" s="22">
        <v>98.615859999999998</v>
      </c>
    </row>
    <row r="2017" spans="1:5" x14ac:dyDescent="0.4">
      <c r="A2017" s="27">
        <v>44902</v>
      </c>
      <c r="B2017" s="21">
        <v>274.32159999999999</v>
      </c>
      <c r="C2017">
        <v>232.72020000000001</v>
      </c>
      <c r="D2017">
        <v>128.418215</v>
      </c>
      <c r="E2017" s="22">
        <v>98.619712000000007</v>
      </c>
    </row>
    <row r="2018" spans="1:5" x14ac:dyDescent="0.4">
      <c r="A2018" s="27">
        <v>44903</v>
      </c>
      <c r="B2018" s="21">
        <v>273.85199999999998</v>
      </c>
      <c r="C2018">
        <v>232.34479999999999</v>
      </c>
      <c r="D2018">
        <v>128.423506</v>
      </c>
      <c r="E2018" s="22">
        <v>98.623543999999995</v>
      </c>
    </row>
    <row r="2019" spans="1:5" x14ac:dyDescent="0.4">
      <c r="A2019" s="27">
        <v>44904</v>
      </c>
      <c r="B2019" s="21">
        <v>276.12490000000003</v>
      </c>
      <c r="C2019">
        <v>230.82050000000001</v>
      </c>
      <c r="D2019">
        <v>128.42881</v>
      </c>
      <c r="E2019" s="22">
        <v>98.627380000000002</v>
      </c>
    </row>
    <row r="2020" spans="1:5" x14ac:dyDescent="0.4">
      <c r="A2020" s="27">
        <v>44907</v>
      </c>
      <c r="B2020" s="21">
        <v>274.73680000000002</v>
      </c>
      <c r="C2020">
        <v>230.8638</v>
      </c>
      <c r="D2020">
        <v>128.44470899999999</v>
      </c>
      <c r="E2020" s="22">
        <v>98.638885999999999</v>
      </c>
    </row>
    <row r="2021" spans="1:5" x14ac:dyDescent="0.4">
      <c r="A2021" s="27">
        <v>44908</v>
      </c>
      <c r="B2021" s="21">
        <v>278.17950000000002</v>
      </c>
      <c r="C2021">
        <v>231.29490000000001</v>
      </c>
      <c r="D2021">
        <v>128.45001400000001</v>
      </c>
      <c r="E2021" s="22">
        <v>98.642722000000006</v>
      </c>
    </row>
    <row r="2022" spans="1:5" x14ac:dyDescent="0.4">
      <c r="A2022" s="27">
        <v>44909</v>
      </c>
      <c r="B2022" s="21">
        <v>278.08879999999999</v>
      </c>
      <c r="C2022">
        <v>230.73820000000001</v>
      </c>
      <c r="D2022">
        <v>128.455319</v>
      </c>
      <c r="E2022" s="22">
        <v>98.646557999999999</v>
      </c>
    </row>
    <row r="2023" spans="1:5" x14ac:dyDescent="0.4">
      <c r="A2023" s="27">
        <v>44910</v>
      </c>
      <c r="B2023" s="21">
        <v>270.20659999999998</v>
      </c>
      <c r="C2023">
        <v>228.2912</v>
      </c>
      <c r="D2023">
        <v>128.460624</v>
      </c>
      <c r="E2023" s="22">
        <v>98.650400000000005</v>
      </c>
    </row>
    <row r="2024" spans="1:5" x14ac:dyDescent="0.4">
      <c r="A2024" s="27">
        <v>44911</v>
      </c>
      <c r="B2024" s="21">
        <v>267.0154</v>
      </c>
      <c r="C2024">
        <v>226.68889999999999</v>
      </c>
      <c r="D2024">
        <v>128.46592999999999</v>
      </c>
      <c r="E2024" s="22">
        <v>98.654245000000003</v>
      </c>
    </row>
    <row r="2025" spans="1:5" x14ac:dyDescent="0.4">
      <c r="A2025" s="27">
        <v>44914</v>
      </c>
      <c r="B2025" s="21">
        <v>267.7013</v>
      </c>
      <c r="C2025">
        <v>226.34829999999999</v>
      </c>
      <c r="D2025">
        <v>128.48184599999999</v>
      </c>
      <c r="E2025" s="22">
        <v>98.665771000000007</v>
      </c>
    </row>
    <row r="2026" spans="1:5" x14ac:dyDescent="0.4">
      <c r="A2026" s="27">
        <v>44915</v>
      </c>
      <c r="B2026" s="21">
        <v>266.68360000000001</v>
      </c>
      <c r="C2026">
        <v>224.87139999999999</v>
      </c>
      <c r="D2026">
        <v>128.48715300000001</v>
      </c>
      <c r="E2026" s="22">
        <v>98.669616000000005</v>
      </c>
    </row>
    <row r="2027" spans="1:5" x14ac:dyDescent="0.4">
      <c r="A2027" s="27">
        <v>44916</v>
      </c>
      <c r="B2027" s="21">
        <v>271.26530000000002</v>
      </c>
      <c r="C2027">
        <v>224.81110000000001</v>
      </c>
      <c r="D2027">
        <v>128.492459</v>
      </c>
      <c r="E2027" s="22">
        <v>98.673461000000003</v>
      </c>
    </row>
    <row r="2028" spans="1:5" x14ac:dyDescent="0.4">
      <c r="A2028" s="27">
        <v>44917</v>
      </c>
      <c r="B2028" s="21">
        <v>268.71129999999999</v>
      </c>
      <c r="C2028">
        <v>224.22929999999999</v>
      </c>
      <c r="D2028">
        <v>128.49955199999999</v>
      </c>
      <c r="E2028" s="22">
        <v>98.678674999999998</v>
      </c>
    </row>
    <row r="2029" spans="1:5" x14ac:dyDescent="0.4">
      <c r="A2029" s="27">
        <v>44918</v>
      </c>
      <c r="B2029" s="21">
        <v>268.73630000000003</v>
      </c>
      <c r="C2029">
        <v>223.70910000000001</v>
      </c>
      <c r="D2029">
        <v>128.50665799999999</v>
      </c>
      <c r="E2029" s="22">
        <v>98.683893999999995</v>
      </c>
    </row>
    <row r="2030" spans="1:5" x14ac:dyDescent="0.4">
      <c r="A2030" s="27">
        <v>44923</v>
      </c>
      <c r="B2030" s="21">
        <v>268.80090000000001</v>
      </c>
      <c r="C2030">
        <v>222.2782</v>
      </c>
      <c r="D2030">
        <v>128.542205</v>
      </c>
      <c r="E2030" s="22">
        <v>98.710029000000006</v>
      </c>
    </row>
    <row r="2031" spans="1:5" x14ac:dyDescent="0.4">
      <c r="A2031" s="27">
        <v>44924</v>
      </c>
      <c r="B2031" s="21">
        <v>270.58730000000003</v>
      </c>
      <c r="C2031">
        <v>222.86160000000001</v>
      </c>
      <c r="D2031">
        <v>128.54931300000001</v>
      </c>
      <c r="E2031" s="22">
        <v>98.715255999999997</v>
      </c>
    </row>
    <row r="2032" spans="1:5" x14ac:dyDescent="0.4">
      <c r="A2032" s="27">
        <v>44925</v>
      </c>
      <c r="B2032" s="21">
        <v>267.14940000000001</v>
      </c>
      <c r="C2032">
        <v>221.5651</v>
      </c>
      <c r="D2032">
        <v>128.556422</v>
      </c>
      <c r="E2032" s="22">
        <v>98.720478999999997</v>
      </c>
    </row>
    <row r="2033" spans="1:5" x14ac:dyDescent="0.4">
      <c r="A2033" s="27">
        <v>44929</v>
      </c>
      <c r="B2033" s="21">
        <v>273.24869999999999</v>
      </c>
      <c r="C2033">
        <v>223.94370000000001</v>
      </c>
      <c r="D2033">
        <v>128.58469199999999</v>
      </c>
      <c r="E2033" s="22">
        <v>98.741254999999995</v>
      </c>
    </row>
    <row r="2034" spans="1:5" x14ac:dyDescent="0.4">
      <c r="A2034" s="27">
        <v>44930</v>
      </c>
      <c r="B2034" s="21">
        <v>277.10789999999997</v>
      </c>
      <c r="C2034">
        <v>225.6583</v>
      </c>
      <c r="D2034">
        <v>128.591803</v>
      </c>
      <c r="E2034" s="22">
        <v>98.746477999999996</v>
      </c>
    </row>
    <row r="2035" spans="1:5" x14ac:dyDescent="0.4">
      <c r="A2035" s="27">
        <v>44931</v>
      </c>
      <c r="B2035" s="21">
        <v>276.68920000000003</v>
      </c>
      <c r="C2035">
        <v>224.92160000000001</v>
      </c>
      <c r="D2035">
        <v>128.59891400000001</v>
      </c>
      <c r="E2035" s="22">
        <v>98.7517</v>
      </c>
    </row>
    <row r="2036" spans="1:5" x14ac:dyDescent="0.4">
      <c r="A2036" s="27">
        <v>44932</v>
      </c>
      <c r="B2036" s="21">
        <v>279.84399999999999</v>
      </c>
      <c r="C2036">
        <v>226.43219999999999</v>
      </c>
      <c r="D2036">
        <v>128.60599999999999</v>
      </c>
      <c r="E2036" s="22">
        <v>98.756912</v>
      </c>
    </row>
    <row r="2037" spans="1:5" x14ac:dyDescent="0.4">
      <c r="A2037" s="27">
        <v>44935</v>
      </c>
      <c r="B2037" s="21">
        <v>282.23090000000002</v>
      </c>
      <c r="C2037">
        <v>226.1575</v>
      </c>
      <c r="D2037">
        <v>128.62725900000001</v>
      </c>
      <c r="E2037" s="22">
        <v>98.772531999999998</v>
      </c>
    </row>
    <row r="2038" spans="1:5" x14ac:dyDescent="0.4">
      <c r="A2038" s="27">
        <v>44936</v>
      </c>
      <c r="B2038" s="21">
        <v>280.55489999999998</v>
      </c>
      <c r="C2038">
        <v>225.3974</v>
      </c>
      <c r="D2038">
        <v>128.63434599999999</v>
      </c>
      <c r="E2038" s="22">
        <v>98.777744999999996</v>
      </c>
    </row>
    <row r="2039" spans="1:5" x14ac:dyDescent="0.4">
      <c r="A2039" s="27">
        <v>44937</v>
      </c>
      <c r="B2039" s="21">
        <v>281.58019999999999</v>
      </c>
      <c r="C2039">
        <v>227.0402</v>
      </c>
      <c r="D2039">
        <v>128.641434</v>
      </c>
      <c r="E2039" s="22">
        <v>98.782957999999994</v>
      </c>
    </row>
    <row r="2040" spans="1:5" x14ac:dyDescent="0.4">
      <c r="A2040" s="27">
        <v>44938</v>
      </c>
      <c r="B2040" s="21">
        <v>283.38490000000002</v>
      </c>
      <c r="C2040">
        <v>227.79669999999999</v>
      </c>
      <c r="D2040">
        <v>128.64852200000001</v>
      </c>
      <c r="E2040" s="22">
        <v>98.788172000000003</v>
      </c>
    </row>
    <row r="2041" spans="1:5" x14ac:dyDescent="0.4">
      <c r="A2041" s="27">
        <v>44939</v>
      </c>
      <c r="B2041" s="21">
        <v>284.79829999999998</v>
      </c>
      <c r="C2041">
        <v>227.8031</v>
      </c>
      <c r="D2041">
        <v>128.65561</v>
      </c>
      <c r="E2041" s="22">
        <v>98.793385999999998</v>
      </c>
    </row>
    <row r="2042" spans="1:5" x14ac:dyDescent="0.4">
      <c r="A2042" s="27">
        <v>44942</v>
      </c>
      <c r="B2042" s="21">
        <v>286.14830000000001</v>
      </c>
      <c r="C2042">
        <v>227.81190000000001</v>
      </c>
      <c r="D2042">
        <v>128.67690300000001</v>
      </c>
      <c r="E2042" s="22">
        <v>98.809036000000006</v>
      </c>
    </row>
    <row r="2043" spans="1:5" x14ac:dyDescent="0.4">
      <c r="A2043" s="27">
        <v>44943</v>
      </c>
      <c r="B2043" s="21">
        <v>287.34500000000003</v>
      </c>
      <c r="C2043">
        <v>229.18879999999999</v>
      </c>
      <c r="D2043">
        <v>128.68400600000001</v>
      </c>
      <c r="E2043" s="22">
        <v>98.814256999999998</v>
      </c>
    </row>
    <row r="2044" spans="1:5" x14ac:dyDescent="0.4">
      <c r="A2044" s="27">
        <v>44944</v>
      </c>
      <c r="B2044" s="21">
        <v>288.09539999999998</v>
      </c>
      <c r="C2044">
        <v>230.6516</v>
      </c>
      <c r="D2044">
        <v>128.69110900000001</v>
      </c>
      <c r="E2044" s="22">
        <v>98.819474999999997</v>
      </c>
    </row>
    <row r="2045" spans="1:5" x14ac:dyDescent="0.4">
      <c r="A2045" s="27">
        <v>44945</v>
      </c>
      <c r="B2045" s="21">
        <v>283.69349999999997</v>
      </c>
      <c r="C2045">
        <v>229.80250000000001</v>
      </c>
      <c r="D2045">
        <v>128.69821300000001</v>
      </c>
      <c r="E2045" s="22">
        <v>98.824696000000003</v>
      </c>
    </row>
    <row r="2046" spans="1:5" x14ac:dyDescent="0.4">
      <c r="A2046" s="27">
        <v>44946</v>
      </c>
      <c r="B2046" s="21">
        <v>284.67439999999999</v>
      </c>
      <c r="C2046">
        <v>228.053</v>
      </c>
      <c r="D2046">
        <v>128.70531700000001</v>
      </c>
      <c r="E2046" s="22">
        <v>98.829920000000001</v>
      </c>
    </row>
    <row r="2047" spans="1:5" x14ac:dyDescent="0.4">
      <c r="A2047" s="27">
        <v>44949</v>
      </c>
      <c r="B2047" s="21">
        <v>286.15960000000001</v>
      </c>
      <c r="C2047">
        <v>227.59469999999999</v>
      </c>
      <c r="D2047">
        <v>128.72664399999999</v>
      </c>
      <c r="E2047" s="22">
        <v>98.845591999999996</v>
      </c>
    </row>
    <row r="2048" spans="1:5" x14ac:dyDescent="0.4">
      <c r="A2048" s="27">
        <v>44950</v>
      </c>
      <c r="B2048" s="21">
        <v>285.41800000000001</v>
      </c>
      <c r="C2048">
        <v>228.25149999999999</v>
      </c>
      <c r="D2048">
        <v>128.73374899999999</v>
      </c>
      <c r="E2048" s="22">
        <v>98.850814999999997</v>
      </c>
    </row>
    <row r="2049" spans="1:5" x14ac:dyDescent="0.4">
      <c r="A2049" s="27">
        <v>44951</v>
      </c>
      <c r="B2049" s="21">
        <v>284.70929999999998</v>
      </c>
      <c r="C2049">
        <v>228.1951</v>
      </c>
      <c r="D2049">
        <v>128.74086800000001</v>
      </c>
      <c r="E2049" s="22">
        <v>98.856043</v>
      </c>
    </row>
    <row r="2050" spans="1:5" x14ac:dyDescent="0.4">
      <c r="A2050" s="27">
        <v>44952</v>
      </c>
      <c r="B2050" s="21">
        <v>285.79790000000003</v>
      </c>
      <c r="C2050">
        <v>227.47300000000001</v>
      </c>
      <c r="D2050">
        <v>128.74798799999999</v>
      </c>
      <c r="E2050" s="22">
        <v>98.861271000000002</v>
      </c>
    </row>
    <row r="2051" spans="1:5" x14ac:dyDescent="0.4">
      <c r="A2051" s="27">
        <v>44953</v>
      </c>
      <c r="B2051" s="21">
        <v>286.41149999999999</v>
      </c>
      <c r="C2051">
        <v>227.08439999999999</v>
      </c>
      <c r="D2051">
        <v>128.75510700000001</v>
      </c>
      <c r="E2051" s="22">
        <v>98.866500000000002</v>
      </c>
    </row>
    <row r="2052" spans="1:5" x14ac:dyDescent="0.4">
      <c r="A2052" s="27">
        <v>44956</v>
      </c>
      <c r="B2052" s="21">
        <v>286.02350000000001</v>
      </c>
      <c r="C2052">
        <v>226.22479999999999</v>
      </c>
      <c r="D2052">
        <v>128.77646799999999</v>
      </c>
      <c r="E2052" s="22">
        <v>98.882203000000004</v>
      </c>
    </row>
    <row r="2053" spans="1:5" x14ac:dyDescent="0.4">
      <c r="A2053" s="27">
        <v>44957</v>
      </c>
      <c r="B2053" s="21">
        <v>285.29820000000001</v>
      </c>
      <c r="C2053">
        <v>226.47239999999999</v>
      </c>
      <c r="D2053">
        <v>128.78358900000001</v>
      </c>
      <c r="E2053" s="22">
        <v>98.887433000000001</v>
      </c>
    </row>
    <row r="2054" spans="1:5" x14ac:dyDescent="0.4">
      <c r="A2054" s="27">
        <v>44958</v>
      </c>
      <c r="B2054" s="21">
        <v>285.15989999999999</v>
      </c>
      <c r="C2054">
        <v>226.3614</v>
      </c>
      <c r="D2054">
        <v>128.790672</v>
      </c>
      <c r="E2054" s="22">
        <v>98.892635999999996</v>
      </c>
    </row>
    <row r="2055" spans="1:5" x14ac:dyDescent="0.4">
      <c r="A2055" s="27">
        <v>44959</v>
      </c>
      <c r="B2055" s="21">
        <v>288.67540000000002</v>
      </c>
      <c r="C2055">
        <v>230.35480000000001</v>
      </c>
      <c r="D2055">
        <v>128.79778200000001</v>
      </c>
      <c r="E2055" s="22">
        <v>98.897857999999999</v>
      </c>
    </row>
    <row r="2056" spans="1:5" x14ac:dyDescent="0.4">
      <c r="A2056" s="27">
        <v>44960</v>
      </c>
      <c r="B2056" s="21">
        <v>289.85340000000002</v>
      </c>
      <c r="C2056">
        <v>228.32</v>
      </c>
      <c r="D2056">
        <v>128.804891</v>
      </c>
      <c r="E2056" s="22">
        <v>98.903082999999995</v>
      </c>
    </row>
    <row r="2057" spans="1:5" x14ac:dyDescent="0.4">
      <c r="A2057" s="27">
        <v>44963</v>
      </c>
      <c r="B2057" s="21">
        <v>287.68959999999998</v>
      </c>
      <c r="C2057">
        <v>227.1695</v>
      </c>
      <c r="D2057">
        <v>128.82618299999999</v>
      </c>
      <c r="E2057" s="22">
        <v>98.918726000000007</v>
      </c>
    </row>
    <row r="2058" spans="1:5" x14ac:dyDescent="0.4">
      <c r="A2058" s="27">
        <v>44964</v>
      </c>
      <c r="B2058" s="21">
        <v>288.32350000000002</v>
      </c>
      <c r="C2058">
        <v>226.9529</v>
      </c>
      <c r="D2058">
        <v>128.833294</v>
      </c>
      <c r="E2058" s="22">
        <v>98.923948999999993</v>
      </c>
    </row>
    <row r="2059" spans="1:5" x14ac:dyDescent="0.4">
      <c r="A2059" s="27">
        <v>44965</v>
      </c>
      <c r="B2059" s="21">
        <v>288.98649999999998</v>
      </c>
      <c r="C2059">
        <v>226.226</v>
      </c>
      <c r="D2059">
        <v>128.840406</v>
      </c>
      <c r="E2059" s="22">
        <v>98.929175999999998</v>
      </c>
    </row>
    <row r="2060" spans="1:5" x14ac:dyDescent="0.4">
      <c r="A2060" s="27">
        <v>44966</v>
      </c>
      <c r="B2060" s="21">
        <v>290.89210000000003</v>
      </c>
      <c r="C2060">
        <v>226.96279999999999</v>
      </c>
      <c r="D2060">
        <v>128.84930800000001</v>
      </c>
      <c r="E2060" s="22">
        <v>98.935773999999995</v>
      </c>
    </row>
    <row r="2061" spans="1:5" x14ac:dyDescent="0.4">
      <c r="A2061" s="27">
        <v>44967</v>
      </c>
      <c r="B2061" s="21">
        <v>288.3057</v>
      </c>
      <c r="C2061">
        <v>225.9873</v>
      </c>
      <c r="D2061">
        <v>128.85821200000001</v>
      </c>
      <c r="E2061" s="22">
        <v>98.942372000000006</v>
      </c>
    </row>
    <row r="2062" spans="1:5" x14ac:dyDescent="0.4">
      <c r="A2062" s="27">
        <v>44970</v>
      </c>
      <c r="B2062" s="21">
        <v>290.89389999999997</v>
      </c>
      <c r="C2062">
        <v>225.92920000000001</v>
      </c>
      <c r="D2062">
        <v>128.88491099999999</v>
      </c>
      <c r="E2062" s="22">
        <v>98.962169000000003</v>
      </c>
    </row>
    <row r="2063" spans="1:5" x14ac:dyDescent="0.4">
      <c r="A2063" s="27">
        <v>44971</v>
      </c>
      <c r="B2063" s="21">
        <v>291.19069999999999</v>
      </c>
      <c r="C2063">
        <v>225.20009999999999</v>
      </c>
      <c r="D2063">
        <v>128.89380399999999</v>
      </c>
      <c r="E2063" s="22">
        <v>98.968767</v>
      </c>
    </row>
    <row r="2064" spans="1:5" x14ac:dyDescent="0.4">
      <c r="A2064" s="27">
        <v>44972</v>
      </c>
      <c r="B2064" s="21">
        <v>292.42360000000002</v>
      </c>
      <c r="C2064">
        <v>224.46170000000001</v>
      </c>
      <c r="D2064">
        <v>128.90269799999999</v>
      </c>
      <c r="E2064" s="22">
        <v>98.975363999999999</v>
      </c>
    </row>
    <row r="2065" spans="1:5" x14ac:dyDescent="0.4">
      <c r="A2065" s="27">
        <v>44973</v>
      </c>
      <c r="B2065" s="21">
        <v>293.13240000000002</v>
      </c>
      <c r="C2065">
        <v>224.1934</v>
      </c>
      <c r="D2065">
        <v>128.911618</v>
      </c>
      <c r="E2065" s="22">
        <v>98.981977000000001</v>
      </c>
    </row>
    <row r="2066" spans="1:5" x14ac:dyDescent="0.4">
      <c r="A2066" s="27">
        <v>44974</v>
      </c>
      <c r="B2066" s="21">
        <v>292.61380000000003</v>
      </c>
      <c r="C2066">
        <v>224.56790000000001</v>
      </c>
      <c r="D2066">
        <v>128.920513</v>
      </c>
      <c r="E2066" s="22">
        <v>98.988574999999997</v>
      </c>
    </row>
    <row r="2067" spans="1:5" x14ac:dyDescent="0.4">
      <c r="A2067" s="27">
        <v>44977</v>
      </c>
      <c r="B2067" s="21">
        <v>292.84249999999997</v>
      </c>
      <c r="C2067">
        <v>224.48859999999999</v>
      </c>
      <c r="D2067">
        <v>128.94718700000001</v>
      </c>
      <c r="E2067" s="22">
        <v>99.008357000000004</v>
      </c>
    </row>
    <row r="2068" spans="1:5" x14ac:dyDescent="0.4">
      <c r="A2068" s="27">
        <v>44978</v>
      </c>
      <c r="B2068" s="21">
        <v>292.30180000000001</v>
      </c>
      <c r="C2068">
        <v>223.21080000000001</v>
      </c>
      <c r="D2068">
        <v>128.956084</v>
      </c>
      <c r="E2068" s="22">
        <v>99.014956999999995</v>
      </c>
    </row>
    <row r="2069" spans="1:5" x14ac:dyDescent="0.4">
      <c r="A2069" s="27">
        <v>44979</v>
      </c>
      <c r="B2069" s="21">
        <v>291.3811</v>
      </c>
      <c r="C2069">
        <v>223.36600000000001</v>
      </c>
      <c r="D2069">
        <v>128.96498199999999</v>
      </c>
      <c r="E2069" s="22">
        <v>99.021552999999997</v>
      </c>
    </row>
    <row r="2070" spans="1:5" x14ac:dyDescent="0.4">
      <c r="A2070" s="27">
        <v>44980</v>
      </c>
      <c r="B2070" s="21">
        <v>291.54539999999997</v>
      </c>
      <c r="C2070">
        <v>223.9478</v>
      </c>
      <c r="D2070">
        <v>128.97388100000001</v>
      </c>
      <c r="E2070" s="22">
        <v>99.028150999999994</v>
      </c>
    </row>
    <row r="2071" spans="1:5" x14ac:dyDescent="0.4">
      <c r="A2071" s="27">
        <v>44981</v>
      </c>
      <c r="B2071" s="21">
        <v>288.34309999999999</v>
      </c>
      <c r="C2071">
        <v>223.02520000000001</v>
      </c>
      <c r="D2071">
        <v>128.98277999999999</v>
      </c>
      <c r="E2071" s="22">
        <v>99.034750000000003</v>
      </c>
    </row>
    <row r="2072" spans="1:5" x14ac:dyDescent="0.4">
      <c r="A2072" s="27">
        <v>44984</v>
      </c>
      <c r="B2072" s="21">
        <v>291.37139999999999</v>
      </c>
      <c r="C2072">
        <v>222.553</v>
      </c>
      <c r="D2072">
        <v>129.009466</v>
      </c>
      <c r="E2072" s="22">
        <v>99.054541</v>
      </c>
    </row>
    <row r="2073" spans="1:5" x14ac:dyDescent="0.4">
      <c r="A2073" s="27">
        <v>44985</v>
      </c>
      <c r="B2073" s="21">
        <v>290.35980000000001</v>
      </c>
      <c r="C2073">
        <v>221.74279999999999</v>
      </c>
      <c r="D2073">
        <v>129.01836800000001</v>
      </c>
      <c r="E2073" s="22">
        <v>99.061138999999997</v>
      </c>
    </row>
    <row r="2074" spans="1:5" x14ac:dyDescent="0.4">
      <c r="A2074" s="27">
        <v>44986</v>
      </c>
      <c r="B2074" s="21">
        <v>288.22640000000001</v>
      </c>
      <c r="C2074">
        <v>220.7449</v>
      </c>
      <c r="D2074">
        <v>129.027232</v>
      </c>
      <c r="E2074" s="22">
        <v>99.067710000000005</v>
      </c>
    </row>
    <row r="2075" spans="1:5" x14ac:dyDescent="0.4">
      <c r="A2075" s="27">
        <v>44987</v>
      </c>
      <c r="B2075" s="21">
        <v>290.00639999999999</v>
      </c>
      <c r="C2075">
        <v>220.4393</v>
      </c>
      <c r="D2075">
        <v>129.036134</v>
      </c>
      <c r="E2075" s="22">
        <v>99.074309</v>
      </c>
    </row>
    <row r="2076" spans="1:5" x14ac:dyDescent="0.4">
      <c r="A2076" s="27">
        <v>44988</v>
      </c>
      <c r="B2076" s="21">
        <v>292.65780000000001</v>
      </c>
      <c r="C2076">
        <v>220.70070000000001</v>
      </c>
      <c r="D2076">
        <v>129.04503800000001</v>
      </c>
      <c r="E2076" s="22">
        <v>99.080911</v>
      </c>
    </row>
    <row r="2077" spans="1:5" x14ac:dyDescent="0.4">
      <c r="A2077" s="27">
        <v>44991</v>
      </c>
      <c r="B2077" s="21">
        <v>292.53039999999999</v>
      </c>
      <c r="C2077">
        <v>220.8545</v>
      </c>
      <c r="D2077">
        <v>129.071763</v>
      </c>
      <c r="E2077" s="22">
        <v>99.100727000000006</v>
      </c>
    </row>
    <row r="2078" spans="1:5" x14ac:dyDescent="0.4">
      <c r="A2078" s="27">
        <v>44992</v>
      </c>
      <c r="B2078" s="21">
        <v>290.36149999999998</v>
      </c>
      <c r="C2078">
        <v>221.0222</v>
      </c>
      <c r="D2078">
        <v>129.080669</v>
      </c>
      <c r="E2078" s="22">
        <v>99.107331000000002</v>
      </c>
    </row>
    <row r="2079" spans="1:5" x14ac:dyDescent="0.4">
      <c r="A2079" s="27">
        <v>44993</v>
      </c>
      <c r="B2079" s="21">
        <v>290.5822</v>
      </c>
      <c r="C2079">
        <v>221.86250000000001</v>
      </c>
      <c r="D2079">
        <v>129.08957599999999</v>
      </c>
      <c r="E2079" s="22">
        <v>99.113933000000003</v>
      </c>
    </row>
    <row r="2080" spans="1:5" x14ac:dyDescent="0.4">
      <c r="A2080" s="27">
        <v>44994</v>
      </c>
      <c r="B2080" s="21">
        <v>290.22410000000002</v>
      </c>
      <c r="C2080">
        <v>221.69659999999999</v>
      </c>
      <c r="D2080">
        <v>129.09848299999999</v>
      </c>
      <c r="E2080" s="22">
        <v>99.120537999999996</v>
      </c>
    </row>
    <row r="2081" spans="1:5" x14ac:dyDescent="0.4">
      <c r="A2081" s="27">
        <v>44995</v>
      </c>
      <c r="B2081" s="21">
        <v>286.41590000000002</v>
      </c>
      <c r="C2081">
        <v>223.78790000000001</v>
      </c>
      <c r="D2081">
        <v>129.107404</v>
      </c>
      <c r="E2081" s="22">
        <v>99.127149000000003</v>
      </c>
    </row>
    <row r="2082" spans="1:5" x14ac:dyDescent="0.4">
      <c r="A2082" s="27">
        <v>44998</v>
      </c>
      <c r="B2082" s="21">
        <v>279.65429999999998</v>
      </c>
      <c r="C2082">
        <v>226.1842</v>
      </c>
      <c r="D2082">
        <v>129.13416699999999</v>
      </c>
      <c r="E2082" s="22">
        <v>99.146998999999994</v>
      </c>
    </row>
    <row r="2083" spans="1:5" x14ac:dyDescent="0.4">
      <c r="A2083" s="27">
        <v>44999</v>
      </c>
      <c r="B2083" s="21">
        <v>283.88459999999998</v>
      </c>
      <c r="C2083">
        <v>223.7406</v>
      </c>
      <c r="D2083">
        <v>129.143091</v>
      </c>
      <c r="E2083" s="22">
        <v>99.153610999999998</v>
      </c>
    </row>
    <row r="2084" spans="1:5" x14ac:dyDescent="0.4">
      <c r="A2084" s="27">
        <v>45000</v>
      </c>
      <c r="B2084" s="21">
        <v>275.726</v>
      </c>
      <c r="C2084">
        <v>227.47790000000001</v>
      </c>
      <c r="D2084">
        <v>129.15201400000001</v>
      </c>
      <c r="E2084" s="22">
        <v>99.160223999999999</v>
      </c>
    </row>
    <row r="2085" spans="1:5" x14ac:dyDescent="0.4">
      <c r="A2085" s="27">
        <v>45001</v>
      </c>
      <c r="B2085" s="21">
        <v>279.2414</v>
      </c>
      <c r="C2085">
        <v>226.4436</v>
      </c>
      <c r="D2085">
        <v>129.16092599999999</v>
      </c>
      <c r="E2085" s="22">
        <v>99.166835000000006</v>
      </c>
    </row>
    <row r="2086" spans="1:5" x14ac:dyDescent="0.4">
      <c r="A2086" s="27">
        <v>45002</v>
      </c>
      <c r="B2086" s="21">
        <v>275.94569999999999</v>
      </c>
      <c r="C2086">
        <v>228.05199999999999</v>
      </c>
      <c r="D2086">
        <v>129.169838</v>
      </c>
      <c r="E2086" s="22">
        <v>99.173443000000006</v>
      </c>
    </row>
    <row r="2087" spans="1:5" x14ac:dyDescent="0.4">
      <c r="A2087" s="27">
        <v>45005</v>
      </c>
      <c r="B2087" s="21">
        <v>278.65339999999998</v>
      </c>
      <c r="C2087">
        <v>227.9374</v>
      </c>
      <c r="D2087">
        <v>129.19661500000001</v>
      </c>
      <c r="E2087" s="22">
        <v>99.193295000000006</v>
      </c>
    </row>
    <row r="2088" spans="1:5" x14ac:dyDescent="0.4">
      <c r="A2088" s="27">
        <v>45006</v>
      </c>
      <c r="B2088" s="21">
        <v>282.28370000000001</v>
      </c>
      <c r="C2088">
        <v>226.33779999999999</v>
      </c>
      <c r="D2088">
        <v>129.20553000000001</v>
      </c>
      <c r="E2088" s="22">
        <v>99.199901999999994</v>
      </c>
    </row>
    <row r="2089" spans="1:5" x14ac:dyDescent="0.4">
      <c r="A2089" s="27">
        <v>45007</v>
      </c>
      <c r="B2089" s="21">
        <v>282.90530000000001</v>
      </c>
      <c r="C2089">
        <v>225.59299999999999</v>
      </c>
      <c r="D2089">
        <v>129.21444500000001</v>
      </c>
      <c r="E2089" s="22">
        <v>99.206513000000001</v>
      </c>
    </row>
    <row r="2090" spans="1:5" x14ac:dyDescent="0.4">
      <c r="A2090" s="27">
        <v>45008</v>
      </c>
      <c r="B2090" s="21">
        <v>282.33089999999999</v>
      </c>
      <c r="C2090">
        <v>227.38130000000001</v>
      </c>
      <c r="D2090">
        <v>129.225157</v>
      </c>
      <c r="E2090" s="22">
        <v>99.214499000000004</v>
      </c>
    </row>
    <row r="2091" spans="1:5" x14ac:dyDescent="0.4">
      <c r="A2091" s="27">
        <v>45009</v>
      </c>
      <c r="B2091" s="21">
        <v>278.78050000000002</v>
      </c>
      <c r="C2091">
        <v>228.29060000000001</v>
      </c>
      <c r="D2091">
        <v>129.23586900000001</v>
      </c>
      <c r="E2091" s="22">
        <v>99.222487999999998</v>
      </c>
    </row>
    <row r="2092" spans="1:5" x14ac:dyDescent="0.4">
      <c r="A2092" s="27">
        <v>45012</v>
      </c>
      <c r="B2092" s="21">
        <v>281.76459999999997</v>
      </c>
      <c r="C2092">
        <v>227.28620000000001</v>
      </c>
      <c r="D2092">
        <v>129.26801</v>
      </c>
      <c r="E2092" s="22">
        <v>99.246459000000002</v>
      </c>
    </row>
    <row r="2093" spans="1:5" x14ac:dyDescent="0.4">
      <c r="A2093" s="27">
        <v>45013</v>
      </c>
      <c r="B2093" s="21">
        <v>281.65289999999999</v>
      </c>
      <c r="C2093">
        <v>226.1507</v>
      </c>
      <c r="D2093">
        <v>129.278727</v>
      </c>
      <c r="E2093" s="22">
        <v>99.254447999999996</v>
      </c>
    </row>
    <row r="2094" spans="1:5" x14ac:dyDescent="0.4">
      <c r="A2094" s="27">
        <v>45014</v>
      </c>
      <c r="B2094" s="21">
        <v>285.26209999999998</v>
      </c>
      <c r="C2094">
        <v>226.11410000000001</v>
      </c>
      <c r="D2094">
        <v>129.28943100000001</v>
      </c>
      <c r="E2094" s="22">
        <v>99.262427000000002</v>
      </c>
    </row>
    <row r="2095" spans="1:5" x14ac:dyDescent="0.4">
      <c r="A2095" s="27">
        <v>45015</v>
      </c>
      <c r="B2095" s="21">
        <v>288.16210000000001</v>
      </c>
      <c r="C2095">
        <v>225.39510000000001</v>
      </c>
      <c r="D2095">
        <v>129.30013600000001</v>
      </c>
      <c r="E2095" s="22">
        <v>99.270407000000006</v>
      </c>
    </row>
    <row r="2096" spans="1:5" x14ac:dyDescent="0.4">
      <c r="A2096" s="27">
        <v>45016</v>
      </c>
      <c r="B2096" s="21">
        <v>290.1429</v>
      </c>
      <c r="C2096">
        <v>226.1875</v>
      </c>
      <c r="D2096">
        <v>129.31084200000001</v>
      </c>
      <c r="E2096" s="22">
        <v>99.278391999999997</v>
      </c>
    </row>
    <row r="2097" spans="1:5" x14ac:dyDescent="0.4">
      <c r="A2097" s="27">
        <v>45019</v>
      </c>
      <c r="B2097" s="21">
        <v>290.17860000000002</v>
      </c>
      <c r="C2097">
        <v>227.2209</v>
      </c>
      <c r="D2097">
        <v>129.34283400000001</v>
      </c>
      <c r="E2097" s="22">
        <v>99.302251999999996</v>
      </c>
    </row>
    <row r="2098" spans="1:5" x14ac:dyDescent="0.4">
      <c r="A2098" s="27">
        <v>45020</v>
      </c>
      <c r="B2098" s="21">
        <v>289.90890000000002</v>
      </c>
      <c r="C2098">
        <v>226.95660000000001</v>
      </c>
      <c r="D2098">
        <v>129.353556</v>
      </c>
      <c r="E2098" s="22">
        <v>99.310246000000006</v>
      </c>
    </row>
    <row r="2099" spans="1:5" x14ac:dyDescent="0.4">
      <c r="A2099" s="27">
        <v>45021</v>
      </c>
      <c r="B2099" s="21">
        <v>289.72550000000001</v>
      </c>
      <c r="C2099">
        <v>228.15989999999999</v>
      </c>
      <c r="D2099">
        <v>129.36428000000001</v>
      </c>
      <c r="E2099" s="22">
        <v>99.318241</v>
      </c>
    </row>
    <row r="2100" spans="1:5" x14ac:dyDescent="0.4">
      <c r="A2100" s="27">
        <v>45022</v>
      </c>
      <c r="B2100" s="21">
        <v>291.33100000000002</v>
      </c>
      <c r="C2100">
        <v>228.0934</v>
      </c>
      <c r="D2100">
        <v>129.37501700000001</v>
      </c>
      <c r="E2100" s="22">
        <v>99.326246999999995</v>
      </c>
    </row>
    <row r="2101" spans="1:5" x14ac:dyDescent="0.4">
      <c r="A2101" s="27">
        <v>45027</v>
      </c>
      <c r="B2101" s="21">
        <v>293.04599999999999</v>
      </c>
      <c r="C2101">
        <v>226.4135</v>
      </c>
      <c r="D2101">
        <v>129.428707</v>
      </c>
      <c r="E2101" s="22">
        <v>99.366294999999994</v>
      </c>
    </row>
    <row r="2102" spans="1:5" x14ac:dyDescent="0.4">
      <c r="A2102" s="27">
        <v>45028</v>
      </c>
      <c r="B2102" s="21">
        <v>293.55410000000001</v>
      </c>
      <c r="C2102">
        <v>225.6413</v>
      </c>
      <c r="D2102">
        <v>129.439424</v>
      </c>
      <c r="E2102" s="22">
        <v>99.374290999999999</v>
      </c>
    </row>
    <row r="2103" spans="1:5" x14ac:dyDescent="0.4">
      <c r="A2103" s="27">
        <v>45029</v>
      </c>
      <c r="B2103" s="21">
        <v>294.7765</v>
      </c>
      <c r="C2103">
        <v>225.6694</v>
      </c>
      <c r="D2103">
        <v>129.450155</v>
      </c>
      <c r="E2103" s="22">
        <v>99.382289999999998</v>
      </c>
    </row>
    <row r="2104" spans="1:5" x14ac:dyDescent="0.4">
      <c r="A2104" s="27">
        <v>45030</v>
      </c>
      <c r="B2104" s="21">
        <v>296.4984</v>
      </c>
      <c r="C2104">
        <v>224.9676</v>
      </c>
      <c r="D2104">
        <v>129.46088599999999</v>
      </c>
      <c r="E2104" s="22">
        <v>99.390293</v>
      </c>
    </row>
    <row r="2105" spans="1:5" x14ac:dyDescent="0.4">
      <c r="A2105" s="27">
        <v>45033</v>
      </c>
      <c r="B2105" s="21">
        <v>296.45319999999998</v>
      </c>
      <c r="C2105">
        <v>224.33709999999999</v>
      </c>
      <c r="D2105">
        <v>129.493044</v>
      </c>
      <c r="E2105" s="22">
        <v>99.414280000000005</v>
      </c>
    </row>
    <row r="2106" spans="1:5" x14ac:dyDescent="0.4">
      <c r="A2106" s="27">
        <v>45034</v>
      </c>
      <c r="B2106" s="21">
        <v>297.59840000000003</v>
      </c>
      <c r="C2106">
        <v>224.78319999999999</v>
      </c>
      <c r="D2106">
        <v>129.50376600000001</v>
      </c>
      <c r="E2106" s="22">
        <v>99.422280000000001</v>
      </c>
    </row>
    <row r="2107" spans="1:5" x14ac:dyDescent="0.4">
      <c r="A2107" s="27">
        <v>45035</v>
      </c>
      <c r="B2107" s="21">
        <v>297.33100000000002</v>
      </c>
      <c r="C2107">
        <v>224.11609999999999</v>
      </c>
      <c r="D2107">
        <v>129.51450199999999</v>
      </c>
      <c r="E2107" s="22">
        <v>99.430291999999994</v>
      </c>
    </row>
    <row r="2108" spans="1:5" x14ac:dyDescent="0.4">
      <c r="A2108" s="27">
        <v>45036</v>
      </c>
      <c r="B2108" s="21">
        <v>297.0104</v>
      </c>
      <c r="C2108">
        <v>224.661</v>
      </c>
      <c r="D2108">
        <v>129.52525199999999</v>
      </c>
      <c r="E2108" s="22">
        <v>99.438306999999995</v>
      </c>
    </row>
    <row r="2109" spans="1:5" x14ac:dyDescent="0.4">
      <c r="A2109" s="27">
        <v>45037</v>
      </c>
      <c r="B2109" s="21">
        <v>298.07</v>
      </c>
      <c r="C2109">
        <v>224.18100000000001</v>
      </c>
      <c r="D2109">
        <v>129.536002</v>
      </c>
      <c r="E2109" s="22">
        <v>99.446327999999994</v>
      </c>
    </row>
    <row r="2110" spans="1:5" x14ac:dyDescent="0.4">
      <c r="A2110" s="27">
        <v>45040</v>
      </c>
      <c r="B2110" s="21">
        <v>298.40030000000002</v>
      </c>
      <c r="C2110">
        <v>224.23910000000001</v>
      </c>
      <c r="D2110">
        <v>129.56824399999999</v>
      </c>
      <c r="E2110" s="22">
        <v>99.470377999999997</v>
      </c>
    </row>
    <row r="2111" spans="1:5" x14ac:dyDescent="0.4">
      <c r="A2111" s="27">
        <v>45041</v>
      </c>
      <c r="B2111" s="21">
        <v>297.45909999999998</v>
      </c>
      <c r="C2111">
        <v>225.68639999999999</v>
      </c>
      <c r="D2111">
        <v>129.57901100000001</v>
      </c>
      <c r="E2111" s="22">
        <v>99.478403999999998</v>
      </c>
    </row>
    <row r="2112" spans="1:5" x14ac:dyDescent="0.4">
      <c r="A2112" s="27">
        <v>45042</v>
      </c>
      <c r="B2112" s="21">
        <v>294.9622</v>
      </c>
      <c r="C2112">
        <v>225.60390000000001</v>
      </c>
      <c r="D2112">
        <v>129.589753</v>
      </c>
      <c r="E2112" s="22">
        <v>99.486421000000007</v>
      </c>
    </row>
    <row r="2113" spans="1:5" x14ac:dyDescent="0.4">
      <c r="A2113" s="27">
        <v>45043</v>
      </c>
      <c r="B2113" s="21">
        <v>295.55009999999999</v>
      </c>
      <c r="C2113">
        <v>224.7199</v>
      </c>
      <c r="D2113">
        <v>129.60049599999999</v>
      </c>
      <c r="E2113" s="22">
        <v>99.494434999999996</v>
      </c>
    </row>
    <row r="2114" spans="1:5" x14ac:dyDescent="0.4">
      <c r="A2114" s="27">
        <v>45044</v>
      </c>
      <c r="B2114" s="21">
        <v>297.3897</v>
      </c>
      <c r="C2114">
        <v>226.47739999999999</v>
      </c>
      <c r="D2114">
        <v>129.61124000000001</v>
      </c>
      <c r="E2114" s="22">
        <v>99.502449999999996</v>
      </c>
    </row>
    <row r="2115" spans="1:5" x14ac:dyDescent="0.4">
      <c r="A2115" s="27">
        <v>45047</v>
      </c>
      <c r="B2115" s="21">
        <v>297.56760000000003</v>
      </c>
      <c r="C2115">
        <v>226.48859999999999</v>
      </c>
      <c r="D2115">
        <v>129.65414100000001</v>
      </c>
      <c r="E2115" s="22">
        <v>99.534445000000005</v>
      </c>
    </row>
    <row r="2116" spans="1:5" x14ac:dyDescent="0.4">
      <c r="A2116" s="27">
        <v>45048</v>
      </c>
      <c r="B2116" s="21">
        <v>294.0086</v>
      </c>
      <c r="C2116">
        <v>227.14429999999999</v>
      </c>
      <c r="D2116">
        <v>129.65414100000001</v>
      </c>
      <c r="E2116" s="22">
        <v>99.534445000000005</v>
      </c>
    </row>
    <row r="2117" spans="1:5" x14ac:dyDescent="0.4">
      <c r="A2117" s="27">
        <v>45049</v>
      </c>
      <c r="B2117" s="21">
        <v>295.03370000000001</v>
      </c>
      <c r="C2117">
        <v>227.1738</v>
      </c>
      <c r="D2117">
        <v>129.66487699999999</v>
      </c>
      <c r="E2117" s="22">
        <v>99.542451999999997</v>
      </c>
    </row>
    <row r="2118" spans="1:5" x14ac:dyDescent="0.4">
      <c r="A2118" s="27">
        <v>45050</v>
      </c>
      <c r="B2118" s="21">
        <v>293.88040000000001</v>
      </c>
      <c r="C2118">
        <v>227.85210000000001</v>
      </c>
      <c r="D2118">
        <v>129.675613</v>
      </c>
      <c r="E2118" s="22">
        <v>99.550460000000001</v>
      </c>
    </row>
    <row r="2119" spans="1:5" x14ac:dyDescent="0.4">
      <c r="A2119" s="27">
        <v>45051</v>
      </c>
      <c r="B2119" s="21">
        <v>297.12560000000002</v>
      </c>
      <c r="C2119">
        <v>226.77279999999999</v>
      </c>
      <c r="D2119">
        <v>129.68635</v>
      </c>
      <c r="E2119" s="22">
        <v>99.558470999999997</v>
      </c>
    </row>
    <row r="2120" spans="1:5" x14ac:dyDescent="0.4">
      <c r="A2120" s="27">
        <v>45054</v>
      </c>
      <c r="B2120" s="21">
        <v>298.28179999999998</v>
      </c>
      <c r="C2120">
        <v>226.35939999999999</v>
      </c>
      <c r="D2120">
        <v>129.71859000000001</v>
      </c>
      <c r="E2120" s="22">
        <v>99.582514000000003</v>
      </c>
    </row>
    <row r="2121" spans="1:5" x14ac:dyDescent="0.4">
      <c r="A2121" s="27">
        <v>45055</v>
      </c>
      <c r="B2121" s="21">
        <v>297.53590000000003</v>
      </c>
      <c r="C2121">
        <v>226.101</v>
      </c>
      <c r="D2121">
        <v>129.72931800000001</v>
      </c>
      <c r="E2121" s="22">
        <v>99.590513999999999</v>
      </c>
    </row>
    <row r="2122" spans="1:5" x14ac:dyDescent="0.4">
      <c r="A2122" s="27">
        <v>45056</v>
      </c>
      <c r="B2122" s="21">
        <v>296.34379999999999</v>
      </c>
      <c r="C2122">
        <v>226.8109</v>
      </c>
      <c r="D2122">
        <v>129.740059</v>
      </c>
      <c r="E2122" s="22">
        <v>99.598519999999994</v>
      </c>
    </row>
    <row r="2123" spans="1:5" x14ac:dyDescent="0.4">
      <c r="A2123" s="27">
        <v>45057</v>
      </c>
      <c r="B2123" s="21">
        <v>296.57420000000002</v>
      </c>
      <c r="C2123">
        <v>227.66390000000001</v>
      </c>
      <c r="D2123">
        <v>129.75169700000001</v>
      </c>
      <c r="E2123" s="22">
        <v>99.607220999999996</v>
      </c>
    </row>
    <row r="2124" spans="1:5" x14ac:dyDescent="0.4">
      <c r="A2124" s="27">
        <v>45058</v>
      </c>
      <c r="B2124" s="21">
        <v>297.93419999999998</v>
      </c>
      <c r="C2124">
        <v>227.0872</v>
      </c>
      <c r="D2124">
        <v>129.76333600000001</v>
      </c>
      <c r="E2124" s="22">
        <v>99.615922999999995</v>
      </c>
    </row>
    <row r="2125" spans="1:5" x14ac:dyDescent="0.4">
      <c r="A2125" s="27">
        <v>45061</v>
      </c>
      <c r="B2125" s="21">
        <v>298.70710000000003</v>
      </c>
      <c r="C2125">
        <v>226.66749999999999</v>
      </c>
      <c r="D2125">
        <v>129.798294</v>
      </c>
      <c r="E2125" s="22">
        <v>99.642054999999999</v>
      </c>
    </row>
    <row r="2126" spans="1:5" x14ac:dyDescent="0.4">
      <c r="A2126" s="27">
        <v>45062</v>
      </c>
      <c r="B2126" s="21">
        <v>297.43200000000002</v>
      </c>
      <c r="C2126">
        <v>226.03630000000001</v>
      </c>
      <c r="D2126">
        <v>129.80993699999999</v>
      </c>
      <c r="E2126" s="22">
        <v>99.650760000000005</v>
      </c>
    </row>
    <row r="2127" spans="1:5" x14ac:dyDescent="0.4">
      <c r="A2127" s="27">
        <v>45063</v>
      </c>
      <c r="B2127" s="21">
        <v>297.03840000000002</v>
      </c>
      <c r="C2127">
        <v>226.0966</v>
      </c>
      <c r="D2127">
        <v>129.821594</v>
      </c>
      <c r="E2127" s="22">
        <v>99.659470999999996</v>
      </c>
    </row>
    <row r="2128" spans="1:5" x14ac:dyDescent="0.4">
      <c r="A2128" s="27">
        <v>45064</v>
      </c>
      <c r="B2128" s="21">
        <v>298.42219999999998</v>
      </c>
      <c r="C2128">
        <v>224.5479</v>
      </c>
      <c r="D2128">
        <v>129.83326500000001</v>
      </c>
      <c r="E2128" s="22">
        <v>99.668194</v>
      </c>
    </row>
    <row r="2129" spans="1:5" x14ac:dyDescent="0.4">
      <c r="A2129" s="27">
        <v>45065</v>
      </c>
      <c r="B2129" s="21">
        <v>300.42880000000002</v>
      </c>
      <c r="C2129">
        <v>225.0025</v>
      </c>
      <c r="D2129">
        <v>129.84493699999999</v>
      </c>
      <c r="E2129" s="22">
        <v>99.676924</v>
      </c>
    </row>
    <row r="2130" spans="1:5" x14ac:dyDescent="0.4">
      <c r="A2130" s="27">
        <v>45068</v>
      </c>
      <c r="B2130" s="21">
        <v>300.65289999999999</v>
      </c>
      <c r="C2130">
        <v>224.66399999999999</v>
      </c>
      <c r="D2130">
        <v>129.87995599999999</v>
      </c>
      <c r="E2130" s="22">
        <v>99.703097</v>
      </c>
    </row>
    <row r="2131" spans="1:5" x14ac:dyDescent="0.4">
      <c r="A2131" s="27">
        <v>45069</v>
      </c>
      <c r="B2131" s="21">
        <v>298.80709999999999</v>
      </c>
      <c r="C2131">
        <v>224.5394</v>
      </c>
      <c r="D2131">
        <v>129.89163199999999</v>
      </c>
      <c r="E2131" s="22">
        <v>99.711821</v>
      </c>
    </row>
    <row r="2132" spans="1:5" x14ac:dyDescent="0.4">
      <c r="A2132" s="27">
        <v>45070</v>
      </c>
      <c r="B2132" s="21">
        <v>293.50959999999998</v>
      </c>
      <c r="C2132">
        <v>224.70439999999999</v>
      </c>
      <c r="D2132">
        <v>129.903335</v>
      </c>
      <c r="E2132" s="22">
        <v>99.720564999999993</v>
      </c>
    </row>
    <row r="2133" spans="1:5" x14ac:dyDescent="0.4">
      <c r="A2133" s="27">
        <v>45071</v>
      </c>
      <c r="B2133" s="21">
        <v>292.5899</v>
      </c>
      <c r="C2133">
        <v>224.25909999999999</v>
      </c>
      <c r="D2133">
        <v>129.91500099999999</v>
      </c>
      <c r="E2133" s="22">
        <v>99.729285000000004</v>
      </c>
    </row>
    <row r="2134" spans="1:5" x14ac:dyDescent="0.4">
      <c r="A2134" s="27">
        <v>45072</v>
      </c>
      <c r="B2134" s="21">
        <v>296.0444</v>
      </c>
      <c r="C2134">
        <v>223.5598</v>
      </c>
      <c r="D2134">
        <v>129.92666700000001</v>
      </c>
      <c r="E2134" s="22">
        <v>99.738005999999999</v>
      </c>
    </row>
    <row r="2135" spans="1:5" x14ac:dyDescent="0.4">
      <c r="A2135" s="27">
        <v>45075</v>
      </c>
      <c r="B2135" s="21">
        <v>295.70209999999997</v>
      </c>
      <c r="C2135">
        <v>225.06219999999999</v>
      </c>
      <c r="D2135">
        <v>129.96172100000001</v>
      </c>
      <c r="E2135" s="22">
        <v>99.764204000000007</v>
      </c>
    </row>
    <row r="2136" spans="1:5" x14ac:dyDescent="0.4">
      <c r="A2136" s="27">
        <v>45076</v>
      </c>
      <c r="B2136" s="21">
        <v>293.07679999999999</v>
      </c>
      <c r="C2136">
        <v>226.33090000000001</v>
      </c>
      <c r="D2136">
        <v>129.97339199999999</v>
      </c>
      <c r="E2136" s="22">
        <v>99.772925000000001</v>
      </c>
    </row>
    <row r="2137" spans="1:5" x14ac:dyDescent="0.4">
      <c r="A2137" s="27">
        <v>45077</v>
      </c>
      <c r="B2137" s="21">
        <v>289.89440000000002</v>
      </c>
      <c r="C2137">
        <v>227.29669999999999</v>
      </c>
      <c r="D2137">
        <v>129.98506399999999</v>
      </c>
      <c r="E2137" s="22">
        <v>99.781649999999999</v>
      </c>
    </row>
    <row r="2138" spans="1:5" x14ac:dyDescent="0.4">
      <c r="A2138" s="27">
        <v>45078</v>
      </c>
      <c r="B2138" s="21">
        <v>292.1123</v>
      </c>
      <c r="C2138">
        <v>227.57730000000001</v>
      </c>
      <c r="D2138">
        <v>129.996723</v>
      </c>
      <c r="E2138" s="22">
        <v>99.790363999999997</v>
      </c>
    </row>
    <row r="2139" spans="1:5" x14ac:dyDescent="0.4">
      <c r="A2139" s="27">
        <v>45079</v>
      </c>
      <c r="B2139" s="21">
        <v>296.4418</v>
      </c>
      <c r="C2139">
        <v>227.16159999999999</v>
      </c>
      <c r="D2139">
        <v>130.008397</v>
      </c>
      <c r="E2139" s="22">
        <v>99.799087</v>
      </c>
    </row>
    <row r="2140" spans="1:5" x14ac:dyDescent="0.4">
      <c r="A2140" s="27">
        <v>45082</v>
      </c>
      <c r="B2140" s="21">
        <v>294.99509999999998</v>
      </c>
      <c r="C2140">
        <v>226.30840000000001</v>
      </c>
      <c r="D2140">
        <v>130.043421</v>
      </c>
      <c r="E2140" s="22">
        <v>99.825267999999994</v>
      </c>
    </row>
    <row r="2141" spans="1:5" x14ac:dyDescent="0.4">
      <c r="A2141" s="27">
        <v>45083</v>
      </c>
      <c r="B2141" s="21">
        <v>296.12709999999998</v>
      </c>
      <c r="C2141">
        <v>226.27080000000001</v>
      </c>
      <c r="D2141">
        <v>130.05509900000001</v>
      </c>
      <c r="E2141" s="22">
        <v>99.833996999999997</v>
      </c>
    </row>
    <row r="2142" spans="1:5" x14ac:dyDescent="0.4">
      <c r="A2142" s="27">
        <v>45084</v>
      </c>
      <c r="B2142" s="21">
        <v>295.54169999999999</v>
      </c>
      <c r="C2142">
        <v>225.5744</v>
      </c>
      <c r="D2142">
        <v>130.066765</v>
      </c>
      <c r="E2142" s="22">
        <v>99.842719000000002</v>
      </c>
    </row>
    <row r="2143" spans="1:5" x14ac:dyDescent="0.4">
      <c r="A2143" s="27">
        <v>45085</v>
      </c>
      <c r="B2143" s="21">
        <v>295.5557</v>
      </c>
      <c r="C2143">
        <v>225.88839999999999</v>
      </c>
      <c r="D2143">
        <v>130.07843199999999</v>
      </c>
      <c r="E2143" s="22">
        <v>99.851438000000002</v>
      </c>
    </row>
    <row r="2144" spans="1:5" x14ac:dyDescent="0.4">
      <c r="A2144" s="27">
        <v>45086</v>
      </c>
      <c r="B2144" s="21">
        <v>295.00959999999998</v>
      </c>
      <c r="C2144">
        <v>226.64879999999999</v>
      </c>
      <c r="D2144">
        <v>130.09010000000001</v>
      </c>
      <c r="E2144" s="22">
        <v>99.860163999999997</v>
      </c>
    </row>
    <row r="2145" spans="1:5" x14ac:dyDescent="0.4">
      <c r="A2145" s="27">
        <v>45089</v>
      </c>
      <c r="B2145" s="21">
        <v>295.51069999999999</v>
      </c>
      <c r="C2145">
        <v>226.8237</v>
      </c>
      <c r="D2145">
        <v>130.12513300000001</v>
      </c>
      <c r="E2145" s="22">
        <v>99.886352000000002</v>
      </c>
    </row>
    <row r="2146" spans="1:5" x14ac:dyDescent="0.4">
      <c r="A2146" s="27">
        <v>45090</v>
      </c>
      <c r="B2146" s="21">
        <v>297.24259999999998</v>
      </c>
      <c r="C2146">
        <v>226.27619999999999</v>
      </c>
      <c r="D2146">
        <v>130.136819</v>
      </c>
      <c r="E2146" s="22">
        <v>99.895083999999997</v>
      </c>
    </row>
    <row r="2147" spans="1:5" x14ac:dyDescent="0.4">
      <c r="A2147" s="27">
        <v>45091</v>
      </c>
      <c r="B2147" s="21">
        <v>298.26220000000001</v>
      </c>
      <c r="C2147">
        <v>225.85120000000001</v>
      </c>
      <c r="D2147">
        <v>130.148505</v>
      </c>
      <c r="E2147" s="22">
        <v>99.903817000000004</v>
      </c>
    </row>
    <row r="2148" spans="1:5" x14ac:dyDescent="0.4">
      <c r="A2148" s="27">
        <v>45092</v>
      </c>
      <c r="B2148" s="21">
        <v>297.97590000000002</v>
      </c>
      <c r="C2148">
        <v>225.21459999999999</v>
      </c>
      <c r="D2148">
        <v>130.16020499999999</v>
      </c>
      <c r="E2148" s="22">
        <v>99.912558000000004</v>
      </c>
    </row>
    <row r="2149" spans="1:5" x14ac:dyDescent="0.4">
      <c r="A2149" s="27">
        <v>45093</v>
      </c>
      <c r="B2149" s="21">
        <v>299.5634</v>
      </c>
      <c r="C2149">
        <v>226.0736</v>
      </c>
      <c r="D2149">
        <v>130.17189400000001</v>
      </c>
      <c r="E2149" s="22">
        <v>99.921291999999994</v>
      </c>
    </row>
    <row r="2150" spans="1:5" x14ac:dyDescent="0.4">
      <c r="A2150" s="27">
        <v>45096</v>
      </c>
      <c r="B2150" s="21">
        <v>296.59840000000003</v>
      </c>
      <c r="C2150">
        <v>225.1626</v>
      </c>
      <c r="D2150">
        <v>130.20692299999999</v>
      </c>
      <c r="E2150" s="22">
        <v>99.947472000000005</v>
      </c>
    </row>
    <row r="2151" spans="1:5" x14ac:dyDescent="0.4">
      <c r="A2151" s="27">
        <v>45097</v>
      </c>
      <c r="B2151" s="21">
        <v>294.88600000000002</v>
      </c>
      <c r="C2151">
        <v>226.6138</v>
      </c>
      <c r="D2151">
        <v>130.218602</v>
      </c>
      <c r="E2151" s="22">
        <v>99.956199999999995</v>
      </c>
    </row>
    <row r="2152" spans="1:5" x14ac:dyDescent="0.4">
      <c r="A2152" s="27">
        <v>45098</v>
      </c>
      <c r="B2152" s="21">
        <v>293.4862</v>
      </c>
      <c r="C2152">
        <v>226.3185</v>
      </c>
      <c r="D2152">
        <v>130.23028299999999</v>
      </c>
      <c r="E2152" s="22">
        <v>99.964929999999995</v>
      </c>
    </row>
    <row r="2153" spans="1:5" x14ac:dyDescent="0.4">
      <c r="A2153" s="27">
        <v>45099</v>
      </c>
      <c r="B2153" s="21">
        <v>292.10570000000001</v>
      </c>
      <c r="C2153">
        <v>225.48820000000001</v>
      </c>
      <c r="D2153">
        <v>130.242876</v>
      </c>
      <c r="E2153" s="22">
        <v>99.974356999999998</v>
      </c>
    </row>
    <row r="2154" spans="1:5" x14ac:dyDescent="0.4">
      <c r="A2154" s="27">
        <v>45100</v>
      </c>
      <c r="B2154" s="21">
        <v>291.22890000000001</v>
      </c>
      <c r="C2154">
        <v>227.18680000000001</v>
      </c>
      <c r="D2154">
        <v>130.255471</v>
      </c>
      <c r="E2154" s="22">
        <v>99.983790999999997</v>
      </c>
    </row>
    <row r="2155" spans="1:5" x14ac:dyDescent="0.4">
      <c r="A2155" s="27">
        <v>45103</v>
      </c>
      <c r="B2155" s="21">
        <v>290.9443</v>
      </c>
      <c r="C2155">
        <v>227.69540000000001</v>
      </c>
      <c r="D2155">
        <v>130.293297</v>
      </c>
      <c r="E2155" s="22">
        <v>100.01212</v>
      </c>
    </row>
    <row r="2156" spans="1:5" x14ac:dyDescent="0.4">
      <c r="A2156" s="27">
        <v>45104</v>
      </c>
      <c r="B2156" s="21">
        <v>291.12920000000003</v>
      </c>
      <c r="C2156">
        <v>226.9983</v>
      </c>
      <c r="D2156">
        <v>130.30590900000001</v>
      </c>
      <c r="E2156" s="22">
        <v>100.021565</v>
      </c>
    </row>
    <row r="2157" spans="1:5" x14ac:dyDescent="0.4">
      <c r="A2157" s="27">
        <v>45105</v>
      </c>
      <c r="B2157" s="21">
        <v>293.06549999999999</v>
      </c>
      <c r="C2157">
        <v>227.4666</v>
      </c>
      <c r="D2157">
        <v>130.31851</v>
      </c>
      <c r="E2157" s="22">
        <v>100.031003</v>
      </c>
    </row>
    <row r="2158" spans="1:5" x14ac:dyDescent="0.4">
      <c r="A2158" s="27">
        <v>45106</v>
      </c>
      <c r="B2158" s="21">
        <v>293.42930000000001</v>
      </c>
      <c r="C2158">
        <v>226.40700000000001</v>
      </c>
      <c r="D2158">
        <v>130.33112499999999</v>
      </c>
      <c r="E2158" s="22">
        <v>100.040451</v>
      </c>
    </row>
    <row r="2159" spans="1:5" x14ac:dyDescent="0.4">
      <c r="A2159" s="27">
        <v>45107</v>
      </c>
      <c r="B2159" s="21">
        <v>296.8449</v>
      </c>
      <c r="C2159">
        <v>226.54830000000001</v>
      </c>
      <c r="D2159">
        <v>130.34374099999999</v>
      </c>
      <c r="E2159" s="22">
        <v>100.049899</v>
      </c>
    </row>
    <row r="2160" spans="1:5" x14ac:dyDescent="0.4">
      <c r="A2160" s="27">
        <v>45110</v>
      </c>
      <c r="B2160" s="21">
        <v>296.2441</v>
      </c>
      <c r="C2160">
        <v>226.1541</v>
      </c>
      <c r="D2160">
        <v>130.38159300000001</v>
      </c>
      <c r="E2160" s="22">
        <v>100.07824599999999</v>
      </c>
    </row>
    <row r="2161" spans="1:5" x14ac:dyDescent="0.4">
      <c r="A2161" s="27">
        <v>45111</v>
      </c>
      <c r="B2161" s="21">
        <v>296.45499999999998</v>
      </c>
      <c r="C2161">
        <v>225.82380000000001</v>
      </c>
      <c r="D2161">
        <v>130.39421400000001</v>
      </c>
      <c r="E2161" s="22">
        <v>100.087695</v>
      </c>
    </row>
    <row r="2162" spans="1:5" x14ac:dyDescent="0.4">
      <c r="A2162" s="27">
        <v>45112</v>
      </c>
      <c r="B2162" s="21">
        <v>294.39389999999997</v>
      </c>
      <c r="C2162">
        <v>225.8314</v>
      </c>
      <c r="D2162">
        <v>130.406836</v>
      </c>
      <c r="E2162" s="22">
        <v>100.097151</v>
      </c>
    </row>
    <row r="2163" spans="1:5" x14ac:dyDescent="0.4">
      <c r="A2163" s="27">
        <v>45113</v>
      </c>
      <c r="B2163" s="21">
        <v>287.51560000000001</v>
      </c>
      <c r="C2163">
        <v>223.8852</v>
      </c>
      <c r="D2163">
        <v>130.41947200000001</v>
      </c>
      <c r="E2163" s="22">
        <v>100.106616</v>
      </c>
    </row>
    <row r="2164" spans="1:5" x14ac:dyDescent="0.4">
      <c r="A2164" s="27">
        <v>45114</v>
      </c>
      <c r="B2164" s="21">
        <v>287.65210000000002</v>
      </c>
      <c r="C2164">
        <v>223.91460000000001</v>
      </c>
      <c r="D2164">
        <v>130.43212299999999</v>
      </c>
      <c r="E2164" s="22">
        <v>100.11608699999999</v>
      </c>
    </row>
    <row r="2165" spans="1:5" x14ac:dyDescent="0.4">
      <c r="A2165" s="27">
        <v>45117</v>
      </c>
      <c r="B2165" s="21">
        <v>288.13670000000002</v>
      </c>
      <c r="C2165">
        <v>223.8031</v>
      </c>
      <c r="D2165">
        <v>130.47006500000001</v>
      </c>
      <c r="E2165" s="22">
        <v>100.144503</v>
      </c>
    </row>
    <row r="2166" spans="1:5" x14ac:dyDescent="0.4">
      <c r="A2166" s="27">
        <v>45118</v>
      </c>
      <c r="B2166" s="21">
        <v>290.18049999999999</v>
      </c>
      <c r="C2166">
        <v>223.58920000000001</v>
      </c>
      <c r="D2166">
        <v>130.482708</v>
      </c>
      <c r="E2166" s="22">
        <v>100.15396699999999</v>
      </c>
    </row>
    <row r="2167" spans="1:5" x14ac:dyDescent="0.4">
      <c r="A2167" s="27">
        <v>45119</v>
      </c>
      <c r="B2167" s="21">
        <v>294.44110000000001</v>
      </c>
      <c r="C2167">
        <v>224.88140000000001</v>
      </c>
      <c r="D2167">
        <v>130.495352</v>
      </c>
      <c r="E2167" s="22">
        <v>100.163437</v>
      </c>
    </row>
    <row r="2168" spans="1:5" x14ac:dyDescent="0.4">
      <c r="A2168" s="27">
        <v>45120</v>
      </c>
      <c r="B2168" s="21">
        <v>296.36180000000002</v>
      </c>
      <c r="C2168">
        <v>226.08760000000001</v>
      </c>
      <c r="D2168">
        <v>130.50799699999999</v>
      </c>
      <c r="E2168" s="22">
        <v>100.17290800000001</v>
      </c>
    </row>
    <row r="2169" spans="1:5" x14ac:dyDescent="0.4">
      <c r="A2169" s="27">
        <v>45121</v>
      </c>
      <c r="B2169" s="21">
        <v>296.08359999999999</v>
      </c>
      <c r="C2169">
        <v>226.01650000000001</v>
      </c>
      <c r="D2169">
        <v>130.52063000000001</v>
      </c>
      <c r="E2169" s="22">
        <v>100.182371</v>
      </c>
    </row>
    <row r="2170" spans="1:5" x14ac:dyDescent="0.4">
      <c r="A2170" s="27">
        <v>45124</v>
      </c>
      <c r="B2170" s="21">
        <v>294.22309999999999</v>
      </c>
      <c r="C2170">
        <v>226.2054</v>
      </c>
      <c r="D2170">
        <v>130.558559</v>
      </c>
      <c r="E2170" s="22">
        <v>100.210773</v>
      </c>
    </row>
    <row r="2171" spans="1:5" x14ac:dyDescent="0.4">
      <c r="A2171" s="27">
        <v>45125</v>
      </c>
      <c r="B2171" s="21">
        <v>295.99720000000002</v>
      </c>
      <c r="C2171">
        <v>227.90690000000001</v>
      </c>
      <c r="D2171">
        <v>130.57119700000001</v>
      </c>
      <c r="E2171" s="22">
        <v>100.22023799999999</v>
      </c>
    </row>
    <row r="2172" spans="1:5" x14ac:dyDescent="0.4">
      <c r="A2172" s="27">
        <v>45126</v>
      </c>
      <c r="B2172" s="21">
        <v>296.57010000000002</v>
      </c>
      <c r="C2172">
        <v>227.35319999999999</v>
      </c>
      <c r="D2172">
        <v>130.58383699999999</v>
      </c>
      <c r="E2172" s="22">
        <v>100.22969999999999</v>
      </c>
    </row>
    <row r="2173" spans="1:5" x14ac:dyDescent="0.4">
      <c r="A2173" s="27">
        <v>45127</v>
      </c>
      <c r="B2173" s="21">
        <v>297.94580000000002</v>
      </c>
      <c r="C2173">
        <v>226.51259999999999</v>
      </c>
      <c r="D2173">
        <v>130.59647699999999</v>
      </c>
      <c r="E2173" s="22">
        <v>100.239166</v>
      </c>
    </row>
    <row r="2174" spans="1:5" x14ac:dyDescent="0.4">
      <c r="A2174" s="27">
        <v>45128</v>
      </c>
      <c r="B2174" s="21">
        <v>298.95940000000002</v>
      </c>
      <c r="C2174">
        <v>226.9462</v>
      </c>
      <c r="D2174">
        <v>130.60913199999999</v>
      </c>
      <c r="E2174" s="22">
        <v>100.248642</v>
      </c>
    </row>
    <row r="2175" spans="1:5" x14ac:dyDescent="0.4">
      <c r="A2175" s="27">
        <v>45131</v>
      </c>
      <c r="B2175" s="21">
        <v>299.18689999999998</v>
      </c>
      <c r="C2175">
        <v>227.46039999999999</v>
      </c>
      <c r="D2175">
        <v>130.64709999999999</v>
      </c>
      <c r="E2175" s="22">
        <v>100.277079</v>
      </c>
    </row>
    <row r="2176" spans="1:5" x14ac:dyDescent="0.4">
      <c r="A2176" s="27">
        <v>45132</v>
      </c>
      <c r="B2176" s="21">
        <v>300.57139999999998</v>
      </c>
      <c r="C2176">
        <v>227.20400000000001</v>
      </c>
      <c r="D2176">
        <v>130.65976000000001</v>
      </c>
      <c r="E2176" s="22">
        <v>100.286563</v>
      </c>
    </row>
    <row r="2177" spans="1:5" x14ac:dyDescent="0.4">
      <c r="A2177" s="27">
        <v>45133</v>
      </c>
      <c r="B2177" s="21">
        <v>298.89659999999998</v>
      </c>
      <c r="C2177">
        <v>226.5934</v>
      </c>
      <c r="D2177">
        <v>130.67242100000001</v>
      </c>
      <c r="E2177" s="22">
        <v>100.296049</v>
      </c>
    </row>
    <row r="2178" spans="1:5" x14ac:dyDescent="0.4">
      <c r="A2178" s="27">
        <v>45134</v>
      </c>
      <c r="B2178" s="21">
        <v>302.98700000000002</v>
      </c>
      <c r="C2178">
        <v>226.76740000000001</v>
      </c>
      <c r="D2178">
        <v>130.68508299999999</v>
      </c>
      <c r="E2178" s="22">
        <v>100.305527</v>
      </c>
    </row>
    <row r="2179" spans="1:5" x14ac:dyDescent="0.4">
      <c r="A2179" s="27">
        <v>45135</v>
      </c>
      <c r="B2179" s="21">
        <v>302.40429999999998</v>
      </c>
      <c r="C2179">
        <v>226.7747</v>
      </c>
      <c r="D2179">
        <v>130.697746</v>
      </c>
      <c r="E2179" s="22">
        <v>100.31500800000001</v>
      </c>
    </row>
    <row r="2180" spans="1:5" x14ac:dyDescent="0.4">
      <c r="A2180" s="27">
        <v>45138</v>
      </c>
      <c r="B2180" s="21">
        <v>302.74250000000001</v>
      </c>
      <c r="C2180">
        <v>226.92789999999999</v>
      </c>
      <c r="D2180">
        <v>130.73573999999999</v>
      </c>
      <c r="E2180" s="22">
        <v>100.343464</v>
      </c>
    </row>
    <row r="2181" spans="1:5" x14ac:dyDescent="0.4">
      <c r="A2181" s="27">
        <v>45139</v>
      </c>
      <c r="B2181" s="21">
        <v>300.07119999999998</v>
      </c>
      <c r="C2181">
        <v>226.05160000000001</v>
      </c>
      <c r="D2181">
        <v>130.748369</v>
      </c>
      <c r="E2181" s="22">
        <v>100.352919</v>
      </c>
    </row>
    <row r="2182" spans="1:5" x14ac:dyDescent="0.4">
      <c r="A2182" s="27">
        <v>45140</v>
      </c>
      <c r="B2182" s="21">
        <v>296.07010000000002</v>
      </c>
      <c r="C2182">
        <v>226.2878</v>
      </c>
      <c r="D2182">
        <v>130.76103900000001</v>
      </c>
      <c r="E2182" s="22">
        <v>100.362408</v>
      </c>
    </row>
    <row r="2183" spans="1:5" x14ac:dyDescent="0.4">
      <c r="A2183" s="27">
        <v>45141</v>
      </c>
      <c r="B2183" s="21">
        <v>294.22460000000001</v>
      </c>
      <c r="C2183">
        <v>225.78469999999999</v>
      </c>
      <c r="D2183">
        <v>130.77462499999999</v>
      </c>
      <c r="E2183" s="22">
        <v>100.372597</v>
      </c>
    </row>
    <row r="2184" spans="1:5" x14ac:dyDescent="0.4">
      <c r="A2184" s="27">
        <v>45142</v>
      </c>
      <c r="B2184" s="21">
        <v>294.99279999999999</v>
      </c>
      <c r="C2184">
        <v>225.9674</v>
      </c>
      <c r="D2184">
        <v>130.78819899999999</v>
      </c>
      <c r="E2184" s="22">
        <v>100.38278200000001</v>
      </c>
    </row>
    <row r="2185" spans="1:5" x14ac:dyDescent="0.4">
      <c r="A2185" s="27">
        <v>45145</v>
      </c>
      <c r="B2185" s="21">
        <v>295.31200000000001</v>
      </c>
      <c r="C2185">
        <v>225.74420000000001</v>
      </c>
      <c r="D2185">
        <v>130.82893999999999</v>
      </c>
      <c r="E2185" s="22">
        <v>100.413341</v>
      </c>
    </row>
    <row r="2186" spans="1:5" x14ac:dyDescent="0.4">
      <c r="A2186" s="27">
        <v>45146</v>
      </c>
      <c r="B2186" s="21">
        <v>294.76600000000002</v>
      </c>
      <c r="C2186">
        <v>227.3186</v>
      </c>
      <c r="D2186">
        <v>130.84252000000001</v>
      </c>
      <c r="E2186" s="22">
        <v>100.42353</v>
      </c>
    </row>
    <row r="2187" spans="1:5" x14ac:dyDescent="0.4">
      <c r="A2187" s="27">
        <v>45147</v>
      </c>
      <c r="B2187" s="21">
        <v>296.05549999999999</v>
      </c>
      <c r="C2187">
        <v>226.97399999999999</v>
      </c>
      <c r="D2187">
        <v>130.856101</v>
      </c>
      <c r="E2187" s="22">
        <v>100.433717</v>
      </c>
    </row>
    <row r="2188" spans="1:5" x14ac:dyDescent="0.4">
      <c r="A2188" s="27">
        <v>45148</v>
      </c>
      <c r="B2188" s="21">
        <v>298.70609999999999</v>
      </c>
      <c r="C2188">
        <v>226.5446</v>
      </c>
      <c r="D2188">
        <v>130.86967100000001</v>
      </c>
      <c r="E2188" s="22">
        <v>100.44389700000001</v>
      </c>
    </row>
    <row r="2189" spans="1:5" x14ac:dyDescent="0.4">
      <c r="A2189" s="27">
        <v>45149</v>
      </c>
      <c r="B2189" s="21">
        <v>295.46080000000001</v>
      </c>
      <c r="C2189">
        <v>225.4691</v>
      </c>
      <c r="D2189">
        <v>130.88325499999999</v>
      </c>
      <c r="E2189" s="22">
        <v>100.454087</v>
      </c>
    </row>
    <row r="2190" spans="1:5" x14ac:dyDescent="0.4">
      <c r="A2190" s="27">
        <v>45152</v>
      </c>
      <c r="B2190" s="21">
        <v>295.90550000000002</v>
      </c>
      <c r="C2190">
        <v>225.2157</v>
      </c>
      <c r="D2190">
        <v>130.924025</v>
      </c>
      <c r="E2190" s="22">
        <v>100.484667</v>
      </c>
    </row>
    <row r="2191" spans="1:5" x14ac:dyDescent="0.4">
      <c r="A2191" s="27">
        <v>45153</v>
      </c>
      <c r="B2191" s="21">
        <v>293.08519999999999</v>
      </c>
      <c r="C2191">
        <v>224.61099999999999</v>
      </c>
      <c r="D2191">
        <v>130.93762799999999</v>
      </c>
      <c r="E2191" s="22">
        <v>100.494871</v>
      </c>
    </row>
    <row r="2192" spans="1:5" x14ac:dyDescent="0.4">
      <c r="A2192" s="27">
        <v>45154</v>
      </c>
      <c r="B2192" s="21">
        <v>292.95400000000001</v>
      </c>
      <c r="C2192">
        <v>224.9434</v>
      </c>
      <c r="D2192">
        <v>130.951233</v>
      </c>
      <c r="E2192" s="22">
        <v>100.50508000000001</v>
      </c>
    </row>
    <row r="2193" spans="1:5" x14ac:dyDescent="0.4">
      <c r="A2193" s="27">
        <v>45155</v>
      </c>
      <c r="B2193" s="21">
        <v>290.57089999999999</v>
      </c>
      <c r="C2193">
        <v>224.33969999999999</v>
      </c>
      <c r="D2193">
        <v>130.96483900000001</v>
      </c>
      <c r="E2193" s="22">
        <v>100.515281</v>
      </c>
    </row>
    <row r="2194" spans="1:5" x14ac:dyDescent="0.4">
      <c r="A2194" s="27">
        <v>45156</v>
      </c>
      <c r="B2194" s="21">
        <v>288.90719999999999</v>
      </c>
      <c r="C2194">
        <v>225.1233</v>
      </c>
      <c r="D2194">
        <v>130.97844599999999</v>
      </c>
      <c r="E2194" s="22">
        <v>100.52548400000001</v>
      </c>
    </row>
    <row r="2195" spans="1:5" x14ac:dyDescent="0.4">
      <c r="A2195" s="27">
        <v>45159</v>
      </c>
      <c r="B2195" s="21">
        <v>289.1431</v>
      </c>
      <c r="C2195">
        <v>224.13839999999999</v>
      </c>
      <c r="D2195">
        <v>131.019272</v>
      </c>
      <c r="E2195" s="22">
        <v>100.556102</v>
      </c>
    </row>
    <row r="2196" spans="1:5" x14ac:dyDescent="0.4">
      <c r="A2196" s="27">
        <v>45160</v>
      </c>
      <c r="B2196" s="21">
        <v>291.11349999999999</v>
      </c>
      <c r="C2196">
        <v>224.9365</v>
      </c>
      <c r="D2196">
        <v>131.03288499999999</v>
      </c>
      <c r="E2196" s="22">
        <v>100.56630800000001</v>
      </c>
    </row>
    <row r="2197" spans="1:5" x14ac:dyDescent="0.4">
      <c r="A2197" s="27">
        <v>45161</v>
      </c>
      <c r="B2197" s="21">
        <v>292.28320000000002</v>
      </c>
      <c r="C2197">
        <v>226.7278</v>
      </c>
      <c r="D2197">
        <v>131.04649900000001</v>
      </c>
      <c r="E2197" s="22">
        <v>100.576519</v>
      </c>
    </row>
    <row r="2198" spans="1:5" x14ac:dyDescent="0.4">
      <c r="A2198" s="27">
        <v>45162</v>
      </c>
      <c r="B2198" s="21">
        <v>291.1823</v>
      </c>
      <c r="C2198">
        <v>226.70140000000001</v>
      </c>
      <c r="D2198">
        <v>131.060102</v>
      </c>
      <c r="E2198" s="22">
        <v>100.58672199999999</v>
      </c>
    </row>
    <row r="2199" spans="1:5" x14ac:dyDescent="0.4">
      <c r="A2199" s="27">
        <v>45163</v>
      </c>
      <c r="B2199" s="21">
        <v>291.07380000000001</v>
      </c>
      <c r="C2199">
        <v>226.10149999999999</v>
      </c>
      <c r="D2199">
        <v>131.07369299999999</v>
      </c>
      <c r="E2199" s="22">
        <v>100.596917</v>
      </c>
    </row>
    <row r="2200" spans="1:5" x14ac:dyDescent="0.4">
      <c r="A2200" s="27">
        <v>45166</v>
      </c>
      <c r="B2200" s="21">
        <v>293.58769999999998</v>
      </c>
      <c r="C2200">
        <v>225.90860000000001</v>
      </c>
      <c r="D2200">
        <v>131.114509</v>
      </c>
      <c r="E2200" s="22">
        <v>100.627532</v>
      </c>
    </row>
    <row r="2201" spans="1:5" x14ac:dyDescent="0.4">
      <c r="A2201" s="27">
        <v>45167</v>
      </c>
      <c r="B2201" s="21">
        <v>296.459</v>
      </c>
      <c r="C2201">
        <v>226.70679999999999</v>
      </c>
      <c r="D2201">
        <v>131.128119</v>
      </c>
      <c r="E2201" s="22">
        <v>100.637738</v>
      </c>
    </row>
    <row r="2202" spans="1:5" x14ac:dyDescent="0.4">
      <c r="A2202" s="27">
        <v>45168</v>
      </c>
      <c r="B2202" s="21">
        <v>295.93130000000002</v>
      </c>
      <c r="C2202">
        <v>226.54769999999999</v>
      </c>
      <c r="D2202">
        <v>131.14173</v>
      </c>
      <c r="E2202" s="22">
        <v>100.647947</v>
      </c>
    </row>
    <row r="2203" spans="1:5" x14ac:dyDescent="0.4">
      <c r="A2203" s="27">
        <v>45169</v>
      </c>
      <c r="B2203" s="21">
        <v>295.33999999999997</v>
      </c>
      <c r="C2203">
        <v>227.6011</v>
      </c>
      <c r="D2203">
        <v>131.15534199999999</v>
      </c>
      <c r="E2203" s="22">
        <v>100.658157</v>
      </c>
    </row>
    <row r="2204" spans="1:5" x14ac:dyDescent="0.4">
      <c r="A2204" s="27">
        <v>45170</v>
      </c>
      <c r="B2204" s="21">
        <v>295.3211</v>
      </c>
      <c r="C2204">
        <v>226.70400000000001</v>
      </c>
      <c r="D2204">
        <v>131.16892999999999</v>
      </c>
      <c r="E2204" s="22">
        <v>100.668351</v>
      </c>
    </row>
    <row r="2205" spans="1:5" x14ac:dyDescent="0.4">
      <c r="A2205" s="27">
        <v>45173</v>
      </c>
      <c r="B2205" s="21">
        <v>295.26650000000001</v>
      </c>
      <c r="C2205">
        <v>226.1165</v>
      </c>
      <c r="D2205">
        <v>131.20977600000001</v>
      </c>
      <c r="E2205" s="22">
        <v>100.698988</v>
      </c>
    </row>
    <row r="2206" spans="1:5" x14ac:dyDescent="0.4">
      <c r="A2206" s="27">
        <v>45174</v>
      </c>
      <c r="B2206" s="21">
        <v>294.6001</v>
      </c>
      <c r="C2206">
        <v>225.72450000000001</v>
      </c>
      <c r="D2206">
        <v>131.22339600000001</v>
      </c>
      <c r="E2206" s="22">
        <v>100.709203</v>
      </c>
    </row>
    <row r="2207" spans="1:5" x14ac:dyDescent="0.4">
      <c r="A2207" s="27">
        <v>45175</v>
      </c>
      <c r="B2207" s="21">
        <v>292.97989999999999</v>
      </c>
      <c r="C2207">
        <v>225.078</v>
      </c>
      <c r="D2207">
        <v>131.23701600000001</v>
      </c>
      <c r="E2207" s="22">
        <v>100.71941700000001</v>
      </c>
    </row>
    <row r="2208" spans="1:5" x14ac:dyDescent="0.4">
      <c r="A2208" s="27">
        <v>45176</v>
      </c>
      <c r="B2208" s="21">
        <v>292.74040000000002</v>
      </c>
      <c r="C2208">
        <v>225.5369</v>
      </c>
      <c r="D2208">
        <v>131.25063900000001</v>
      </c>
      <c r="E2208" s="22">
        <v>100.729634</v>
      </c>
    </row>
    <row r="2209" spans="1:5" x14ac:dyDescent="0.4">
      <c r="A2209" s="27">
        <v>45177</v>
      </c>
      <c r="B2209" s="21">
        <v>293.34039999999999</v>
      </c>
      <c r="C2209">
        <v>225.87100000000001</v>
      </c>
      <c r="D2209">
        <v>131.264263</v>
      </c>
      <c r="E2209" s="22">
        <v>100.739853</v>
      </c>
    </row>
    <row r="2210" spans="1:5" x14ac:dyDescent="0.4">
      <c r="A2210" s="27">
        <v>45180</v>
      </c>
      <c r="B2210" s="21">
        <v>294.33109999999999</v>
      </c>
      <c r="C2210">
        <v>225.3142</v>
      </c>
      <c r="D2210">
        <v>131.30515199999999</v>
      </c>
      <c r="E2210" s="22">
        <v>100.77052</v>
      </c>
    </row>
    <row r="2211" spans="1:5" x14ac:dyDescent="0.4">
      <c r="A2211" s="27">
        <v>45181</v>
      </c>
      <c r="B2211" s="21">
        <v>293.82760000000002</v>
      </c>
      <c r="C2211">
        <v>225.27799999999999</v>
      </c>
      <c r="D2211">
        <v>131.318781</v>
      </c>
      <c r="E2211" s="22">
        <v>100.780742</v>
      </c>
    </row>
    <row r="2212" spans="1:5" x14ac:dyDescent="0.4">
      <c r="A2212" s="27">
        <v>45182</v>
      </c>
      <c r="B2212" s="21">
        <v>292.8467</v>
      </c>
      <c r="C2212">
        <v>224.9402</v>
      </c>
      <c r="D2212">
        <v>131.332425</v>
      </c>
      <c r="E2212" s="22">
        <v>100.790972</v>
      </c>
    </row>
    <row r="2213" spans="1:5" x14ac:dyDescent="0.4">
      <c r="A2213" s="27">
        <v>45183</v>
      </c>
      <c r="B2213" s="21">
        <v>297.34719999999999</v>
      </c>
      <c r="C2213">
        <v>226.00729999999999</v>
      </c>
      <c r="D2213">
        <v>131.346057</v>
      </c>
      <c r="E2213" s="22">
        <v>100.801196</v>
      </c>
    </row>
    <row r="2214" spans="1:5" x14ac:dyDescent="0.4">
      <c r="A2214" s="27">
        <v>45184</v>
      </c>
      <c r="B2214" s="21">
        <v>298.065</v>
      </c>
      <c r="C2214">
        <v>224.87690000000001</v>
      </c>
      <c r="D2214">
        <v>131.359691</v>
      </c>
      <c r="E2214" s="22">
        <v>100.811425</v>
      </c>
    </row>
    <row r="2215" spans="1:5" x14ac:dyDescent="0.4">
      <c r="A2215" s="27">
        <v>45187</v>
      </c>
      <c r="B2215" s="21">
        <v>294.90789999999998</v>
      </c>
      <c r="C2215">
        <v>224.2242</v>
      </c>
      <c r="D2215">
        <v>131.40056999999999</v>
      </c>
      <c r="E2215" s="22">
        <v>100.842088</v>
      </c>
    </row>
    <row r="2216" spans="1:5" x14ac:dyDescent="0.4">
      <c r="A2216" s="27">
        <v>45188</v>
      </c>
      <c r="B2216" s="21">
        <v>294.75779999999997</v>
      </c>
      <c r="C2216">
        <v>224.11060000000001</v>
      </c>
      <c r="D2216">
        <v>131.414196</v>
      </c>
      <c r="E2216" s="22">
        <v>100.852307</v>
      </c>
    </row>
    <row r="2217" spans="1:5" x14ac:dyDescent="0.4">
      <c r="A2217" s="27">
        <v>45189</v>
      </c>
      <c r="B2217" s="21">
        <v>297.39710000000002</v>
      </c>
      <c r="C2217">
        <v>224.56630000000001</v>
      </c>
      <c r="D2217">
        <v>131.42783700000001</v>
      </c>
      <c r="E2217" s="22">
        <v>100.86253499999999</v>
      </c>
    </row>
    <row r="2218" spans="1:5" x14ac:dyDescent="0.4">
      <c r="A2218" s="27">
        <v>45190</v>
      </c>
      <c r="B2218" s="21">
        <v>293.5478</v>
      </c>
      <c r="C2218">
        <v>224.20590000000001</v>
      </c>
      <c r="D2218">
        <v>131.442386</v>
      </c>
      <c r="E2218" s="22">
        <v>100.873465</v>
      </c>
    </row>
    <row r="2219" spans="1:5" x14ac:dyDescent="0.4">
      <c r="A2219" s="27">
        <v>45191</v>
      </c>
      <c r="B2219" s="21">
        <v>292.64830000000001</v>
      </c>
      <c r="C2219">
        <v>224.01849999999999</v>
      </c>
      <c r="D2219">
        <v>131.45695000000001</v>
      </c>
      <c r="E2219" s="22">
        <v>100.884398</v>
      </c>
    </row>
    <row r="2220" spans="1:5" x14ac:dyDescent="0.4">
      <c r="A2220" s="27">
        <v>45194</v>
      </c>
      <c r="B2220" s="21">
        <v>290.8503</v>
      </c>
      <c r="C2220">
        <v>223.38419999999999</v>
      </c>
      <c r="D2220">
        <v>131.50066000000001</v>
      </c>
      <c r="E2220" s="22">
        <v>100.91722799999999</v>
      </c>
    </row>
    <row r="2221" spans="1:5" x14ac:dyDescent="0.4">
      <c r="A2221" s="27">
        <v>45195</v>
      </c>
      <c r="B2221" s="21">
        <v>289.09559999999999</v>
      </c>
      <c r="C2221">
        <v>223.13050000000001</v>
      </c>
      <c r="D2221">
        <v>131.51523</v>
      </c>
      <c r="E2221" s="22">
        <v>100.928172</v>
      </c>
    </row>
    <row r="2222" spans="1:5" x14ac:dyDescent="0.4">
      <c r="A2222" s="27">
        <v>45196</v>
      </c>
      <c r="B2222" s="21">
        <v>288.58150000000001</v>
      </c>
      <c r="C2222">
        <v>222.7012</v>
      </c>
      <c r="D2222">
        <v>131.52980199999999</v>
      </c>
      <c r="E2222" s="22">
        <v>100.939117</v>
      </c>
    </row>
    <row r="2223" spans="1:5" x14ac:dyDescent="0.4">
      <c r="A2223" s="27">
        <v>45197</v>
      </c>
      <c r="B2223" s="21">
        <v>289.72489999999999</v>
      </c>
      <c r="C2223">
        <v>220.96340000000001</v>
      </c>
      <c r="D2223">
        <v>131.544375</v>
      </c>
      <c r="E2223" s="22">
        <v>100.95006600000001</v>
      </c>
    </row>
    <row r="2224" spans="1:5" x14ac:dyDescent="0.4">
      <c r="A2224" s="27">
        <v>45198</v>
      </c>
      <c r="B2224" s="21">
        <v>290.7296</v>
      </c>
      <c r="C2224">
        <v>222.86519999999999</v>
      </c>
      <c r="D2224">
        <v>131.55896300000001</v>
      </c>
      <c r="E2224" s="22">
        <v>100.96101899999999</v>
      </c>
    </row>
    <row r="2225" spans="1:5" x14ac:dyDescent="0.4">
      <c r="A2225" s="27">
        <v>45201</v>
      </c>
      <c r="B2225" s="21">
        <v>287.8193</v>
      </c>
      <c r="C2225">
        <v>221.94909999999999</v>
      </c>
      <c r="D2225">
        <v>131.602431</v>
      </c>
      <c r="E2225" s="22">
        <v>100.993663</v>
      </c>
    </row>
    <row r="2226" spans="1:5" x14ac:dyDescent="0.4">
      <c r="A2226" s="27">
        <v>45202</v>
      </c>
      <c r="B2226" s="21">
        <v>284.78440000000001</v>
      </c>
      <c r="C2226">
        <v>221.2302</v>
      </c>
      <c r="D2226">
        <v>131.61699899999999</v>
      </c>
      <c r="E2226" s="22">
        <v>101.00460099999999</v>
      </c>
    </row>
    <row r="2227" spans="1:5" x14ac:dyDescent="0.4">
      <c r="A2227" s="27">
        <v>45203</v>
      </c>
      <c r="B2227" s="21">
        <v>284.40159999999997</v>
      </c>
      <c r="C2227">
        <v>221.25620000000001</v>
      </c>
      <c r="D2227">
        <v>131.63156900000001</v>
      </c>
      <c r="E2227" s="22">
        <v>101.01554299999999</v>
      </c>
    </row>
    <row r="2228" spans="1:5" x14ac:dyDescent="0.4">
      <c r="A2228" s="27">
        <v>45204</v>
      </c>
      <c r="B2228" s="21">
        <v>285.16469999999998</v>
      </c>
      <c r="C2228">
        <v>221.9358</v>
      </c>
      <c r="D2228">
        <v>131.646141</v>
      </c>
      <c r="E2228" s="22">
        <v>101.026489</v>
      </c>
    </row>
    <row r="2229" spans="1:5" x14ac:dyDescent="0.4">
      <c r="A2229" s="27">
        <v>45205</v>
      </c>
      <c r="B2229" s="21">
        <v>287.45819999999998</v>
      </c>
      <c r="C2229">
        <v>221.70820000000001</v>
      </c>
      <c r="D2229">
        <v>131.66071400000001</v>
      </c>
      <c r="E2229" s="22">
        <v>101.037434</v>
      </c>
    </row>
    <row r="2230" spans="1:5" x14ac:dyDescent="0.4">
      <c r="A2230" s="27">
        <v>45208</v>
      </c>
      <c r="B2230" s="21">
        <v>286.81509999999997</v>
      </c>
      <c r="C2230">
        <v>223.05160000000001</v>
      </c>
      <c r="D2230">
        <v>131.70442499999999</v>
      </c>
      <c r="E2230" s="22">
        <v>101.070263</v>
      </c>
    </row>
    <row r="2231" spans="1:5" x14ac:dyDescent="0.4">
      <c r="A2231" s="27">
        <v>45209</v>
      </c>
      <c r="B2231" s="21">
        <v>292.36610000000002</v>
      </c>
      <c r="C2231">
        <v>223.2775</v>
      </c>
      <c r="D2231">
        <v>131.71900500000001</v>
      </c>
      <c r="E2231" s="22">
        <v>101.08121199999999</v>
      </c>
    </row>
    <row r="2232" spans="1:5" x14ac:dyDescent="0.4">
      <c r="A2232" s="27">
        <v>45210</v>
      </c>
      <c r="B2232" s="21">
        <v>292.85129999999998</v>
      </c>
      <c r="C2232">
        <v>224.11539999999999</v>
      </c>
      <c r="D2232">
        <v>131.733586</v>
      </c>
      <c r="E2232" s="22">
        <v>101.09216000000001</v>
      </c>
    </row>
    <row r="2233" spans="1:5" x14ac:dyDescent="0.4">
      <c r="A2233" s="27">
        <v>45211</v>
      </c>
      <c r="B2233" s="21">
        <v>293.24</v>
      </c>
      <c r="C2233">
        <v>223.3569</v>
      </c>
      <c r="D2233">
        <v>131.74816899999999</v>
      </c>
      <c r="E2233" s="22">
        <v>101.10311400000001</v>
      </c>
    </row>
    <row r="2234" spans="1:5" x14ac:dyDescent="0.4">
      <c r="A2234" s="27">
        <v>45212</v>
      </c>
      <c r="B2234" s="21">
        <v>290.52499999999998</v>
      </c>
      <c r="C2234">
        <v>223.6224</v>
      </c>
      <c r="D2234">
        <v>131.762754</v>
      </c>
      <c r="E2234" s="22">
        <v>101.11407</v>
      </c>
    </row>
    <row r="2235" spans="1:5" x14ac:dyDescent="0.4">
      <c r="A2235" s="27">
        <v>45215</v>
      </c>
      <c r="B2235" s="21">
        <v>291.0453</v>
      </c>
      <c r="C2235">
        <v>223.2302</v>
      </c>
      <c r="D2235">
        <v>131.80653799999999</v>
      </c>
      <c r="E2235" s="22">
        <v>101.146957</v>
      </c>
    </row>
    <row r="2236" spans="1:5" x14ac:dyDescent="0.4">
      <c r="A2236" s="27">
        <v>45216</v>
      </c>
      <c r="B2236" s="21">
        <v>290.75909999999999</v>
      </c>
      <c r="C2236">
        <v>222.08240000000001</v>
      </c>
      <c r="D2236">
        <v>131.82114200000001</v>
      </c>
      <c r="E2236" s="22">
        <v>101.15792</v>
      </c>
    </row>
    <row r="2237" spans="1:5" x14ac:dyDescent="0.4">
      <c r="A2237" s="27">
        <v>45217</v>
      </c>
      <c r="B2237" s="21">
        <v>287.7484</v>
      </c>
      <c r="C2237">
        <v>221.44479999999999</v>
      </c>
      <c r="D2237">
        <v>131.835748</v>
      </c>
      <c r="E2237" s="22">
        <v>101.16889</v>
      </c>
    </row>
    <row r="2238" spans="1:5" x14ac:dyDescent="0.4">
      <c r="A2238" s="27">
        <v>45218</v>
      </c>
      <c r="B2238" s="21">
        <v>284.37819999999999</v>
      </c>
      <c r="C2238">
        <v>221.4948</v>
      </c>
      <c r="D2238">
        <v>131.850356</v>
      </c>
      <c r="E2238" s="22">
        <v>101.17985899999999</v>
      </c>
    </row>
    <row r="2239" spans="1:5" x14ac:dyDescent="0.4">
      <c r="A2239" s="27">
        <v>45219</v>
      </c>
      <c r="B2239" s="21">
        <v>280.52760000000001</v>
      </c>
      <c r="C2239">
        <v>222.08940000000001</v>
      </c>
      <c r="D2239">
        <v>131.86496500000001</v>
      </c>
      <c r="E2239" s="22">
        <v>101.190834</v>
      </c>
    </row>
    <row r="2240" spans="1:5" x14ac:dyDescent="0.4">
      <c r="A2240" s="27">
        <v>45222</v>
      </c>
      <c r="B2240" s="21">
        <v>280.17559999999997</v>
      </c>
      <c r="C2240">
        <v>222.34450000000001</v>
      </c>
      <c r="D2240">
        <v>131.90880999999999</v>
      </c>
      <c r="E2240" s="22">
        <v>101.22376300000001</v>
      </c>
    </row>
    <row r="2241" spans="1:5" x14ac:dyDescent="0.4">
      <c r="A2241" s="27">
        <v>45223</v>
      </c>
      <c r="B2241" s="21">
        <v>281.4495</v>
      </c>
      <c r="C2241">
        <v>222.81620000000001</v>
      </c>
      <c r="D2241">
        <v>131.92342500000001</v>
      </c>
      <c r="E2241" s="22">
        <v>101.23474299999999</v>
      </c>
    </row>
    <row r="2242" spans="1:5" x14ac:dyDescent="0.4">
      <c r="A2242" s="27">
        <v>45224</v>
      </c>
      <c r="B2242" s="21">
        <v>281.73489999999998</v>
      </c>
      <c r="C2242">
        <v>222.25909999999999</v>
      </c>
      <c r="D2242">
        <v>131.938042</v>
      </c>
      <c r="E2242" s="22">
        <v>101.245721</v>
      </c>
    </row>
    <row r="2243" spans="1:5" x14ac:dyDescent="0.4">
      <c r="A2243" s="27">
        <v>45225</v>
      </c>
      <c r="B2243" s="21">
        <v>280.29700000000003</v>
      </c>
      <c r="C2243">
        <v>222.78319999999999</v>
      </c>
      <c r="D2243">
        <v>131.95264800000001</v>
      </c>
      <c r="E2243" s="22">
        <v>101.25669000000001</v>
      </c>
    </row>
    <row r="2244" spans="1:5" x14ac:dyDescent="0.4">
      <c r="A2244" s="27">
        <v>45226</v>
      </c>
      <c r="B2244" s="21">
        <v>277.81779999999998</v>
      </c>
      <c r="C2244">
        <v>223.0865</v>
      </c>
      <c r="D2244">
        <v>131.96725499999999</v>
      </c>
      <c r="E2244" s="22">
        <v>101.267662</v>
      </c>
    </row>
    <row r="2245" spans="1:5" x14ac:dyDescent="0.4">
      <c r="A2245" s="27">
        <v>45229</v>
      </c>
      <c r="B2245" s="21">
        <v>278.76799999999997</v>
      </c>
      <c r="C2245">
        <v>223.49860000000001</v>
      </c>
      <c r="D2245">
        <v>132.01110800000001</v>
      </c>
      <c r="E2245" s="22">
        <v>101.30059900000001</v>
      </c>
    </row>
    <row r="2246" spans="1:5" x14ac:dyDescent="0.4">
      <c r="A2246" s="27">
        <v>45230</v>
      </c>
      <c r="B2246" s="21">
        <v>280.3365</v>
      </c>
      <c r="C2246">
        <v>223.7628</v>
      </c>
      <c r="D2246">
        <v>132.025721</v>
      </c>
      <c r="E2246" s="22">
        <v>101.311571</v>
      </c>
    </row>
    <row r="2247" spans="1:5" x14ac:dyDescent="0.4">
      <c r="A2247" s="27">
        <v>45231</v>
      </c>
      <c r="B2247" s="21">
        <v>282.28530000000001</v>
      </c>
      <c r="C2247">
        <v>224.39670000000001</v>
      </c>
      <c r="D2247">
        <v>132.04027099999999</v>
      </c>
      <c r="E2247" s="22">
        <v>101.322495</v>
      </c>
    </row>
    <row r="2248" spans="1:5" x14ac:dyDescent="0.4">
      <c r="A2248" s="27">
        <v>45232</v>
      </c>
      <c r="B2248" s="21">
        <v>286.62939999999998</v>
      </c>
      <c r="C2248">
        <v>225.2056</v>
      </c>
      <c r="D2248">
        <v>132.05488800000001</v>
      </c>
      <c r="E2248" s="22">
        <v>101.333472</v>
      </c>
    </row>
    <row r="2249" spans="1:5" x14ac:dyDescent="0.4">
      <c r="A2249" s="27">
        <v>45233</v>
      </c>
      <c r="B2249" s="21">
        <v>286.928</v>
      </c>
      <c r="C2249">
        <v>226.16380000000001</v>
      </c>
      <c r="D2249">
        <v>132.06951900000001</v>
      </c>
      <c r="E2249" s="22">
        <v>101.344458</v>
      </c>
    </row>
    <row r="2250" spans="1:5" x14ac:dyDescent="0.4">
      <c r="A2250" s="27">
        <v>45236</v>
      </c>
      <c r="B2250" s="21">
        <v>286.56299999999999</v>
      </c>
      <c r="C2250">
        <v>225.16550000000001</v>
      </c>
      <c r="D2250">
        <v>132.113406</v>
      </c>
      <c r="E2250" s="22">
        <v>101.37741200000001</v>
      </c>
    </row>
    <row r="2251" spans="1:5" x14ac:dyDescent="0.4">
      <c r="A2251" s="27">
        <v>45237</v>
      </c>
      <c r="B2251" s="21">
        <v>286.13499999999999</v>
      </c>
      <c r="C2251">
        <v>226.0214</v>
      </c>
      <c r="D2251">
        <v>132.12803099999999</v>
      </c>
      <c r="E2251" s="22">
        <v>101.388395</v>
      </c>
    </row>
    <row r="2252" spans="1:5" x14ac:dyDescent="0.4">
      <c r="A2252" s="27">
        <v>45238</v>
      </c>
      <c r="B2252" s="21">
        <v>286.88959999999997</v>
      </c>
      <c r="C2252">
        <v>226.6028</v>
      </c>
      <c r="D2252">
        <v>132.14267100000001</v>
      </c>
      <c r="E2252" s="22">
        <v>101.399384</v>
      </c>
    </row>
    <row r="2253" spans="1:5" x14ac:dyDescent="0.4">
      <c r="A2253" s="27">
        <v>45239</v>
      </c>
      <c r="B2253" s="21">
        <v>289.23910000000001</v>
      </c>
      <c r="C2253">
        <v>226.3509</v>
      </c>
      <c r="D2253">
        <v>132.15731199999999</v>
      </c>
      <c r="E2253" s="22">
        <v>101.410375</v>
      </c>
    </row>
    <row r="2254" spans="1:5" x14ac:dyDescent="0.4">
      <c r="A2254" s="27">
        <v>45240</v>
      </c>
      <c r="B2254" s="21">
        <v>286.37689999999998</v>
      </c>
      <c r="C2254">
        <v>225.6917</v>
      </c>
      <c r="D2254">
        <v>132.171955</v>
      </c>
      <c r="E2254" s="22">
        <v>101.42136600000001</v>
      </c>
    </row>
    <row r="2255" spans="1:5" x14ac:dyDescent="0.4">
      <c r="A2255" s="27">
        <v>45243</v>
      </c>
      <c r="B2255" s="21">
        <v>288.52550000000002</v>
      </c>
      <c r="C2255">
        <v>225.6088</v>
      </c>
      <c r="D2255">
        <v>132.215889</v>
      </c>
      <c r="E2255" s="22">
        <v>101.454362</v>
      </c>
    </row>
    <row r="2256" spans="1:5" x14ac:dyDescent="0.4">
      <c r="A2256" s="27">
        <v>45244</v>
      </c>
      <c r="B2256" s="21">
        <v>292.0213</v>
      </c>
      <c r="C2256">
        <v>227.33959999999999</v>
      </c>
      <c r="D2256">
        <v>132.23053899999999</v>
      </c>
      <c r="E2256" s="22">
        <v>101.465361</v>
      </c>
    </row>
    <row r="2257" spans="1:5" x14ac:dyDescent="0.4">
      <c r="A2257" s="27">
        <v>45245</v>
      </c>
      <c r="B2257" s="21">
        <v>293.27109999999999</v>
      </c>
      <c r="C2257">
        <v>227.1232</v>
      </c>
      <c r="D2257">
        <v>132.24519000000001</v>
      </c>
      <c r="E2257" s="22">
        <v>101.476359</v>
      </c>
    </row>
    <row r="2258" spans="1:5" x14ac:dyDescent="0.4">
      <c r="A2258" s="27">
        <v>45246</v>
      </c>
      <c r="B2258" s="21">
        <v>291.45249999999999</v>
      </c>
      <c r="C2258">
        <v>227.99270000000001</v>
      </c>
      <c r="D2258">
        <v>132.259829</v>
      </c>
      <c r="E2258" s="22">
        <v>101.48735000000001</v>
      </c>
    </row>
    <row r="2259" spans="1:5" x14ac:dyDescent="0.4">
      <c r="A2259" s="27">
        <v>45247</v>
      </c>
      <c r="B2259" s="21">
        <v>294.33260000000001</v>
      </c>
      <c r="C2259">
        <v>227.774</v>
      </c>
      <c r="D2259">
        <v>132.274497</v>
      </c>
      <c r="E2259" s="22">
        <v>101.498361</v>
      </c>
    </row>
    <row r="2260" spans="1:5" x14ac:dyDescent="0.4">
      <c r="A2260" s="27">
        <v>45250</v>
      </c>
      <c r="B2260" s="21">
        <v>294.6431</v>
      </c>
      <c r="C2260">
        <v>227.56450000000001</v>
      </c>
      <c r="D2260">
        <v>132.31845200000001</v>
      </c>
      <c r="E2260" s="22">
        <v>101.53136499999999</v>
      </c>
    </row>
    <row r="2261" spans="1:5" x14ac:dyDescent="0.4">
      <c r="A2261" s="27">
        <v>45251</v>
      </c>
      <c r="B2261" s="21">
        <v>294.49149999999997</v>
      </c>
      <c r="C2261">
        <v>228.22829999999999</v>
      </c>
      <c r="D2261">
        <v>132.333113</v>
      </c>
      <c r="E2261" s="22">
        <v>101.542373</v>
      </c>
    </row>
    <row r="2262" spans="1:5" x14ac:dyDescent="0.4">
      <c r="A2262" s="27">
        <v>45252</v>
      </c>
      <c r="B2262" s="21">
        <v>295.38659999999999</v>
      </c>
      <c r="C2262">
        <v>228.20509999999999</v>
      </c>
      <c r="D2262">
        <v>132.34776199999999</v>
      </c>
      <c r="E2262" s="22">
        <v>101.553376</v>
      </c>
    </row>
    <row r="2263" spans="1:5" x14ac:dyDescent="0.4">
      <c r="A2263" s="27">
        <v>45253</v>
      </c>
      <c r="B2263" s="21">
        <v>296.28980000000001</v>
      </c>
      <c r="C2263">
        <v>227.50389999999999</v>
      </c>
      <c r="D2263">
        <v>132.362426</v>
      </c>
      <c r="E2263" s="22">
        <v>101.56438300000001</v>
      </c>
    </row>
    <row r="2264" spans="1:5" x14ac:dyDescent="0.4">
      <c r="A2264" s="27">
        <v>45254</v>
      </c>
      <c r="B2264" s="21">
        <v>297.24759999999998</v>
      </c>
      <c r="C2264">
        <v>227.2894</v>
      </c>
      <c r="D2264">
        <v>132.377092</v>
      </c>
      <c r="E2264" s="22">
        <v>101.57539199999999</v>
      </c>
    </row>
    <row r="2265" spans="1:5" x14ac:dyDescent="0.4">
      <c r="A2265" s="27">
        <v>45257</v>
      </c>
      <c r="B2265" s="21">
        <v>296.1918</v>
      </c>
      <c r="C2265">
        <v>228.51849999999999</v>
      </c>
      <c r="D2265">
        <v>132.42109400000001</v>
      </c>
      <c r="E2265" s="22">
        <v>101.608437</v>
      </c>
    </row>
    <row r="2266" spans="1:5" x14ac:dyDescent="0.4">
      <c r="A2266" s="27">
        <v>45258</v>
      </c>
      <c r="B2266" s="21">
        <v>295.25060000000002</v>
      </c>
      <c r="C2266">
        <v>229.17850000000001</v>
      </c>
      <c r="D2266">
        <v>132.435766</v>
      </c>
      <c r="E2266" s="22">
        <v>101.61945299999999</v>
      </c>
    </row>
    <row r="2267" spans="1:5" x14ac:dyDescent="0.4">
      <c r="A2267" s="27">
        <v>45259</v>
      </c>
      <c r="B2267" s="21">
        <v>296.55860000000001</v>
      </c>
      <c r="C2267">
        <v>230.29089999999999</v>
      </c>
      <c r="D2267">
        <v>132.45043999999999</v>
      </c>
      <c r="E2267" s="22">
        <v>101.630471</v>
      </c>
    </row>
    <row r="2268" spans="1:5" x14ac:dyDescent="0.4">
      <c r="A2268" s="27">
        <v>45260</v>
      </c>
      <c r="B2268" s="21">
        <v>298.37790000000001</v>
      </c>
      <c r="C2268">
        <v>229.8407</v>
      </c>
      <c r="D2268">
        <v>132.46511599999999</v>
      </c>
      <c r="E2268" s="22">
        <v>101.641486</v>
      </c>
    </row>
    <row r="2269" spans="1:5" x14ac:dyDescent="0.4">
      <c r="A2269" s="27">
        <v>45261</v>
      </c>
      <c r="B2269" s="21">
        <v>301.23500000000001</v>
      </c>
      <c r="C2269">
        <v>231.3323</v>
      </c>
      <c r="D2269">
        <v>132.47973999999999</v>
      </c>
      <c r="E2269" s="22">
        <v>101.652472</v>
      </c>
    </row>
    <row r="2270" spans="1:5" x14ac:dyDescent="0.4">
      <c r="A2270" s="27">
        <v>45264</v>
      </c>
      <c r="B2270" s="21">
        <v>301.11599999999999</v>
      </c>
      <c r="C2270">
        <v>231.76259999999999</v>
      </c>
      <c r="D2270">
        <v>132.523776</v>
      </c>
      <c r="E2270" s="22">
        <v>101.685543</v>
      </c>
    </row>
    <row r="2271" spans="1:5" x14ac:dyDescent="0.4">
      <c r="A2271" s="27">
        <v>45265</v>
      </c>
      <c r="B2271" s="21">
        <v>302.2047</v>
      </c>
      <c r="C2271">
        <v>233.33529999999999</v>
      </c>
      <c r="D2271">
        <v>132.53845999999999</v>
      </c>
      <c r="E2271" s="22">
        <v>101.69656999999999</v>
      </c>
    </row>
    <row r="2272" spans="1:5" x14ac:dyDescent="0.4">
      <c r="A2272" s="27">
        <v>45266</v>
      </c>
      <c r="B2272" s="21">
        <v>303.70580000000001</v>
      </c>
      <c r="C2272">
        <v>233.89519999999999</v>
      </c>
      <c r="D2272">
        <v>132.553145</v>
      </c>
      <c r="E2272" s="22">
        <v>101.707601</v>
      </c>
    </row>
    <row r="2273" spans="1:5" x14ac:dyDescent="0.4">
      <c r="A2273" s="27">
        <v>45267</v>
      </c>
      <c r="B2273" s="21">
        <v>302.91129999999998</v>
      </c>
      <c r="C2273">
        <v>234.0659</v>
      </c>
      <c r="D2273">
        <v>132.56783200000001</v>
      </c>
      <c r="E2273" s="22">
        <v>101.718631</v>
      </c>
    </row>
    <row r="2274" spans="1:5" x14ac:dyDescent="0.4">
      <c r="A2274" s="27">
        <v>45268</v>
      </c>
      <c r="B2274" s="21">
        <v>305.18869999999998</v>
      </c>
      <c r="C2274">
        <v>232.9802</v>
      </c>
      <c r="D2274">
        <v>132.58251999999999</v>
      </c>
      <c r="E2274" s="22">
        <v>101.729659</v>
      </c>
    </row>
    <row r="2275" spans="1:5" x14ac:dyDescent="0.4">
      <c r="A2275" s="27">
        <v>45271</v>
      </c>
      <c r="B2275" s="21">
        <v>306.0899</v>
      </c>
      <c r="C2275">
        <v>232.92349999999999</v>
      </c>
      <c r="D2275">
        <v>132.626577</v>
      </c>
      <c r="E2275" s="22">
        <v>101.762747</v>
      </c>
    </row>
    <row r="2276" spans="1:5" x14ac:dyDescent="0.4">
      <c r="A2276" s="27">
        <v>45272</v>
      </c>
      <c r="B2276" s="21">
        <v>305.5324</v>
      </c>
      <c r="C2276">
        <v>233.47219999999999</v>
      </c>
      <c r="D2276">
        <v>132.64127199999999</v>
      </c>
      <c r="E2276" s="22">
        <v>101.773777</v>
      </c>
    </row>
    <row r="2277" spans="1:5" x14ac:dyDescent="0.4">
      <c r="A2277" s="27">
        <v>45273</v>
      </c>
      <c r="B2277" s="21">
        <v>305.42840000000001</v>
      </c>
      <c r="C2277">
        <v>234.37190000000001</v>
      </c>
      <c r="D2277">
        <v>132.655969</v>
      </c>
      <c r="E2277" s="22">
        <v>101.78481600000001</v>
      </c>
    </row>
    <row r="2278" spans="1:5" x14ac:dyDescent="0.4">
      <c r="A2278" s="27">
        <v>45274</v>
      </c>
      <c r="B2278" s="21">
        <v>307.71609999999998</v>
      </c>
      <c r="C2278">
        <v>235.62549999999999</v>
      </c>
      <c r="D2278">
        <v>132.67066700000001</v>
      </c>
      <c r="E2278" s="22">
        <v>101.795857</v>
      </c>
    </row>
    <row r="2279" spans="1:5" x14ac:dyDescent="0.4">
      <c r="A2279" s="27">
        <v>45275</v>
      </c>
      <c r="B2279" s="21">
        <v>307.79050000000001</v>
      </c>
      <c r="C2279">
        <v>236.98949999999999</v>
      </c>
      <c r="D2279">
        <v>132.68538100000001</v>
      </c>
      <c r="E2279" s="22">
        <v>101.806905</v>
      </c>
    </row>
    <row r="2280" spans="1:5" x14ac:dyDescent="0.4">
      <c r="A2280" s="27">
        <v>45278</v>
      </c>
      <c r="B2280" s="21">
        <v>306.96530000000001</v>
      </c>
      <c r="C2280">
        <v>236.33109999999999</v>
      </c>
      <c r="D2280">
        <v>132.72948500000001</v>
      </c>
      <c r="E2280" s="22">
        <v>101.84002599999999</v>
      </c>
    </row>
    <row r="2281" spans="1:5" x14ac:dyDescent="0.4">
      <c r="A2281" s="27">
        <v>45279</v>
      </c>
      <c r="B2281" s="21">
        <v>308.03190000000001</v>
      </c>
      <c r="C2281">
        <v>237.33860000000001</v>
      </c>
      <c r="D2281">
        <v>132.74417800000001</v>
      </c>
      <c r="E2281" s="22">
        <v>101.851061</v>
      </c>
    </row>
    <row r="2282" spans="1:5" x14ac:dyDescent="0.4">
      <c r="A2282" s="27">
        <v>45280</v>
      </c>
      <c r="B2282" s="21">
        <v>308.55540000000002</v>
      </c>
      <c r="C2282">
        <v>238.02090000000001</v>
      </c>
      <c r="D2282">
        <v>132.75887299999999</v>
      </c>
      <c r="E2282" s="22">
        <v>101.862098</v>
      </c>
    </row>
    <row r="2283" spans="1:5" x14ac:dyDescent="0.4">
      <c r="A2283" s="27">
        <v>45281</v>
      </c>
      <c r="B2283" s="21">
        <v>307.96409999999997</v>
      </c>
      <c r="C2283">
        <v>238.2903</v>
      </c>
      <c r="D2283">
        <v>132.77357000000001</v>
      </c>
      <c r="E2283" s="22">
        <v>101.873136</v>
      </c>
    </row>
    <row r="2284" spans="1:5" x14ac:dyDescent="0.4">
      <c r="A2284" s="27">
        <v>45282</v>
      </c>
      <c r="B2284" s="21">
        <v>308.4144</v>
      </c>
      <c r="C2284">
        <v>238.3613</v>
      </c>
      <c r="D2284">
        <v>132.78826799999999</v>
      </c>
      <c r="E2284" s="22">
        <v>101.884169</v>
      </c>
    </row>
    <row r="2285" spans="1:5" x14ac:dyDescent="0.4">
      <c r="A2285" s="27">
        <v>45287</v>
      </c>
      <c r="B2285" s="21">
        <v>309.00009999999997</v>
      </c>
      <c r="C2285">
        <v>239.23679999999999</v>
      </c>
      <c r="D2285">
        <v>132.861739</v>
      </c>
      <c r="E2285" s="22">
        <v>101.93934299999999</v>
      </c>
    </row>
    <row r="2286" spans="1:5" x14ac:dyDescent="0.4">
      <c r="A2286" s="27">
        <v>45288</v>
      </c>
      <c r="B2286" s="21">
        <v>308.71960000000001</v>
      </c>
      <c r="C2286">
        <v>238.73929999999999</v>
      </c>
      <c r="D2286">
        <v>132.87644700000001</v>
      </c>
      <c r="E2286" s="22">
        <v>101.95038599999999</v>
      </c>
    </row>
    <row r="2287" spans="1:5" x14ac:dyDescent="0.4">
      <c r="A2287" s="27">
        <v>45289</v>
      </c>
      <c r="B2287" s="21">
        <v>309.44060000000002</v>
      </c>
      <c r="C2287">
        <v>237.5052</v>
      </c>
      <c r="D2287">
        <v>132.89115699999999</v>
      </c>
      <c r="E2287" s="22">
        <v>101.961431</v>
      </c>
    </row>
    <row r="2288" spans="1:5" x14ac:dyDescent="0.4">
      <c r="A2288" s="27">
        <v>45293</v>
      </c>
      <c r="B2288" s="21">
        <v>309.1952</v>
      </c>
      <c r="C2288">
        <v>237.09719999999999</v>
      </c>
      <c r="D2288">
        <v>132.949735</v>
      </c>
      <c r="E2288" s="22">
        <v>102.00541</v>
      </c>
    </row>
    <row r="2289" spans="1:5" x14ac:dyDescent="0.4">
      <c r="A2289" s="27">
        <v>45294</v>
      </c>
      <c r="B2289" s="21">
        <v>306.64920000000001</v>
      </c>
      <c r="C2289">
        <v>237.17830000000001</v>
      </c>
      <c r="D2289">
        <v>132.96447900000001</v>
      </c>
      <c r="E2289" s="22">
        <v>102.01647800000001</v>
      </c>
    </row>
    <row r="2290" spans="1:5" x14ac:dyDescent="0.4">
      <c r="A2290" s="27">
        <v>45295</v>
      </c>
      <c r="B2290" s="21">
        <v>308.8091</v>
      </c>
      <c r="C2290">
        <v>236.0008</v>
      </c>
      <c r="D2290">
        <v>132.97921199999999</v>
      </c>
      <c r="E2290" s="22">
        <v>102.027541</v>
      </c>
    </row>
    <row r="2291" spans="1:5" x14ac:dyDescent="0.4">
      <c r="A2291" s="27">
        <v>45296</v>
      </c>
      <c r="B2291" s="21">
        <v>308.00259999999997</v>
      </c>
      <c r="C2291">
        <v>235.68459999999999</v>
      </c>
      <c r="D2291">
        <v>132.99394599999999</v>
      </c>
      <c r="E2291" s="22">
        <v>102.038599</v>
      </c>
    </row>
    <row r="2292" spans="1:5" x14ac:dyDescent="0.4">
      <c r="A2292" s="27">
        <v>45299</v>
      </c>
      <c r="B2292" s="21">
        <v>309.06319999999999</v>
      </c>
      <c r="C2292">
        <v>235.71680000000001</v>
      </c>
      <c r="D2292">
        <v>133.03816599999999</v>
      </c>
      <c r="E2292" s="22">
        <v>102.071804</v>
      </c>
    </row>
    <row r="2293" spans="1:5" x14ac:dyDescent="0.4">
      <c r="A2293" s="27">
        <v>45300</v>
      </c>
      <c r="B2293" s="21">
        <v>308.52179999999998</v>
      </c>
      <c r="C2293">
        <v>235.0256</v>
      </c>
      <c r="D2293">
        <v>133.052907</v>
      </c>
      <c r="E2293" s="22">
        <v>102.082874</v>
      </c>
    </row>
    <row r="2294" spans="1:5" x14ac:dyDescent="0.4">
      <c r="A2294" s="27">
        <v>45301</v>
      </c>
      <c r="B2294" s="21">
        <v>307.98489999999998</v>
      </c>
      <c r="C2294">
        <v>234.79230000000001</v>
      </c>
      <c r="D2294">
        <v>133.06764899999999</v>
      </c>
      <c r="E2294" s="22">
        <v>102.09394399999999</v>
      </c>
    </row>
    <row r="2295" spans="1:5" x14ac:dyDescent="0.4">
      <c r="A2295" s="27">
        <v>45302</v>
      </c>
      <c r="B2295" s="21">
        <v>305.67880000000002</v>
      </c>
      <c r="C2295">
        <v>234.92699999999999</v>
      </c>
      <c r="D2295">
        <v>133.08240599999999</v>
      </c>
      <c r="E2295" s="22">
        <v>102.10502099999999</v>
      </c>
    </row>
    <row r="2296" spans="1:5" x14ac:dyDescent="0.4">
      <c r="A2296" s="27">
        <v>45303</v>
      </c>
      <c r="B2296" s="21">
        <v>308.20960000000002</v>
      </c>
      <c r="C2296">
        <v>235.8383</v>
      </c>
      <c r="D2296">
        <v>133.09715199999999</v>
      </c>
      <c r="E2296" s="22">
        <v>102.116097</v>
      </c>
    </row>
    <row r="2297" spans="1:5" x14ac:dyDescent="0.4">
      <c r="A2297" s="27">
        <v>45306</v>
      </c>
      <c r="B2297" s="21">
        <v>306.58269999999999</v>
      </c>
      <c r="C2297">
        <v>235.35050000000001</v>
      </c>
      <c r="D2297">
        <v>133.14139299999999</v>
      </c>
      <c r="E2297" s="22">
        <v>102.14931799999999</v>
      </c>
    </row>
    <row r="2298" spans="1:5" x14ac:dyDescent="0.4">
      <c r="A2298" s="27">
        <v>45307</v>
      </c>
      <c r="B2298" s="21">
        <v>305.98989999999998</v>
      </c>
      <c r="C2298">
        <v>235.02619999999999</v>
      </c>
      <c r="D2298">
        <v>133.15614500000001</v>
      </c>
      <c r="E2298" s="22">
        <v>102.16039000000001</v>
      </c>
    </row>
    <row r="2299" spans="1:5" x14ac:dyDescent="0.4">
      <c r="A2299" s="27">
        <v>45308</v>
      </c>
      <c r="B2299" s="21">
        <v>302.60500000000002</v>
      </c>
      <c r="C2299">
        <v>234.0487</v>
      </c>
      <c r="D2299">
        <v>133.17089899999999</v>
      </c>
      <c r="E2299" s="22">
        <v>102.17147199999999</v>
      </c>
    </row>
    <row r="2300" spans="1:5" x14ac:dyDescent="0.4">
      <c r="A2300" s="27">
        <v>45309</v>
      </c>
      <c r="B2300" s="21">
        <v>304.35739999999998</v>
      </c>
      <c r="C2300">
        <v>233.8913</v>
      </c>
      <c r="D2300">
        <v>133.185654</v>
      </c>
      <c r="E2300" s="22">
        <v>102.182552</v>
      </c>
    </row>
    <row r="2301" spans="1:5" x14ac:dyDescent="0.4">
      <c r="A2301" s="27">
        <v>45310</v>
      </c>
      <c r="B2301" s="21">
        <v>303.61309999999997</v>
      </c>
      <c r="C2301">
        <v>234.08</v>
      </c>
      <c r="D2301">
        <v>133.200425</v>
      </c>
      <c r="E2301" s="22">
        <v>102.193641</v>
      </c>
    </row>
    <row r="2302" spans="1:5" x14ac:dyDescent="0.4">
      <c r="A2302" s="27">
        <v>45313</v>
      </c>
      <c r="B2302" s="21">
        <v>305.95249999999999</v>
      </c>
      <c r="C2302">
        <v>234.68719999999999</v>
      </c>
      <c r="D2302">
        <v>133.24469999999999</v>
      </c>
      <c r="E2302" s="22">
        <v>102.226888</v>
      </c>
    </row>
    <row r="2303" spans="1:5" x14ac:dyDescent="0.4">
      <c r="A2303" s="27">
        <v>45314</v>
      </c>
      <c r="B2303" s="21">
        <v>305.11380000000003</v>
      </c>
      <c r="C2303">
        <v>233.9385</v>
      </c>
      <c r="D2303">
        <v>133.25946400000001</v>
      </c>
      <c r="E2303" s="22">
        <v>102.23796900000001</v>
      </c>
    </row>
    <row r="2304" spans="1:5" x14ac:dyDescent="0.4">
      <c r="A2304" s="27">
        <v>45315</v>
      </c>
      <c r="B2304" s="21">
        <v>308.66809999999998</v>
      </c>
      <c r="C2304">
        <v>234.02080000000001</v>
      </c>
      <c r="D2304">
        <v>133.27422899999999</v>
      </c>
      <c r="E2304" s="22">
        <v>102.24905</v>
      </c>
    </row>
    <row r="2305" spans="1:5" x14ac:dyDescent="0.4">
      <c r="A2305" s="27">
        <v>45316</v>
      </c>
      <c r="B2305" s="21">
        <v>309.61369999999999</v>
      </c>
      <c r="C2305">
        <v>235.00280000000001</v>
      </c>
      <c r="D2305">
        <v>133.288996</v>
      </c>
      <c r="E2305" s="22">
        <v>102.260141</v>
      </c>
    </row>
    <row r="2306" spans="1:5" x14ac:dyDescent="0.4">
      <c r="A2306" s="27">
        <v>45317</v>
      </c>
      <c r="B2306" s="21">
        <v>313.12270000000001</v>
      </c>
      <c r="C2306">
        <v>234.81989999999999</v>
      </c>
      <c r="D2306">
        <v>133.303764</v>
      </c>
      <c r="E2306" s="22">
        <v>102.27123400000001</v>
      </c>
    </row>
    <row r="2307" spans="1:5" x14ac:dyDescent="0.4">
      <c r="A2307" s="27">
        <v>45320</v>
      </c>
      <c r="B2307" s="21">
        <v>313.85059999999999</v>
      </c>
      <c r="C2307">
        <v>235.8115</v>
      </c>
      <c r="D2307">
        <v>133.348074</v>
      </c>
      <c r="E2307" s="22">
        <v>102.304506</v>
      </c>
    </row>
    <row r="2308" spans="1:5" x14ac:dyDescent="0.4">
      <c r="A2308" s="27">
        <v>45321</v>
      </c>
      <c r="B2308" s="21">
        <v>314.3639</v>
      </c>
      <c r="C2308">
        <v>235.15719999999999</v>
      </c>
      <c r="D2308">
        <v>133.362863</v>
      </c>
      <c r="E2308" s="22">
        <v>102.31560899999999</v>
      </c>
    </row>
    <row r="2309" spans="1:5" x14ac:dyDescent="0.4">
      <c r="A2309" s="27">
        <v>45322</v>
      </c>
      <c r="B2309" s="21">
        <v>314.3141</v>
      </c>
      <c r="C2309">
        <v>236.7251</v>
      </c>
      <c r="D2309">
        <v>133.37765300000001</v>
      </c>
      <c r="E2309" s="22">
        <v>102.326713</v>
      </c>
    </row>
    <row r="2310" spans="1:5" x14ac:dyDescent="0.4">
      <c r="A2310" s="27">
        <v>45323</v>
      </c>
      <c r="B2310" s="21">
        <v>313.18470000000002</v>
      </c>
      <c r="C2310">
        <v>237.06</v>
      </c>
      <c r="D2310">
        <v>133.392391</v>
      </c>
      <c r="E2310" s="22">
        <v>102.33778100000001</v>
      </c>
    </row>
    <row r="2311" spans="1:5" x14ac:dyDescent="0.4">
      <c r="A2311" s="27">
        <v>45324</v>
      </c>
      <c r="B2311" s="21">
        <v>313.27390000000003</v>
      </c>
      <c r="C2311">
        <v>235.4556</v>
      </c>
      <c r="D2311">
        <v>133.40717100000001</v>
      </c>
      <c r="E2311" s="22">
        <v>102.348882</v>
      </c>
    </row>
    <row r="2312" spans="1:5" x14ac:dyDescent="0.4">
      <c r="A2312" s="27">
        <v>45327</v>
      </c>
      <c r="B2312" s="21">
        <v>313.25720000000001</v>
      </c>
      <c r="C2312">
        <v>234.27510000000001</v>
      </c>
      <c r="D2312">
        <v>133.45154199999999</v>
      </c>
      <c r="E2312" s="22">
        <v>102.38219700000001</v>
      </c>
    </row>
    <row r="2313" spans="1:5" x14ac:dyDescent="0.4">
      <c r="A2313" s="27">
        <v>45328</v>
      </c>
      <c r="B2313" s="21">
        <v>315.19310000000002</v>
      </c>
      <c r="C2313">
        <v>234.67339999999999</v>
      </c>
      <c r="D2313">
        <v>133.466342</v>
      </c>
      <c r="E2313" s="22">
        <v>102.393308</v>
      </c>
    </row>
    <row r="2314" spans="1:5" x14ac:dyDescent="0.4">
      <c r="A2314" s="27">
        <v>45329</v>
      </c>
      <c r="B2314" s="21">
        <v>314.41559999999998</v>
      </c>
      <c r="C2314">
        <v>234.62819999999999</v>
      </c>
      <c r="D2314">
        <v>133.481143</v>
      </c>
      <c r="E2314" s="22">
        <v>102.40442299999999</v>
      </c>
    </row>
    <row r="2315" spans="1:5" x14ac:dyDescent="0.4">
      <c r="A2315" s="27">
        <v>45330</v>
      </c>
      <c r="B2315" s="21">
        <v>314.05520000000001</v>
      </c>
      <c r="C2315">
        <v>233.85329999999999</v>
      </c>
      <c r="D2315">
        <v>133.495946</v>
      </c>
      <c r="E2315" s="22">
        <v>102.41553999999999</v>
      </c>
    </row>
    <row r="2316" spans="1:5" x14ac:dyDescent="0.4">
      <c r="A2316" s="27">
        <v>45331</v>
      </c>
      <c r="B2316" s="21">
        <v>313.8218</v>
      </c>
      <c r="C2316">
        <v>233.4813</v>
      </c>
      <c r="D2316">
        <v>133.510751</v>
      </c>
      <c r="E2316" s="22">
        <v>102.426658</v>
      </c>
    </row>
    <row r="2317" spans="1:5" x14ac:dyDescent="0.4">
      <c r="A2317" s="27">
        <v>45334</v>
      </c>
      <c r="B2317" s="21">
        <v>315.41140000000001</v>
      </c>
      <c r="C2317">
        <v>233.88390000000001</v>
      </c>
      <c r="D2317">
        <v>133.55519699999999</v>
      </c>
      <c r="E2317" s="22">
        <v>102.460032</v>
      </c>
    </row>
    <row r="2318" spans="1:5" x14ac:dyDescent="0.4">
      <c r="A2318" s="27">
        <v>45335</v>
      </c>
      <c r="B2318" s="21">
        <v>312.52929999999998</v>
      </c>
      <c r="C2318">
        <v>233.57060000000001</v>
      </c>
      <c r="D2318">
        <v>133.570008</v>
      </c>
      <c r="E2318" s="22">
        <v>102.47115700000001</v>
      </c>
    </row>
    <row r="2319" spans="1:5" x14ac:dyDescent="0.4">
      <c r="A2319" s="27">
        <v>45336</v>
      </c>
      <c r="B2319" s="21">
        <v>314.04399999999998</v>
      </c>
      <c r="C2319">
        <v>234.2962</v>
      </c>
      <c r="D2319">
        <v>133.58482100000001</v>
      </c>
      <c r="E2319" s="22">
        <v>102.48228400000001</v>
      </c>
    </row>
    <row r="2320" spans="1:5" x14ac:dyDescent="0.4">
      <c r="A2320" s="27">
        <v>45337</v>
      </c>
      <c r="B2320" s="21">
        <v>316.2826</v>
      </c>
      <c r="C2320">
        <v>234.52260000000001</v>
      </c>
      <c r="D2320">
        <v>133.599649</v>
      </c>
      <c r="E2320" s="22">
        <v>102.49341699999999</v>
      </c>
    </row>
    <row r="2321" spans="1:5" x14ac:dyDescent="0.4">
      <c r="A2321" s="27">
        <v>45338</v>
      </c>
      <c r="B2321" s="21">
        <v>318.2636</v>
      </c>
      <c r="C2321">
        <v>233.92509999999999</v>
      </c>
      <c r="D2321">
        <v>133.61447799999999</v>
      </c>
      <c r="E2321" s="22">
        <v>102.504552</v>
      </c>
    </row>
    <row r="2322" spans="1:5" x14ac:dyDescent="0.4">
      <c r="A2322" s="27">
        <v>45341</v>
      </c>
      <c r="B2322" s="21">
        <v>318.84519999999998</v>
      </c>
      <c r="C2322">
        <v>233.82390000000001</v>
      </c>
      <c r="D2322">
        <v>133.65894499999999</v>
      </c>
      <c r="E2322" s="22">
        <v>102.537943</v>
      </c>
    </row>
    <row r="2323" spans="1:5" x14ac:dyDescent="0.4">
      <c r="A2323" s="27">
        <v>45342</v>
      </c>
      <c r="B2323" s="21">
        <v>318.57589999999999</v>
      </c>
      <c r="C2323">
        <v>234.39940000000001</v>
      </c>
      <c r="D2323">
        <v>133.67378099999999</v>
      </c>
      <c r="E2323" s="22">
        <v>102.54908</v>
      </c>
    </row>
    <row r="2324" spans="1:5" x14ac:dyDescent="0.4">
      <c r="A2324" s="27">
        <v>45343</v>
      </c>
      <c r="B2324" s="21">
        <v>318.00909999999999</v>
      </c>
      <c r="C2324">
        <v>233.57660000000001</v>
      </c>
      <c r="D2324">
        <v>133.68861899999999</v>
      </c>
      <c r="E2324" s="22">
        <v>102.56022</v>
      </c>
    </row>
    <row r="2325" spans="1:5" x14ac:dyDescent="0.4">
      <c r="A2325" s="27">
        <v>45344</v>
      </c>
      <c r="B2325" s="21">
        <v>320.68799999999999</v>
      </c>
      <c r="C2325">
        <v>233.76169999999999</v>
      </c>
      <c r="D2325">
        <v>133.70345900000001</v>
      </c>
      <c r="E2325" s="22">
        <v>102.57136</v>
      </c>
    </row>
    <row r="2326" spans="1:5" x14ac:dyDescent="0.4">
      <c r="A2326" s="27">
        <v>45345</v>
      </c>
      <c r="B2326" s="21">
        <v>322.10160000000002</v>
      </c>
      <c r="C2326">
        <v>234.63460000000001</v>
      </c>
      <c r="D2326">
        <v>133.71828600000001</v>
      </c>
      <c r="E2326" s="22">
        <v>102.582497</v>
      </c>
    </row>
    <row r="2327" spans="1:5" x14ac:dyDescent="0.4">
      <c r="A2327" s="27">
        <v>45348</v>
      </c>
      <c r="B2327" s="21">
        <v>320.91449999999998</v>
      </c>
      <c r="C2327">
        <v>233.83240000000001</v>
      </c>
      <c r="D2327">
        <v>133.76277400000001</v>
      </c>
      <c r="E2327" s="22">
        <v>102.61589600000001</v>
      </c>
    </row>
    <row r="2328" spans="1:5" x14ac:dyDescent="0.4">
      <c r="A2328" s="27">
        <v>45349</v>
      </c>
      <c r="B2328" s="21">
        <v>321.49029999999999</v>
      </c>
      <c r="C2328">
        <v>233.54130000000001</v>
      </c>
      <c r="D2328">
        <v>133.77759499999999</v>
      </c>
      <c r="E2328" s="22">
        <v>102.62702400000001</v>
      </c>
    </row>
    <row r="2329" spans="1:5" x14ac:dyDescent="0.4">
      <c r="A2329" s="27">
        <v>45350</v>
      </c>
      <c r="B2329" s="21">
        <v>320.38920000000002</v>
      </c>
      <c r="C2329">
        <v>233.5094</v>
      </c>
      <c r="D2329">
        <v>133.792418</v>
      </c>
      <c r="E2329" s="22">
        <v>102.63815700000001</v>
      </c>
    </row>
    <row r="2330" spans="1:5" x14ac:dyDescent="0.4">
      <c r="A2330" s="27">
        <v>45351</v>
      </c>
      <c r="B2330" s="21">
        <v>320.41649999999998</v>
      </c>
      <c r="C2330">
        <v>234.1704</v>
      </c>
      <c r="D2330">
        <v>133.807256</v>
      </c>
      <c r="E2330" s="22">
        <v>102.649293</v>
      </c>
    </row>
    <row r="2331" spans="1:5" x14ac:dyDescent="0.4">
      <c r="A2331" s="27">
        <v>45352</v>
      </c>
      <c r="B2331" s="21">
        <v>322.2851</v>
      </c>
      <c r="C2331">
        <v>234.24889999999999</v>
      </c>
      <c r="D2331">
        <v>133.822014</v>
      </c>
      <c r="E2331" s="22">
        <v>102.660376</v>
      </c>
    </row>
    <row r="2332" spans="1:5" x14ac:dyDescent="0.4">
      <c r="A2332" s="27">
        <v>45355</v>
      </c>
      <c r="B2332" s="21">
        <v>322.25850000000003</v>
      </c>
      <c r="C2332">
        <v>234.3954</v>
      </c>
      <c r="D2332">
        <v>133.86649700000001</v>
      </c>
      <c r="E2332" s="22">
        <v>102.693775</v>
      </c>
    </row>
    <row r="2333" spans="1:5" x14ac:dyDescent="0.4">
      <c r="A2333" s="27">
        <v>45356</v>
      </c>
      <c r="B2333" s="21">
        <v>321.56200000000001</v>
      </c>
      <c r="C2333">
        <v>235.66929999999999</v>
      </c>
      <c r="D2333">
        <v>133.88132899999999</v>
      </c>
      <c r="E2333" s="22">
        <v>102.704909</v>
      </c>
    </row>
    <row r="2334" spans="1:5" x14ac:dyDescent="0.4">
      <c r="A2334" s="27">
        <v>45357</v>
      </c>
      <c r="B2334" s="21">
        <v>322.69810000000001</v>
      </c>
      <c r="C2334">
        <v>235.64920000000001</v>
      </c>
      <c r="D2334">
        <v>133.89618999999999</v>
      </c>
      <c r="E2334" s="22">
        <v>102.716066</v>
      </c>
    </row>
    <row r="2335" spans="1:5" x14ac:dyDescent="0.4">
      <c r="A2335" s="27">
        <v>45358</v>
      </c>
      <c r="B2335" s="21">
        <v>326.4597</v>
      </c>
      <c r="C2335">
        <v>236.21039999999999</v>
      </c>
      <c r="D2335">
        <v>133.91102599999999</v>
      </c>
      <c r="E2335" s="22">
        <v>102.727208</v>
      </c>
    </row>
    <row r="2336" spans="1:5" x14ac:dyDescent="0.4">
      <c r="A2336" s="27">
        <v>45359</v>
      </c>
      <c r="B2336" s="21">
        <v>326.4744</v>
      </c>
      <c r="C2336">
        <v>236.84909999999999</v>
      </c>
      <c r="D2336">
        <v>133.92587700000001</v>
      </c>
      <c r="E2336" s="22">
        <v>102.73836</v>
      </c>
    </row>
    <row r="2337" spans="1:5" x14ac:dyDescent="0.4">
      <c r="A2337" s="27">
        <v>45362</v>
      </c>
      <c r="B2337" s="21">
        <v>325.32870000000003</v>
      </c>
      <c r="C2337">
        <v>236.40270000000001</v>
      </c>
      <c r="D2337">
        <v>133.97043400000001</v>
      </c>
      <c r="E2337" s="22">
        <v>102.77181</v>
      </c>
    </row>
    <row r="2338" spans="1:5" x14ac:dyDescent="0.4">
      <c r="A2338" s="27">
        <v>45363</v>
      </c>
      <c r="B2338" s="21">
        <v>328.61009999999999</v>
      </c>
      <c r="C2338">
        <v>236.29660000000001</v>
      </c>
      <c r="D2338">
        <v>133.98527799999999</v>
      </c>
      <c r="E2338" s="22">
        <v>102.782955</v>
      </c>
    </row>
    <row r="2339" spans="1:5" x14ac:dyDescent="0.4">
      <c r="A2339" s="27">
        <v>45364</v>
      </c>
      <c r="B2339" s="21">
        <v>329.14139999999998</v>
      </c>
      <c r="C2339">
        <v>236.0334</v>
      </c>
      <c r="D2339">
        <v>134.000123</v>
      </c>
      <c r="E2339" s="22">
        <v>102.794104</v>
      </c>
    </row>
    <row r="2340" spans="1:5" x14ac:dyDescent="0.4">
      <c r="A2340" s="27">
        <v>45365</v>
      </c>
      <c r="B2340" s="21">
        <v>328.7758</v>
      </c>
      <c r="C2340">
        <v>235.1568</v>
      </c>
      <c r="D2340">
        <v>134.014984</v>
      </c>
      <c r="E2340" s="22">
        <v>102.80526</v>
      </c>
    </row>
    <row r="2341" spans="1:5" x14ac:dyDescent="0.4">
      <c r="A2341" s="27">
        <v>45366</v>
      </c>
      <c r="B2341" s="21">
        <v>327.6814</v>
      </c>
      <c r="C2341">
        <v>234.8904</v>
      </c>
      <c r="D2341">
        <v>134.02984599999999</v>
      </c>
      <c r="E2341" s="22">
        <v>102.81641999999999</v>
      </c>
    </row>
    <row r="2342" spans="1:5" x14ac:dyDescent="0.4">
      <c r="A2342" s="27">
        <v>45369</v>
      </c>
      <c r="B2342" s="21">
        <v>327.1123</v>
      </c>
      <c r="C2342">
        <v>234.89439999999999</v>
      </c>
      <c r="D2342">
        <v>134.07445100000001</v>
      </c>
      <c r="E2342" s="22">
        <v>102.849912</v>
      </c>
    </row>
    <row r="2343" spans="1:5" x14ac:dyDescent="0.4">
      <c r="A2343" s="27">
        <v>45370</v>
      </c>
      <c r="B2343" s="21">
        <v>327.85989999999998</v>
      </c>
      <c r="C2343">
        <v>235.0873</v>
      </c>
      <c r="D2343">
        <v>134.08931999999999</v>
      </c>
      <c r="E2343" s="22">
        <v>102.86108</v>
      </c>
    </row>
    <row r="2344" spans="1:5" x14ac:dyDescent="0.4">
      <c r="A2344" s="27">
        <v>45371</v>
      </c>
      <c r="B2344" s="21">
        <v>327.91829999999999</v>
      </c>
      <c r="C2344">
        <v>235.0335</v>
      </c>
      <c r="D2344">
        <v>134.10419099999999</v>
      </c>
      <c r="E2344" s="22">
        <v>102.872246</v>
      </c>
    </row>
    <row r="2345" spans="1:5" x14ac:dyDescent="0.4">
      <c r="A2345" s="27">
        <v>45372</v>
      </c>
      <c r="B2345" s="21">
        <v>330.86279999999999</v>
      </c>
      <c r="C2345">
        <v>235.52760000000001</v>
      </c>
      <c r="D2345">
        <v>134.11906300000001</v>
      </c>
      <c r="E2345" s="22">
        <v>102.883414</v>
      </c>
    </row>
    <row r="2346" spans="1:5" x14ac:dyDescent="0.4">
      <c r="A2346" s="27">
        <v>45373</v>
      </c>
      <c r="B2346" s="21">
        <v>331.02269999999999</v>
      </c>
      <c r="C2346">
        <v>236.404</v>
      </c>
      <c r="D2346">
        <v>134.133937</v>
      </c>
      <c r="E2346" s="22">
        <v>102.89457899999999</v>
      </c>
    </row>
    <row r="2347" spans="1:5" x14ac:dyDescent="0.4">
      <c r="A2347" s="27">
        <v>45376</v>
      </c>
      <c r="B2347" s="21">
        <v>331.26409999999998</v>
      </c>
      <c r="C2347">
        <v>235.7244</v>
      </c>
      <c r="D2347">
        <v>134.17857599999999</v>
      </c>
      <c r="E2347" s="22">
        <v>102.92809699999999</v>
      </c>
    </row>
    <row r="2348" spans="1:5" x14ac:dyDescent="0.4">
      <c r="A2348" s="27">
        <v>45377</v>
      </c>
      <c r="B2348" s="21">
        <v>331.9529</v>
      </c>
      <c r="C2348">
        <v>236.02019999999999</v>
      </c>
      <c r="D2348">
        <v>134.193457</v>
      </c>
      <c r="E2348" s="22">
        <v>102.939274</v>
      </c>
    </row>
    <row r="2349" spans="1:5" x14ac:dyDescent="0.4">
      <c r="A2349" s="27">
        <v>45378</v>
      </c>
      <c r="B2349" s="21">
        <v>332.38850000000002</v>
      </c>
      <c r="C2349">
        <v>236.78819999999999</v>
      </c>
      <c r="D2349">
        <v>134.208339</v>
      </c>
      <c r="E2349" s="22">
        <v>102.95044300000001</v>
      </c>
    </row>
    <row r="2350" spans="1:5" x14ac:dyDescent="0.4">
      <c r="A2350" s="27">
        <v>45379</v>
      </c>
      <c r="B2350" s="21">
        <v>333.05549999999999</v>
      </c>
      <c r="C2350">
        <v>236.71610000000001</v>
      </c>
      <c r="D2350">
        <v>134.22322199999999</v>
      </c>
      <c r="E2350" s="22">
        <v>102.961613</v>
      </c>
    </row>
    <row r="2351" spans="1:5" x14ac:dyDescent="0.4">
      <c r="A2351" s="27">
        <v>45380</v>
      </c>
      <c r="B2351" s="21">
        <v>333.05549999999999</v>
      </c>
      <c r="C2351">
        <v>236.71610000000001</v>
      </c>
      <c r="D2351">
        <v>134.29748799999999</v>
      </c>
      <c r="E2351" s="22">
        <v>103.017369</v>
      </c>
    </row>
    <row r="2352" spans="1:5" x14ac:dyDescent="0.4">
      <c r="A2352" s="27">
        <v>45383</v>
      </c>
      <c r="B2352" s="21">
        <v>332.95229999999998</v>
      </c>
      <c r="C2352">
        <v>236.72929999999999</v>
      </c>
      <c r="D2352">
        <v>134.29748799999999</v>
      </c>
      <c r="E2352" s="22">
        <v>103.017369</v>
      </c>
    </row>
    <row r="2353" spans="1:5" x14ac:dyDescent="0.4">
      <c r="A2353" s="27">
        <v>45384</v>
      </c>
      <c r="B2353" s="21">
        <v>330.42779999999999</v>
      </c>
      <c r="C2353">
        <v>235.25890000000001</v>
      </c>
      <c r="D2353">
        <v>134.29748799999999</v>
      </c>
      <c r="E2353" s="22">
        <v>103.017369</v>
      </c>
    </row>
    <row r="2354" spans="1:5" x14ac:dyDescent="0.4">
      <c r="A2354" s="27">
        <v>45385</v>
      </c>
      <c r="B2354" s="21">
        <v>331.34390000000002</v>
      </c>
      <c r="C2354">
        <v>235.24359999999999</v>
      </c>
      <c r="D2354">
        <v>134.31238200000001</v>
      </c>
      <c r="E2354" s="22">
        <v>103.028547</v>
      </c>
    </row>
    <row r="2355" spans="1:5" x14ac:dyDescent="0.4">
      <c r="A2355" s="27">
        <v>45386</v>
      </c>
      <c r="B2355" s="21">
        <v>331.86630000000002</v>
      </c>
      <c r="C2355">
        <v>236.19470000000001</v>
      </c>
      <c r="D2355">
        <v>134.32729</v>
      </c>
      <c r="E2355" s="22">
        <v>103.03973999999999</v>
      </c>
    </row>
    <row r="2356" spans="1:5" x14ac:dyDescent="0.4">
      <c r="A2356" s="27">
        <v>45387</v>
      </c>
      <c r="B2356" s="21">
        <v>329.11360000000002</v>
      </c>
      <c r="C2356">
        <v>235.45959999999999</v>
      </c>
      <c r="D2356">
        <v>134.34220099999999</v>
      </c>
      <c r="E2356" s="22">
        <v>103.050937</v>
      </c>
    </row>
    <row r="2357" spans="1:5" x14ac:dyDescent="0.4">
      <c r="A2357" s="27">
        <v>45390</v>
      </c>
      <c r="B2357" s="21">
        <v>330.59859999999998</v>
      </c>
      <c r="C2357">
        <v>235.1926</v>
      </c>
      <c r="D2357">
        <v>134.38689600000001</v>
      </c>
      <c r="E2357" s="22">
        <v>103.08448799999999</v>
      </c>
    </row>
    <row r="2358" spans="1:5" x14ac:dyDescent="0.4">
      <c r="A2358" s="27">
        <v>45391</v>
      </c>
      <c r="B2358" s="21">
        <v>328.65359999999998</v>
      </c>
      <c r="C2358">
        <v>236.21350000000001</v>
      </c>
      <c r="D2358">
        <v>134.40180000000001</v>
      </c>
      <c r="E2358" s="22">
        <v>103.095679</v>
      </c>
    </row>
    <row r="2359" spans="1:5" x14ac:dyDescent="0.4">
      <c r="A2359" s="27">
        <v>45392</v>
      </c>
      <c r="B2359" s="21">
        <v>329.18400000000003</v>
      </c>
      <c r="C2359">
        <v>235.46369999999999</v>
      </c>
      <c r="D2359">
        <v>134.41670500000001</v>
      </c>
      <c r="E2359" s="22">
        <v>103.10687299999999</v>
      </c>
    </row>
    <row r="2360" spans="1:5" x14ac:dyDescent="0.4">
      <c r="A2360" s="27">
        <v>45393</v>
      </c>
      <c r="B2360" s="21">
        <v>328.12630000000001</v>
      </c>
      <c r="C2360">
        <v>234.62620000000001</v>
      </c>
      <c r="D2360">
        <v>134.431612</v>
      </c>
      <c r="E2360" s="22">
        <v>103.11806300000001</v>
      </c>
    </row>
    <row r="2361" spans="1:5" x14ac:dyDescent="0.4">
      <c r="A2361" s="27">
        <v>45394</v>
      </c>
      <c r="B2361" s="21">
        <v>328.86200000000002</v>
      </c>
      <c r="C2361">
        <v>236.30539999999999</v>
      </c>
      <c r="D2361">
        <v>134.44651999999999</v>
      </c>
      <c r="E2361" s="22">
        <v>103.129254</v>
      </c>
    </row>
    <row r="2362" spans="1:5" x14ac:dyDescent="0.4">
      <c r="A2362" s="27">
        <v>45397</v>
      </c>
      <c r="B2362" s="21">
        <v>329.28570000000002</v>
      </c>
      <c r="C2362">
        <v>235.13669999999999</v>
      </c>
      <c r="D2362">
        <v>134.49127799999999</v>
      </c>
      <c r="E2362" s="22">
        <v>103.162857</v>
      </c>
    </row>
    <row r="2363" spans="1:5" x14ac:dyDescent="0.4">
      <c r="A2363" s="27">
        <v>45398</v>
      </c>
      <c r="B2363" s="21">
        <v>324.44600000000003</v>
      </c>
      <c r="C2363">
        <v>234.19290000000001</v>
      </c>
      <c r="D2363">
        <v>134.506193</v>
      </c>
      <c r="E2363" s="22">
        <v>103.174053</v>
      </c>
    </row>
    <row r="2364" spans="1:5" x14ac:dyDescent="0.4">
      <c r="A2364" s="27">
        <v>45399</v>
      </c>
      <c r="B2364" s="21">
        <v>324.57639999999998</v>
      </c>
      <c r="C2364">
        <v>234.64400000000001</v>
      </c>
      <c r="D2364">
        <v>134.52112299999999</v>
      </c>
      <c r="E2364" s="22">
        <v>103.18526199999999</v>
      </c>
    </row>
    <row r="2365" spans="1:5" x14ac:dyDescent="0.4">
      <c r="A2365" s="27">
        <v>45400</v>
      </c>
      <c r="B2365" s="21">
        <v>325.25729999999999</v>
      </c>
      <c r="C2365">
        <v>234.4143</v>
      </c>
      <c r="D2365">
        <v>134.53604100000001</v>
      </c>
      <c r="E2365" s="22">
        <v>103.19646299999999</v>
      </c>
    </row>
    <row r="2366" spans="1:5" x14ac:dyDescent="0.4">
      <c r="A2366" s="27">
        <v>45401</v>
      </c>
      <c r="B2366" s="21">
        <v>325.13249999999999</v>
      </c>
      <c r="C2366">
        <v>234.15299999999999</v>
      </c>
      <c r="D2366">
        <v>134.550961</v>
      </c>
      <c r="E2366" s="22">
        <v>103.207669</v>
      </c>
    </row>
    <row r="2367" spans="1:5" x14ac:dyDescent="0.4">
      <c r="A2367" s="27">
        <v>45404</v>
      </c>
      <c r="B2367" s="21">
        <v>327.50709999999998</v>
      </c>
      <c r="C2367">
        <v>234.66970000000001</v>
      </c>
      <c r="D2367">
        <v>134.595753</v>
      </c>
      <c r="E2367" s="22">
        <v>103.241297</v>
      </c>
    </row>
    <row r="2368" spans="1:5" x14ac:dyDescent="0.4">
      <c r="A2368" s="27">
        <v>45405</v>
      </c>
      <c r="B2368" s="21">
        <v>331.14409999999998</v>
      </c>
      <c r="C2368">
        <v>234.6156</v>
      </c>
      <c r="D2368">
        <v>134.610693</v>
      </c>
      <c r="E2368" s="22">
        <v>103.25251</v>
      </c>
    </row>
    <row r="2369" spans="1:5" x14ac:dyDescent="0.4">
      <c r="A2369" s="27">
        <v>45406</v>
      </c>
      <c r="B2369" s="21">
        <v>329.94220000000001</v>
      </c>
      <c r="C2369">
        <v>233.43459999999999</v>
      </c>
      <c r="D2369">
        <v>134.62562199999999</v>
      </c>
      <c r="E2369" s="22">
        <v>103.26371899999999</v>
      </c>
    </row>
    <row r="2370" spans="1:5" x14ac:dyDescent="0.4">
      <c r="A2370" s="27">
        <v>45407</v>
      </c>
      <c r="B2370" s="21">
        <v>327.988</v>
      </c>
      <c r="C2370">
        <v>232.9239</v>
      </c>
      <c r="D2370">
        <v>134.64056500000001</v>
      </c>
      <c r="E2370" s="22">
        <v>103.27493699999999</v>
      </c>
    </row>
    <row r="2371" spans="1:5" x14ac:dyDescent="0.4">
      <c r="A2371" s="27">
        <v>45408</v>
      </c>
      <c r="B2371" s="21">
        <v>331.90690000000001</v>
      </c>
      <c r="C2371">
        <v>233.74930000000001</v>
      </c>
      <c r="D2371">
        <v>134.655497</v>
      </c>
      <c r="E2371" s="22">
        <v>103.286151</v>
      </c>
    </row>
    <row r="2372" spans="1:5" x14ac:dyDescent="0.4">
      <c r="A2372" s="27">
        <v>45411</v>
      </c>
      <c r="B2372" s="21">
        <v>332.09039999999999</v>
      </c>
      <c r="C2372">
        <v>234.6909</v>
      </c>
      <c r="D2372">
        <v>134.70029700000001</v>
      </c>
      <c r="E2372" s="22">
        <v>103.31977999999999</v>
      </c>
    </row>
    <row r="2373" spans="1:5" x14ac:dyDescent="0.4">
      <c r="A2373" s="27">
        <v>45412</v>
      </c>
      <c r="B2373" s="21">
        <v>330.03320000000002</v>
      </c>
      <c r="C2373">
        <v>233.73580000000001</v>
      </c>
      <c r="D2373">
        <v>134.71523500000001</v>
      </c>
      <c r="E2373" s="22">
        <v>103.33099</v>
      </c>
    </row>
    <row r="2374" spans="1:5" x14ac:dyDescent="0.4">
      <c r="A2374" s="27">
        <v>45413</v>
      </c>
      <c r="B2374" s="21">
        <v>329.55369999999999</v>
      </c>
      <c r="C2374">
        <v>233.73580000000001</v>
      </c>
      <c r="D2374">
        <v>134.74498</v>
      </c>
      <c r="E2374" s="22">
        <v>103.35331499999999</v>
      </c>
    </row>
    <row r="2375" spans="1:5" x14ac:dyDescent="0.4">
      <c r="A2375" s="27">
        <v>45414</v>
      </c>
      <c r="B2375" s="21">
        <v>329.0367</v>
      </c>
      <c r="C2375">
        <v>234.2433</v>
      </c>
      <c r="D2375">
        <v>134.74498</v>
      </c>
      <c r="E2375" s="22">
        <v>103.35331499999999</v>
      </c>
    </row>
    <row r="2376" spans="1:5" x14ac:dyDescent="0.4">
      <c r="A2376" s="27">
        <v>45415</v>
      </c>
      <c r="B2376" s="21">
        <v>330.64249999999998</v>
      </c>
      <c r="C2376">
        <v>234.94200000000001</v>
      </c>
      <c r="D2376">
        <v>134.75993700000001</v>
      </c>
      <c r="E2376" s="22">
        <v>103.36454000000001</v>
      </c>
    </row>
    <row r="2377" spans="1:5" x14ac:dyDescent="0.4">
      <c r="A2377" s="27">
        <v>45418</v>
      </c>
      <c r="B2377" s="21">
        <v>332.35840000000002</v>
      </c>
      <c r="C2377">
        <v>235.39590000000001</v>
      </c>
      <c r="D2377">
        <v>134.80477099999999</v>
      </c>
      <c r="E2377" s="22">
        <v>103.398203</v>
      </c>
    </row>
    <row r="2378" spans="1:5" x14ac:dyDescent="0.4">
      <c r="A2378" s="27">
        <v>45419</v>
      </c>
      <c r="B2378" s="21">
        <v>336.32470000000001</v>
      </c>
      <c r="C2378">
        <v>236.14859999999999</v>
      </c>
      <c r="D2378">
        <v>134.81972099999999</v>
      </c>
      <c r="E2378" s="22">
        <v>103.40943</v>
      </c>
    </row>
    <row r="2379" spans="1:5" x14ac:dyDescent="0.4">
      <c r="A2379" s="27">
        <v>45420</v>
      </c>
      <c r="B2379" s="21">
        <v>337.53160000000003</v>
      </c>
      <c r="C2379">
        <v>235.61840000000001</v>
      </c>
      <c r="D2379">
        <v>134.83467300000001</v>
      </c>
      <c r="E2379" s="22">
        <v>103.42064999999999</v>
      </c>
    </row>
    <row r="2380" spans="1:5" x14ac:dyDescent="0.4">
      <c r="A2380" s="27">
        <v>45421</v>
      </c>
      <c r="B2380" s="21">
        <v>338.55869999999999</v>
      </c>
      <c r="C2380">
        <v>235.1541</v>
      </c>
      <c r="D2380">
        <v>134.84961200000001</v>
      </c>
      <c r="E2380" s="22">
        <v>103.43186799999999</v>
      </c>
    </row>
    <row r="2381" spans="1:5" x14ac:dyDescent="0.4">
      <c r="A2381" s="27">
        <v>45422</v>
      </c>
      <c r="B2381" s="21">
        <v>341.28379999999999</v>
      </c>
      <c r="C2381">
        <v>234.81649999999999</v>
      </c>
      <c r="D2381">
        <v>134.86454000000001</v>
      </c>
      <c r="E2381" s="22">
        <v>103.443076</v>
      </c>
    </row>
    <row r="2382" spans="1:5" x14ac:dyDescent="0.4">
      <c r="A2382" s="27">
        <v>45425</v>
      </c>
      <c r="B2382" s="21">
        <v>341.49579999999997</v>
      </c>
      <c r="C2382">
        <v>235.07380000000001</v>
      </c>
      <c r="D2382">
        <v>134.90939599999999</v>
      </c>
      <c r="E2382" s="22">
        <v>103.476747</v>
      </c>
    </row>
    <row r="2383" spans="1:5" x14ac:dyDescent="0.4">
      <c r="A2383" s="27">
        <v>45426</v>
      </c>
      <c r="B2383" s="21">
        <v>341.93849999999998</v>
      </c>
      <c r="C2383">
        <v>234.58750000000001</v>
      </c>
      <c r="D2383">
        <v>134.92435800000001</v>
      </c>
      <c r="E2383" s="22">
        <v>103.487977</v>
      </c>
    </row>
    <row r="2384" spans="1:5" x14ac:dyDescent="0.4">
      <c r="A2384" s="27">
        <v>45427</v>
      </c>
      <c r="B2384" s="21">
        <v>343.90339999999998</v>
      </c>
      <c r="C2384">
        <v>236.2843</v>
      </c>
      <c r="D2384">
        <v>134.93932100000001</v>
      </c>
      <c r="E2384" s="22">
        <v>103.499208</v>
      </c>
    </row>
    <row r="2385" spans="1:5" x14ac:dyDescent="0.4">
      <c r="A2385" s="27">
        <v>45428</v>
      </c>
      <c r="B2385" s="21">
        <v>343.49349999999998</v>
      </c>
      <c r="C2385">
        <v>236.14779999999999</v>
      </c>
      <c r="D2385">
        <v>134.954286</v>
      </c>
      <c r="E2385" s="22">
        <v>103.51044400000001</v>
      </c>
    </row>
    <row r="2386" spans="1:5" x14ac:dyDescent="0.4">
      <c r="A2386" s="27">
        <v>45429</v>
      </c>
      <c r="B2386" s="21">
        <v>343.1454</v>
      </c>
      <c r="C2386">
        <v>235.2216</v>
      </c>
      <c r="D2386">
        <v>134.96923899999999</v>
      </c>
      <c r="E2386" s="22">
        <v>103.521669</v>
      </c>
    </row>
    <row r="2387" spans="1:5" x14ac:dyDescent="0.4">
      <c r="A2387" s="27">
        <v>45432</v>
      </c>
      <c r="B2387" s="21">
        <v>343.99799999999999</v>
      </c>
      <c r="C2387">
        <v>234.946</v>
      </c>
      <c r="D2387">
        <v>135.01407499999999</v>
      </c>
      <c r="E2387" s="22">
        <v>103.555322</v>
      </c>
    </row>
    <row r="2388" spans="1:5" x14ac:dyDescent="0.4">
      <c r="A2388" s="27">
        <v>45433</v>
      </c>
      <c r="B2388" s="21">
        <v>343.60329999999999</v>
      </c>
      <c r="C2388">
        <v>235.3408</v>
      </c>
      <c r="D2388">
        <v>135.02903499999999</v>
      </c>
      <c r="E2388" s="22">
        <v>103.566552</v>
      </c>
    </row>
    <row r="2389" spans="1:5" x14ac:dyDescent="0.4">
      <c r="A2389" s="27">
        <v>45434</v>
      </c>
      <c r="B2389" s="21">
        <v>342.38900000000001</v>
      </c>
      <c r="C2389">
        <v>235.024</v>
      </c>
      <c r="D2389">
        <v>135.04402300000001</v>
      </c>
      <c r="E2389" s="22">
        <v>103.577806</v>
      </c>
    </row>
    <row r="2390" spans="1:5" x14ac:dyDescent="0.4">
      <c r="A2390" s="27">
        <v>45435</v>
      </c>
      <c r="B2390" s="21">
        <v>342.71429999999998</v>
      </c>
      <c r="C2390">
        <v>234.07650000000001</v>
      </c>
      <c r="D2390">
        <v>135.05901299999999</v>
      </c>
      <c r="E2390" s="22">
        <v>103.589056</v>
      </c>
    </row>
    <row r="2391" spans="1:5" x14ac:dyDescent="0.4">
      <c r="A2391" s="27">
        <v>45436</v>
      </c>
      <c r="B2391" s="21">
        <v>342.03550000000001</v>
      </c>
      <c r="C2391">
        <v>234.38399999999999</v>
      </c>
      <c r="D2391">
        <v>135.074005</v>
      </c>
      <c r="E2391" s="22">
        <v>103.600313</v>
      </c>
    </row>
    <row r="2392" spans="1:5" x14ac:dyDescent="0.4">
      <c r="A2392" s="27">
        <v>45439</v>
      </c>
      <c r="B2392" s="21">
        <v>343.10669999999999</v>
      </c>
      <c r="C2392">
        <v>234.94579999999999</v>
      </c>
      <c r="D2392">
        <v>135.11897099999999</v>
      </c>
      <c r="E2392" s="22">
        <v>103.634069</v>
      </c>
    </row>
    <row r="2393" spans="1:5" x14ac:dyDescent="0.4">
      <c r="A2393" s="27">
        <v>45440</v>
      </c>
      <c r="B2393" s="21">
        <v>341.12740000000002</v>
      </c>
      <c r="C2393">
        <v>234.5001</v>
      </c>
      <c r="D2393">
        <v>135.13396900000001</v>
      </c>
      <c r="E2393" s="22">
        <v>103.64532800000001</v>
      </c>
    </row>
    <row r="2394" spans="1:5" x14ac:dyDescent="0.4">
      <c r="A2394" s="27">
        <v>45441</v>
      </c>
      <c r="B2394" s="21">
        <v>337.58319999999998</v>
      </c>
      <c r="C2394">
        <v>233.3176</v>
      </c>
      <c r="D2394">
        <v>135.148955</v>
      </c>
      <c r="E2394" s="22">
        <v>103.656582</v>
      </c>
    </row>
    <row r="2395" spans="1:5" x14ac:dyDescent="0.4">
      <c r="A2395" s="27">
        <v>45442</v>
      </c>
      <c r="B2395" s="21">
        <v>339.64850000000001</v>
      </c>
      <c r="C2395">
        <v>233.53809999999999</v>
      </c>
      <c r="D2395">
        <v>135.16394299999999</v>
      </c>
      <c r="E2395" s="22">
        <v>103.66783700000001</v>
      </c>
    </row>
    <row r="2396" spans="1:5" x14ac:dyDescent="0.4">
      <c r="A2396" s="27">
        <v>45443</v>
      </c>
      <c r="B2396" s="21">
        <v>340.80770000000001</v>
      </c>
      <c r="C2396">
        <v>233.8288</v>
      </c>
      <c r="D2396">
        <v>135.178946</v>
      </c>
      <c r="E2396" s="22">
        <v>103.679097</v>
      </c>
    </row>
    <row r="2397" spans="1:5" x14ac:dyDescent="0.4">
      <c r="A2397" s="27">
        <v>45446</v>
      </c>
      <c r="B2397" s="21">
        <v>341.84109999999998</v>
      </c>
      <c r="C2397">
        <v>234.76</v>
      </c>
      <c r="D2397">
        <v>135.22374500000001</v>
      </c>
      <c r="E2397" s="22">
        <v>103.712723</v>
      </c>
    </row>
    <row r="2398" spans="1:5" x14ac:dyDescent="0.4">
      <c r="A2398" s="27">
        <v>45447</v>
      </c>
      <c r="B2398" s="21">
        <v>340.25529999999998</v>
      </c>
      <c r="C2398">
        <v>235.29349999999999</v>
      </c>
      <c r="D2398">
        <v>135.23876799999999</v>
      </c>
      <c r="E2398" s="22">
        <v>103.723996</v>
      </c>
    </row>
    <row r="2399" spans="1:5" x14ac:dyDescent="0.4">
      <c r="A2399" s="27">
        <v>45448</v>
      </c>
      <c r="B2399" s="21">
        <v>343.15879999999999</v>
      </c>
      <c r="C2399">
        <v>235.77869999999999</v>
      </c>
      <c r="D2399">
        <v>135.25378000000001</v>
      </c>
      <c r="E2399" s="22">
        <v>103.735265</v>
      </c>
    </row>
    <row r="2400" spans="1:5" x14ac:dyDescent="0.4">
      <c r="A2400" s="27">
        <v>45449</v>
      </c>
      <c r="B2400" s="21">
        <v>345.65780000000001</v>
      </c>
      <c r="C2400">
        <v>235.1437</v>
      </c>
      <c r="D2400">
        <v>135.26880600000001</v>
      </c>
      <c r="E2400" s="22">
        <v>103.74654</v>
      </c>
    </row>
    <row r="2401" spans="1:5" x14ac:dyDescent="0.4">
      <c r="A2401" s="27">
        <v>45450</v>
      </c>
      <c r="B2401" s="21">
        <v>345.07080000000002</v>
      </c>
      <c r="C2401">
        <v>234.19649999999999</v>
      </c>
      <c r="D2401">
        <v>135.28382099999999</v>
      </c>
      <c r="E2401" s="22">
        <v>103.757811</v>
      </c>
    </row>
    <row r="2402" spans="1:5" x14ac:dyDescent="0.4">
      <c r="A2402" s="27">
        <v>45453</v>
      </c>
      <c r="B2402" s="21">
        <v>344.21749999999997</v>
      </c>
      <c r="C2402">
        <v>233.10839999999999</v>
      </c>
      <c r="D2402">
        <v>135.32888399999999</v>
      </c>
      <c r="E2402" s="22">
        <v>103.791636</v>
      </c>
    </row>
    <row r="2403" spans="1:5" x14ac:dyDescent="0.4">
      <c r="A2403" s="27">
        <v>45454</v>
      </c>
      <c r="B2403" s="21">
        <v>341.07209999999998</v>
      </c>
      <c r="C2403">
        <v>233.4297</v>
      </c>
      <c r="D2403">
        <v>135.343906</v>
      </c>
      <c r="E2403" s="22">
        <v>103.802915</v>
      </c>
    </row>
    <row r="2404" spans="1:5" x14ac:dyDescent="0.4">
      <c r="A2404" s="27">
        <v>45455</v>
      </c>
      <c r="B2404" s="21">
        <v>344.59120000000001</v>
      </c>
      <c r="C2404">
        <v>234.74449999999999</v>
      </c>
      <c r="D2404">
        <v>135.358915</v>
      </c>
      <c r="E2404" s="22">
        <v>103.81418600000001</v>
      </c>
    </row>
    <row r="2405" spans="1:5" x14ac:dyDescent="0.4">
      <c r="A2405" s="27">
        <v>45456</v>
      </c>
      <c r="B2405" s="21">
        <v>340.25009999999997</v>
      </c>
      <c r="C2405">
        <v>234.649</v>
      </c>
      <c r="D2405">
        <v>135.373006</v>
      </c>
      <c r="E2405" s="22">
        <v>103.824746</v>
      </c>
    </row>
    <row r="2406" spans="1:5" x14ac:dyDescent="0.4">
      <c r="A2406" s="27">
        <v>45457</v>
      </c>
      <c r="B2406" s="21">
        <v>337.13720000000001</v>
      </c>
      <c r="C2406">
        <v>236.00980000000001</v>
      </c>
      <c r="D2406">
        <v>135.38709900000001</v>
      </c>
      <c r="E2406" s="22">
        <v>103.83530500000001</v>
      </c>
    </row>
    <row r="2407" spans="1:5" x14ac:dyDescent="0.4">
      <c r="A2407" s="27">
        <v>45460</v>
      </c>
      <c r="B2407" s="21">
        <v>337.32819999999998</v>
      </c>
      <c r="C2407">
        <v>235.44739999999999</v>
      </c>
      <c r="D2407">
        <v>135.42936599999999</v>
      </c>
      <c r="E2407" s="22">
        <v>103.866992</v>
      </c>
    </row>
    <row r="2408" spans="1:5" x14ac:dyDescent="0.4">
      <c r="A2408" s="27">
        <v>45461</v>
      </c>
      <c r="B2408" s="21">
        <v>339.6266</v>
      </c>
      <c r="C2408">
        <v>235.87450000000001</v>
      </c>
      <c r="D2408">
        <v>135.443465</v>
      </c>
      <c r="E2408" s="22">
        <v>103.87755799999999</v>
      </c>
    </row>
    <row r="2409" spans="1:5" x14ac:dyDescent="0.4">
      <c r="A2409" s="27">
        <v>45462</v>
      </c>
      <c r="B2409" s="21">
        <v>339.06610000000001</v>
      </c>
      <c r="C2409">
        <v>235.6097</v>
      </c>
      <c r="D2409">
        <v>135.45757800000001</v>
      </c>
      <c r="E2409" s="22">
        <v>103.888136</v>
      </c>
    </row>
    <row r="2410" spans="1:5" x14ac:dyDescent="0.4">
      <c r="A2410" s="27">
        <v>45463</v>
      </c>
      <c r="B2410" s="21">
        <v>342.25139999999999</v>
      </c>
      <c r="C2410">
        <v>235.41560000000001</v>
      </c>
      <c r="D2410">
        <v>135.47167899999999</v>
      </c>
      <c r="E2410" s="22">
        <v>103.898706</v>
      </c>
    </row>
    <row r="2411" spans="1:5" x14ac:dyDescent="0.4">
      <c r="A2411" s="27">
        <v>45464</v>
      </c>
      <c r="B2411" s="21">
        <v>339.80079999999998</v>
      </c>
      <c r="C2411">
        <v>235.5856</v>
      </c>
      <c r="D2411">
        <v>135.485782</v>
      </c>
      <c r="E2411" s="22">
        <v>103.909278</v>
      </c>
    </row>
    <row r="2412" spans="1:5" x14ac:dyDescent="0.4">
      <c r="A2412" s="27">
        <v>45467</v>
      </c>
      <c r="B2412" s="21">
        <v>342.18169999999998</v>
      </c>
      <c r="C2412">
        <v>235.6139</v>
      </c>
      <c r="D2412">
        <v>135.52810700000001</v>
      </c>
      <c r="E2412" s="22">
        <v>103.941005</v>
      </c>
    </row>
    <row r="2413" spans="1:5" x14ac:dyDescent="0.4">
      <c r="A2413" s="27">
        <v>45468</v>
      </c>
      <c r="B2413" s="21">
        <v>341.56720000000001</v>
      </c>
      <c r="C2413">
        <v>235.79750000000001</v>
      </c>
      <c r="D2413">
        <v>135.542216</v>
      </c>
      <c r="E2413" s="22">
        <v>103.951581</v>
      </c>
    </row>
    <row r="2414" spans="1:5" x14ac:dyDescent="0.4">
      <c r="A2414" s="27">
        <v>45469</v>
      </c>
      <c r="B2414" s="21">
        <v>339.73910000000001</v>
      </c>
      <c r="C2414">
        <v>235.1336</v>
      </c>
      <c r="D2414">
        <v>135.55632600000001</v>
      </c>
      <c r="E2414" s="22">
        <v>103.962158</v>
      </c>
    </row>
    <row r="2415" spans="1:5" x14ac:dyDescent="0.4">
      <c r="A2415" s="27">
        <v>45470</v>
      </c>
      <c r="B2415" s="21">
        <v>338.21050000000002</v>
      </c>
      <c r="C2415">
        <v>234.9941</v>
      </c>
      <c r="D2415">
        <v>135.570437</v>
      </c>
      <c r="E2415" s="22">
        <v>103.97273</v>
      </c>
    </row>
    <row r="2416" spans="1:5" x14ac:dyDescent="0.4">
      <c r="A2416" s="27">
        <v>45471</v>
      </c>
      <c r="B2416" s="21">
        <v>337.45600000000002</v>
      </c>
      <c r="C2416">
        <v>234.636</v>
      </c>
      <c r="D2416">
        <v>135.58455000000001</v>
      </c>
      <c r="E2416" s="22">
        <v>103.983307</v>
      </c>
    </row>
    <row r="2417" spans="1:5" x14ac:dyDescent="0.4">
      <c r="A2417" s="27">
        <v>45474</v>
      </c>
      <c r="B2417" s="21">
        <v>338.4522</v>
      </c>
      <c r="C2417">
        <v>233.79179999999999</v>
      </c>
      <c r="D2417">
        <v>135.626825</v>
      </c>
      <c r="E2417" s="22">
        <v>104.014987</v>
      </c>
    </row>
    <row r="2418" spans="1:5" x14ac:dyDescent="0.4">
      <c r="A2418" s="27">
        <v>45475</v>
      </c>
      <c r="B2418" s="21">
        <v>337.12189999999998</v>
      </c>
      <c r="C2418">
        <v>234.03620000000001</v>
      </c>
      <c r="D2418">
        <v>135.64095800000001</v>
      </c>
      <c r="E2418" s="22">
        <v>104.025576</v>
      </c>
    </row>
    <row r="2419" spans="1:5" x14ac:dyDescent="0.4">
      <c r="A2419" s="27">
        <v>45476</v>
      </c>
      <c r="B2419" s="21">
        <v>339.44990000000001</v>
      </c>
      <c r="C2419">
        <v>235.00360000000001</v>
      </c>
      <c r="D2419">
        <v>135.655078</v>
      </c>
      <c r="E2419" s="22">
        <v>104.036158</v>
      </c>
    </row>
    <row r="2420" spans="1:5" x14ac:dyDescent="0.4">
      <c r="A2420" s="27">
        <v>45477</v>
      </c>
      <c r="B2420" s="21">
        <v>341.40789999999998</v>
      </c>
      <c r="C2420">
        <v>234.63050000000001</v>
      </c>
      <c r="D2420">
        <v>135.66919999999999</v>
      </c>
      <c r="E2420" s="22">
        <v>104.046744</v>
      </c>
    </row>
    <row r="2421" spans="1:5" x14ac:dyDescent="0.4">
      <c r="A2421" s="27">
        <v>45478</v>
      </c>
      <c r="B2421" s="21">
        <v>340.6739</v>
      </c>
      <c r="C2421">
        <v>235.4699</v>
      </c>
      <c r="D2421">
        <v>135.683323</v>
      </c>
      <c r="E2421" s="22">
        <v>104.05732999999999</v>
      </c>
    </row>
    <row r="2422" spans="1:5" x14ac:dyDescent="0.4">
      <c r="A2422" s="27">
        <v>45481</v>
      </c>
      <c r="B2422" s="21">
        <v>340.4846</v>
      </c>
      <c r="C2422">
        <v>235.9059</v>
      </c>
      <c r="D2422">
        <v>135.725697</v>
      </c>
      <c r="E2422" s="22">
        <v>104.089094</v>
      </c>
    </row>
    <row r="2423" spans="1:5" x14ac:dyDescent="0.4">
      <c r="A2423" s="27">
        <v>45482</v>
      </c>
      <c r="B2423" s="21">
        <v>337.46179999999998</v>
      </c>
      <c r="C2423">
        <v>235.15790000000001</v>
      </c>
      <c r="D2423">
        <v>135.73982599999999</v>
      </c>
      <c r="E2423" s="22">
        <v>104.099682</v>
      </c>
    </row>
    <row r="2424" spans="1:5" x14ac:dyDescent="0.4">
      <c r="A2424" s="27">
        <v>45483</v>
      </c>
      <c r="B2424" s="21">
        <v>340.52940000000001</v>
      </c>
      <c r="C2424">
        <v>235.9152</v>
      </c>
      <c r="D2424">
        <v>135.75395599999999</v>
      </c>
      <c r="E2424" s="22">
        <v>104.110271</v>
      </c>
    </row>
    <row r="2425" spans="1:5" x14ac:dyDescent="0.4">
      <c r="A2425" s="27">
        <v>45484</v>
      </c>
      <c r="B2425" s="21">
        <v>342.41059999999999</v>
      </c>
      <c r="C2425">
        <v>236.9804</v>
      </c>
      <c r="D2425">
        <v>135.76808800000001</v>
      </c>
      <c r="E2425" s="22">
        <v>104.12086499999999</v>
      </c>
    </row>
    <row r="2426" spans="1:5" x14ac:dyDescent="0.4">
      <c r="A2426" s="27">
        <v>45485</v>
      </c>
      <c r="B2426" s="21">
        <v>345.4907</v>
      </c>
      <c r="C2426">
        <v>236.584</v>
      </c>
      <c r="D2426">
        <v>135.78222199999999</v>
      </c>
      <c r="E2426" s="22">
        <v>104.131456</v>
      </c>
    </row>
    <row r="2427" spans="1:5" x14ac:dyDescent="0.4">
      <c r="A2427" s="27">
        <v>45488</v>
      </c>
      <c r="B2427" s="21">
        <v>341.89859999999999</v>
      </c>
      <c r="C2427">
        <v>237.0547</v>
      </c>
      <c r="D2427">
        <v>135.824613</v>
      </c>
      <c r="E2427" s="22">
        <v>104.163225</v>
      </c>
    </row>
    <row r="2428" spans="1:5" x14ac:dyDescent="0.4">
      <c r="A2428" s="27">
        <v>45489</v>
      </c>
      <c r="B2428" s="21">
        <v>340.9332</v>
      </c>
      <c r="C2428">
        <v>237.51949999999999</v>
      </c>
      <c r="D2428">
        <v>135.838752</v>
      </c>
      <c r="E2428" s="22">
        <v>104.173818</v>
      </c>
    </row>
    <row r="2429" spans="1:5" x14ac:dyDescent="0.4">
      <c r="A2429" s="27">
        <v>45490</v>
      </c>
      <c r="B2429" s="21">
        <v>339.21769999999998</v>
      </c>
      <c r="C2429">
        <v>237.57929999999999</v>
      </c>
      <c r="D2429">
        <v>135.85289299999999</v>
      </c>
      <c r="E2429" s="22">
        <v>104.184414</v>
      </c>
    </row>
    <row r="2430" spans="1:5" x14ac:dyDescent="0.4">
      <c r="A2430" s="27">
        <v>45491</v>
      </c>
      <c r="B2430" s="21">
        <v>338.49540000000002</v>
      </c>
      <c r="C2430">
        <v>237.8708</v>
      </c>
      <c r="D2430">
        <v>135.86703499999999</v>
      </c>
      <c r="E2430" s="22">
        <v>104.19501200000001</v>
      </c>
    </row>
    <row r="2431" spans="1:5" x14ac:dyDescent="0.4">
      <c r="A2431" s="27">
        <v>45492</v>
      </c>
      <c r="B2431" s="21">
        <v>335.91829999999999</v>
      </c>
      <c r="C2431">
        <v>237.18020000000001</v>
      </c>
      <c r="D2431">
        <v>135.881179</v>
      </c>
      <c r="E2431" s="22">
        <v>104.205614</v>
      </c>
    </row>
    <row r="2432" spans="1:5" x14ac:dyDescent="0.4">
      <c r="A2432" s="27">
        <v>45495</v>
      </c>
      <c r="B2432" s="21">
        <v>339.14789999999999</v>
      </c>
      <c r="C2432">
        <v>237.06469999999999</v>
      </c>
      <c r="D2432">
        <v>135.92361500000001</v>
      </c>
      <c r="E2432" s="22">
        <v>104.23742300000001</v>
      </c>
    </row>
    <row r="2433" spans="1:5" x14ac:dyDescent="0.4">
      <c r="A2433" s="27">
        <v>45496</v>
      </c>
      <c r="B2433" s="21">
        <v>339.64769999999999</v>
      </c>
      <c r="C2433">
        <v>237.3382</v>
      </c>
      <c r="D2433">
        <v>135.93776399999999</v>
      </c>
      <c r="E2433" s="22">
        <v>104.24803199999999</v>
      </c>
    </row>
    <row r="2434" spans="1:5" x14ac:dyDescent="0.4">
      <c r="A2434" s="27">
        <v>45497</v>
      </c>
      <c r="B2434" s="21">
        <v>337.52910000000003</v>
      </c>
      <c r="C2434">
        <v>237.32409999999999</v>
      </c>
      <c r="D2434">
        <v>135.95192900000001</v>
      </c>
      <c r="E2434" s="22">
        <v>104.258645</v>
      </c>
    </row>
    <row r="2435" spans="1:5" x14ac:dyDescent="0.4">
      <c r="A2435" s="27">
        <v>45498</v>
      </c>
      <c r="B2435" s="21">
        <v>335.14940000000001</v>
      </c>
      <c r="C2435">
        <v>237.73</v>
      </c>
      <c r="D2435">
        <v>135.966095</v>
      </c>
      <c r="E2435" s="22">
        <v>104.26925900000001</v>
      </c>
    </row>
    <row r="2436" spans="1:5" x14ac:dyDescent="0.4">
      <c r="A2436" s="27">
        <v>45499</v>
      </c>
      <c r="B2436" s="21">
        <v>337.86489999999998</v>
      </c>
      <c r="C2436">
        <v>237.86449999999999</v>
      </c>
      <c r="D2436">
        <v>135.98026300000001</v>
      </c>
      <c r="E2436" s="22">
        <v>104.27987400000001</v>
      </c>
    </row>
    <row r="2437" spans="1:5" x14ac:dyDescent="0.4">
      <c r="A2437" s="27">
        <v>45502</v>
      </c>
      <c r="B2437" s="21">
        <v>337.1986</v>
      </c>
      <c r="C2437">
        <v>238.5181</v>
      </c>
      <c r="D2437">
        <v>136.02273</v>
      </c>
      <c r="E2437" s="22">
        <v>104.311706</v>
      </c>
    </row>
    <row r="2438" spans="1:5" x14ac:dyDescent="0.4">
      <c r="A2438" s="27">
        <v>45503</v>
      </c>
      <c r="B2438" s="21">
        <v>338.58429999999998</v>
      </c>
      <c r="C2438">
        <v>238.81720000000001</v>
      </c>
      <c r="D2438">
        <v>136.03689</v>
      </c>
      <c r="E2438" s="22">
        <v>104.32231899999999</v>
      </c>
    </row>
    <row r="2439" spans="1:5" x14ac:dyDescent="0.4">
      <c r="A2439" s="27">
        <v>45504</v>
      </c>
      <c r="B2439" s="21">
        <v>341.40460000000002</v>
      </c>
      <c r="C2439">
        <v>239.41460000000001</v>
      </c>
      <c r="D2439">
        <v>136.05106499999999</v>
      </c>
      <c r="E2439" s="22">
        <v>104.33293999999999</v>
      </c>
    </row>
    <row r="2440" spans="1:5" x14ac:dyDescent="0.4">
      <c r="A2440" s="27">
        <v>45505</v>
      </c>
      <c r="B2440" s="21">
        <v>337.34059999999999</v>
      </c>
      <c r="C2440">
        <v>240.15379999999999</v>
      </c>
      <c r="D2440">
        <v>136.06518700000001</v>
      </c>
      <c r="E2440" s="22">
        <v>104.34352699999999</v>
      </c>
    </row>
    <row r="2441" spans="1:5" x14ac:dyDescent="0.4">
      <c r="A2441" s="27">
        <v>45506</v>
      </c>
      <c r="B2441" s="21">
        <v>328.202</v>
      </c>
      <c r="C2441">
        <v>240.65889999999999</v>
      </c>
      <c r="D2441">
        <v>136.079351</v>
      </c>
      <c r="E2441" s="22">
        <v>104.354147</v>
      </c>
    </row>
    <row r="2442" spans="1:5" x14ac:dyDescent="0.4">
      <c r="A2442" s="27">
        <v>45509</v>
      </c>
      <c r="B2442" s="21">
        <v>321.2099</v>
      </c>
      <c r="C2442">
        <v>240.4846</v>
      </c>
      <c r="D2442">
        <v>136.12186199999999</v>
      </c>
      <c r="E2442" s="22">
        <v>104.38601</v>
      </c>
    </row>
    <row r="2443" spans="1:5" x14ac:dyDescent="0.4">
      <c r="A2443" s="27">
        <v>45510</v>
      </c>
      <c r="B2443" s="21">
        <v>322.18490000000003</v>
      </c>
      <c r="C2443">
        <v>240.58539999999999</v>
      </c>
      <c r="D2443">
        <v>136.136033</v>
      </c>
      <c r="E2443" s="22">
        <v>104.39663400000001</v>
      </c>
    </row>
    <row r="2444" spans="1:5" x14ac:dyDescent="0.4">
      <c r="A2444" s="27">
        <v>45511</v>
      </c>
      <c r="B2444" s="21">
        <v>327.07310000000001</v>
      </c>
      <c r="C2444">
        <v>239.72</v>
      </c>
      <c r="D2444">
        <v>136.150204</v>
      </c>
      <c r="E2444" s="22">
        <v>104.407256</v>
      </c>
    </row>
    <row r="2445" spans="1:5" x14ac:dyDescent="0.4">
      <c r="A2445" s="27">
        <v>45512</v>
      </c>
      <c r="B2445" s="21">
        <v>327.59620000000001</v>
      </c>
      <c r="C2445">
        <v>239.70689999999999</v>
      </c>
      <c r="D2445">
        <v>136.164378</v>
      </c>
      <c r="E2445" s="22">
        <v>104.41788</v>
      </c>
    </row>
    <row r="2446" spans="1:5" x14ac:dyDescent="0.4">
      <c r="A2446" s="27">
        <v>45513</v>
      </c>
      <c r="B2446" s="21">
        <v>329.42090000000002</v>
      </c>
      <c r="C2446">
        <v>240.36439999999999</v>
      </c>
      <c r="D2446">
        <v>136.17856599999999</v>
      </c>
      <c r="E2446" s="22">
        <v>104.42851</v>
      </c>
    </row>
    <row r="2447" spans="1:5" x14ac:dyDescent="0.4">
      <c r="A2447" s="27">
        <v>45516</v>
      </c>
      <c r="B2447" s="21">
        <v>329.22750000000002</v>
      </c>
      <c r="C2447">
        <v>240.26660000000001</v>
      </c>
      <c r="D2447">
        <v>136.22109399999999</v>
      </c>
      <c r="E2447" s="22">
        <v>104.460387</v>
      </c>
    </row>
    <row r="2448" spans="1:5" x14ac:dyDescent="0.4">
      <c r="A2448" s="27">
        <v>45517</v>
      </c>
      <c r="B2448" s="21">
        <v>330.9828</v>
      </c>
      <c r="C2448">
        <v>241.20840000000001</v>
      </c>
      <c r="D2448">
        <v>136.235275</v>
      </c>
      <c r="E2448" s="22">
        <v>104.471018</v>
      </c>
    </row>
    <row r="2449" spans="1:5" x14ac:dyDescent="0.4">
      <c r="A2449" s="27">
        <v>45518</v>
      </c>
      <c r="B2449" s="21">
        <v>332.60919999999999</v>
      </c>
      <c r="C2449">
        <v>241.2577</v>
      </c>
      <c r="D2449">
        <v>136.24945700000001</v>
      </c>
      <c r="E2449" s="22">
        <v>104.481651</v>
      </c>
    </row>
    <row r="2450" spans="1:5" x14ac:dyDescent="0.4">
      <c r="A2450" s="27">
        <v>45519</v>
      </c>
      <c r="B2450" s="21">
        <v>336.78640000000001</v>
      </c>
      <c r="C2450">
        <v>240.18049999999999</v>
      </c>
      <c r="D2450">
        <v>136.26364100000001</v>
      </c>
      <c r="E2450" s="22">
        <v>104.492279</v>
      </c>
    </row>
    <row r="2451" spans="1:5" x14ac:dyDescent="0.4">
      <c r="A2451" s="27">
        <v>45520</v>
      </c>
      <c r="B2451" s="21">
        <v>337.73790000000002</v>
      </c>
      <c r="C2451">
        <v>240.38310000000001</v>
      </c>
      <c r="D2451">
        <v>136.277826</v>
      </c>
      <c r="E2451" s="22">
        <v>104.50290800000001</v>
      </c>
    </row>
    <row r="2452" spans="1:5" x14ac:dyDescent="0.4">
      <c r="A2452" s="27">
        <v>45523</v>
      </c>
      <c r="B2452" s="21">
        <v>339.8383</v>
      </c>
      <c r="C2452">
        <v>240.3793</v>
      </c>
      <c r="D2452">
        <v>136.32039900000001</v>
      </c>
      <c r="E2452" s="22">
        <v>104.534817</v>
      </c>
    </row>
    <row r="2453" spans="1:5" x14ac:dyDescent="0.4">
      <c r="A2453" s="27">
        <v>45524</v>
      </c>
      <c r="B2453" s="21">
        <v>338.35750000000002</v>
      </c>
      <c r="C2453">
        <v>241.0429</v>
      </c>
      <c r="D2453">
        <v>136.33458999999999</v>
      </c>
      <c r="E2453" s="22">
        <v>104.545456</v>
      </c>
    </row>
    <row r="2454" spans="1:5" x14ac:dyDescent="0.4">
      <c r="A2454" s="27">
        <v>45525</v>
      </c>
      <c r="B2454" s="21">
        <v>339.42099999999999</v>
      </c>
      <c r="C2454">
        <v>241.32689999999999</v>
      </c>
      <c r="D2454">
        <v>136.348782</v>
      </c>
      <c r="E2454" s="22">
        <v>104.556096</v>
      </c>
    </row>
    <row r="2455" spans="1:5" x14ac:dyDescent="0.4">
      <c r="A2455" s="27">
        <v>45526</v>
      </c>
      <c r="B2455" s="21">
        <v>340.64519999999999</v>
      </c>
      <c r="C2455">
        <v>240.7312</v>
      </c>
      <c r="D2455">
        <v>136.362976</v>
      </c>
      <c r="E2455" s="22">
        <v>104.56673499999999</v>
      </c>
    </row>
    <row r="2456" spans="1:5" x14ac:dyDescent="0.4">
      <c r="A2456" s="27">
        <v>45527</v>
      </c>
      <c r="B2456" s="21">
        <v>342.1223</v>
      </c>
      <c r="C2456">
        <v>241.2422</v>
      </c>
      <c r="D2456">
        <v>136.377172</v>
      </c>
      <c r="E2456" s="22">
        <v>104.577378</v>
      </c>
    </row>
    <row r="2457" spans="1:5" x14ac:dyDescent="0.4">
      <c r="A2457" s="27">
        <v>45530</v>
      </c>
      <c r="B2457" s="21">
        <v>342.03829999999999</v>
      </c>
      <c r="C2457">
        <v>240.93129999999999</v>
      </c>
      <c r="D2457">
        <v>136.41977600000001</v>
      </c>
      <c r="E2457" s="22">
        <v>104.609309</v>
      </c>
    </row>
    <row r="2458" spans="1:5" x14ac:dyDescent="0.4">
      <c r="A2458" s="27">
        <v>45531</v>
      </c>
      <c r="B2458" s="21">
        <v>342.70159999999998</v>
      </c>
      <c r="C2458">
        <v>240.24459999999999</v>
      </c>
      <c r="D2458">
        <v>136.43399099999999</v>
      </c>
      <c r="E2458" s="22">
        <v>104.619958</v>
      </c>
    </row>
    <row r="2459" spans="1:5" x14ac:dyDescent="0.4">
      <c r="A2459" s="27">
        <v>45532</v>
      </c>
      <c r="B2459" s="21">
        <v>343.86529999999999</v>
      </c>
      <c r="C2459">
        <v>240.56100000000001</v>
      </c>
      <c r="D2459">
        <v>136.448207</v>
      </c>
      <c r="E2459" s="22">
        <v>104.63060900000001</v>
      </c>
    </row>
    <row r="2460" spans="1:5" x14ac:dyDescent="0.4">
      <c r="A2460" s="27">
        <v>45533</v>
      </c>
      <c r="B2460" s="21">
        <v>346.64920000000001</v>
      </c>
      <c r="C2460">
        <v>240.40469999999999</v>
      </c>
      <c r="D2460">
        <v>136.462425</v>
      </c>
      <c r="E2460" s="22">
        <v>104.64126400000001</v>
      </c>
    </row>
    <row r="2461" spans="1:5" x14ac:dyDescent="0.4">
      <c r="A2461" s="27">
        <v>45534</v>
      </c>
      <c r="B2461" s="21">
        <v>346.91239999999999</v>
      </c>
      <c r="C2461">
        <v>240.45779999999999</v>
      </c>
      <c r="D2461">
        <v>136.476631</v>
      </c>
      <c r="E2461" s="22">
        <v>104.651914</v>
      </c>
    </row>
    <row r="2462" spans="1:5" x14ac:dyDescent="0.4">
      <c r="A2462" s="27">
        <v>45537</v>
      </c>
      <c r="B2462" s="21">
        <v>346.76220000000001</v>
      </c>
      <c r="C2462">
        <v>239.84280000000001</v>
      </c>
      <c r="D2462">
        <v>136.51915700000001</v>
      </c>
      <c r="E2462" s="22">
        <v>104.683781</v>
      </c>
    </row>
    <row r="2463" spans="1:5" x14ac:dyDescent="0.4">
      <c r="A2463" s="27">
        <v>45538</v>
      </c>
      <c r="B2463" s="21">
        <v>343.43419999999998</v>
      </c>
      <c r="C2463">
        <v>240.566</v>
      </c>
      <c r="D2463">
        <v>136.53336899999999</v>
      </c>
      <c r="E2463" s="22">
        <v>104.694435</v>
      </c>
    </row>
    <row r="2464" spans="1:5" x14ac:dyDescent="0.4">
      <c r="A2464" s="27">
        <v>45539</v>
      </c>
      <c r="B2464" s="21">
        <v>339.98180000000002</v>
      </c>
      <c r="C2464">
        <v>241.50299999999999</v>
      </c>
      <c r="D2464">
        <v>136.54758200000001</v>
      </c>
      <c r="E2464" s="22">
        <v>104.705088</v>
      </c>
    </row>
    <row r="2465" spans="1:5" x14ac:dyDescent="0.4">
      <c r="A2465" s="27">
        <v>45540</v>
      </c>
      <c r="B2465" s="21">
        <v>338.04169999999999</v>
      </c>
      <c r="C2465">
        <v>241.61920000000001</v>
      </c>
      <c r="D2465">
        <v>136.56179599999999</v>
      </c>
      <c r="E2465" s="22">
        <v>104.71574200000001</v>
      </c>
    </row>
    <row r="2466" spans="1:5" x14ac:dyDescent="0.4">
      <c r="A2466" s="27">
        <v>45541</v>
      </c>
      <c r="B2466" s="21">
        <v>334.46789999999999</v>
      </c>
      <c r="C2466">
        <v>242.2944</v>
      </c>
      <c r="D2466">
        <v>136.57601199999999</v>
      </c>
      <c r="E2466" s="22">
        <v>104.726394</v>
      </c>
    </row>
    <row r="2467" spans="1:5" x14ac:dyDescent="0.4">
      <c r="A2467" s="27">
        <v>45544</v>
      </c>
      <c r="B2467" s="21">
        <v>337.2038</v>
      </c>
      <c r="C2467">
        <v>242.3135</v>
      </c>
      <c r="D2467">
        <v>136.61866499999999</v>
      </c>
      <c r="E2467" s="22">
        <v>104.75836099999999</v>
      </c>
    </row>
    <row r="2468" spans="1:5" x14ac:dyDescent="0.4">
      <c r="A2468" s="27">
        <v>45545</v>
      </c>
      <c r="B2468" s="21">
        <v>335.25740000000002</v>
      </c>
      <c r="C2468">
        <v>242.53219999999999</v>
      </c>
      <c r="D2468">
        <v>136.63288700000001</v>
      </c>
      <c r="E2468" s="22">
        <v>104.769021</v>
      </c>
    </row>
    <row r="2469" spans="1:5" x14ac:dyDescent="0.4">
      <c r="A2469" s="27">
        <v>45546</v>
      </c>
      <c r="B2469" s="21">
        <v>335.48610000000002</v>
      </c>
      <c r="C2469">
        <v>243.23679999999999</v>
      </c>
      <c r="D2469">
        <v>136.647111</v>
      </c>
      <c r="E2469" s="22">
        <v>104.779684</v>
      </c>
    </row>
    <row r="2470" spans="1:5" x14ac:dyDescent="0.4">
      <c r="A2470" s="27">
        <v>45547</v>
      </c>
      <c r="B2470" s="21">
        <v>338.12720000000002</v>
      </c>
      <c r="C2470">
        <v>242.542</v>
      </c>
      <c r="D2470">
        <v>136.66133600000001</v>
      </c>
      <c r="E2470" s="22">
        <v>104.79034799999999</v>
      </c>
    </row>
    <row r="2471" spans="1:5" x14ac:dyDescent="0.4">
      <c r="A2471" s="27">
        <v>45548</v>
      </c>
      <c r="B2471" s="21">
        <v>340.608</v>
      </c>
      <c r="C2471">
        <v>242.65190000000001</v>
      </c>
      <c r="D2471">
        <v>136.67556200000001</v>
      </c>
      <c r="E2471" s="22">
        <v>104.801013</v>
      </c>
    </row>
    <row r="2472" spans="1:5" x14ac:dyDescent="0.4">
      <c r="A2472" s="27">
        <v>45551</v>
      </c>
      <c r="B2472" s="21">
        <v>340.03440000000001</v>
      </c>
      <c r="C2472">
        <v>243.17789999999999</v>
      </c>
      <c r="D2472">
        <v>136.71824599999999</v>
      </c>
      <c r="E2472" s="22">
        <v>104.833004</v>
      </c>
    </row>
    <row r="2473" spans="1:5" x14ac:dyDescent="0.4">
      <c r="A2473" s="27">
        <v>45552</v>
      </c>
      <c r="B2473" s="21">
        <v>341.2627</v>
      </c>
      <c r="C2473">
        <v>242.90440000000001</v>
      </c>
      <c r="D2473">
        <v>136.73247799999999</v>
      </c>
      <c r="E2473" s="22">
        <v>104.84366799999999</v>
      </c>
    </row>
    <row r="2474" spans="1:5" x14ac:dyDescent="0.4">
      <c r="A2474" s="27">
        <v>45553</v>
      </c>
      <c r="B2474" s="21">
        <v>339.4649</v>
      </c>
      <c r="C2474">
        <v>242.13900000000001</v>
      </c>
      <c r="D2474">
        <v>136.746726</v>
      </c>
      <c r="E2474" s="22">
        <v>104.85434100000001</v>
      </c>
    </row>
    <row r="2475" spans="1:5" x14ac:dyDescent="0.4">
      <c r="A2475" s="27">
        <v>45554</v>
      </c>
      <c r="B2475" s="21">
        <v>344.15359999999998</v>
      </c>
      <c r="C2475">
        <v>242.24260000000001</v>
      </c>
      <c r="D2475">
        <v>136.760017</v>
      </c>
      <c r="E2475" s="22">
        <v>104.86429099999999</v>
      </c>
    </row>
    <row r="2476" spans="1:5" x14ac:dyDescent="0.4">
      <c r="A2476" s="27">
        <v>45555</v>
      </c>
      <c r="B2476" s="21">
        <v>339.25810000000001</v>
      </c>
      <c r="C2476">
        <v>241.81039999999999</v>
      </c>
      <c r="D2476">
        <v>136.77331100000001</v>
      </c>
      <c r="E2476" s="22">
        <v>104.874235</v>
      </c>
    </row>
    <row r="2477" spans="1:5" x14ac:dyDescent="0.4">
      <c r="A2477" s="27">
        <v>45558</v>
      </c>
      <c r="B2477" s="21">
        <v>340.71859999999998</v>
      </c>
      <c r="C2477">
        <v>242.52510000000001</v>
      </c>
      <c r="D2477">
        <v>136.813166</v>
      </c>
      <c r="E2477" s="22">
        <v>104.904055</v>
      </c>
    </row>
    <row r="2478" spans="1:5" x14ac:dyDescent="0.4">
      <c r="A2478" s="27">
        <v>45559</v>
      </c>
      <c r="B2478" s="21">
        <v>343.07709999999997</v>
      </c>
      <c r="C2478">
        <v>243.20060000000001</v>
      </c>
      <c r="D2478">
        <v>136.82646399999999</v>
      </c>
      <c r="E2478" s="22">
        <v>104.91400299999999</v>
      </c>
    </row>
    <row r="2479" spans="1:5" x14ac:dyDescent="0.4">
      <c r="A2479" s="27">
        <v>45560</v>
      </c>
      <c r="B2479" s="21">
        <v>342.75529999999998</v>
      </c>
      <c r="C2479">
        <v>242.48230000000001</v>
      </c>
      <c r="D2479">
        <v>136.839764</v>
      </c>
      <c r="E2479" s="22">
        <v>104.92395500000001</v>
      </c>
    </row>
    <row r="2480" spans="1:5" x14ac:dyDescent="0.4">
      <c r="A2480" s="27">
        <v>45561</v>
      </c>
      <c r="B2480" s="21">
        <v>347.02069999999998</v>
      </c>
      <c r="C2480">
        <v>242.72470000000001</v>
      </c>
      <c r="D2480">
        <v>136.85306499999999</v>
      </c>
      <c r="E2480" s="22">
        <v>104.93391099999999</v>
      </c>
    </row>
    <row r="2481" spans="1:5" x14ac:dyDescent="0.4">
      <c r="A2481" s="27">
        <v>45562</v>
      </c>
      <c r="B2481" s="21">
        <v>348.68560000000002</v>
      </c>
      <c r="C2481">
        <v>243.2141</v>
      </c>
      <c r="D2481">
        <v>136.866367</v>
      </c>
      <c r="E2481" s="22">
        <v>104.943866</v>
      </c>
    </row>
    <row r="2482" spans="1:5" x14ac:dyDescent="0.4">
      <c r="A2482" s="27">
        <v>45565</v>
      </c>
      <c r="B2482" s="21">
        <v>345.3965</v>
      </c>
      <c r="C2482">
        <v>243.4221</v>
      </c>
      <c r="D2482">
        <v>136.90629100000001</v>
      </c>
      <c r="E2482" s="22">
        <v>104.973731</v>
      </c>
    </row>
    <row r="2483" spans="1:5" x14ac:dyDescent="0.4">
      <c r="A2483" s="27">
        <v>45566</v>
      </c>
      <c r="B2483" s="21">
        <v>344.13440000000003</v>
      </c>
      <c r="C2483">
        <v>244.72749999999999</v>
      </c>
      <c r="D2483">
        <v>136.91958399999999</v>
      </c>
      <c r="E2483" s="22">
        <v>104.98367399999999</v>
      </c>
    </row>
    <row r="2484" spans="1:5" x14ac:dyDescent="0.4">
      <c r="A2484" s="27">
        <v>45567</v>
      </c>
      <c r="B2484" s="21">
        <v>344.3768</v>
      </c>
      <c r="C2484">
        <v>243.8588</v>
      </c>
      <c r="D2484">
        <v>136.93289300000001</v>
      </c>
      <c r="E2484" s="22">
        <v>104.993636</v>
      </c>
    </row>
    <row r="2485" spans="1:5" x14ac:dyDescent="0.4">
      <c r="A2485" s="27">
        <v>45568</v>
      </c>
      <c r="B2485" s="21">
        <v>341.26940000000002</v>
      </c>
      <c r="C2485">
        <v>243.4271</v>
      </c>
      <c r="D2485">
        <v>136.946189</v>
      </c>
      <c r="E2485" s="22">
        <v>105.003581</v>
      </c>
    </row>
    <row r="2486" spans="1:5" x14ac:dyDescent="0.4">
      <c r="A2486" s="27">
        <v>45569</v>
      </c>
      <c r="B2486" s="21">
        <v>342.62369999999999</v>
      </c>
      <c r="C2486">
        <v>242.54150000000001</v>
      </c>
      <c r="D2486">
        <v>136.959473</v>
      </c>
      <c r="E2486" s="22">
        <v>105.013519</v>
      </c>
    </row>
    <row r="2487" spans="1:5" x14ac:dyDescent="0.4">
      <c r="A2487" s="27">
        <v>45572</v>
      </c>
      <c r="B2487" s="21">
        <v>343.3972</v>
      </c>
      <c r="C2487">
        <v>241.95580000000001</v>
      </c>
      <c r="D2487">
        <v>136.99941000000001</v>
      </c>
      <c r="E2487" s="22">
        <v>105.043395</v>
      </c>
    </row>
    <row r="2488" spans="1:5" x14ac:dyDescent="0.4">
      <c r="A2488" s="27">
        <v>45573</v>
      </c>
      <c r="B2488" s="21">
        <v>341.54680000000002</v>
      </c>
      <c r="C2488">
        <v>242.03960000000001</v>
      </c>
      <c r="D2488">
        <v>137.01272700000001</v>
      </c>
      <c r="E2488" s="22">
        <v>105.053354</v>
      </c>
    </row>
    <row r="2489" spans="1:5" x14ac:dyDescent="0.4">
      <c r="A2489" s="27">
        <v>45574</v>
      </c>
      <c r="B2489" s="21">
        <v>343.77100000000002</v>
      </c>
      <c r="C2489">
        <v>241.96870000000001</v>
      </c>
      <c r="D2489">
        <v>137.02604400000001</v>
      </c>
      <c r="E2489" s="22">
        <v>105.063316</v>
      </c>
    </row>
    <row r="2490" spans="1:5" x14ac:dyDescent="0.4">
      <c r="A2490" s="27">
        <v>45575</v>
      </c>
      <c r="B2490" s="21">
        <v>343.2405</v>
      </c>
      <c r="C2490">
        <v>241.98599999999999</v>
      </c>
      <c r="D2490">
        <v>137.03936300000001</v>
      </c>
      <c r="E2490" s="22">
        <v>105.073283</v>
      </c>
    </row>
    <row r="2491" spans="1:5" x14ac:dyDescent="0.4">
      <c r="A2491" s="27">
        <v>45576</v>
      </c>
      <c r="B2491" s="21">
        <v>345.12240000000003</v>
      </c>
      <c r="C2491">
        <v>241.87459999999999</v>
      </c>
      <c r="D2491">
        <v>137.052684</v>
      </c>
      <c r="E2491" s="22">
        <v>105.083247</v>
      </c>
    </row>
    <row r="2492" spans="1:5" x14ac:dyDescent="0.4">
      <c r="A2492" s="27">
        <v>45579</v>
      </c>
      <c r="B2492" s="21">
        <v>347.03870000000001</v>
      </c>
      <c r="C2492">
        <v>242.047</v>
      </c>
      <c r="D2492">
        <v>137.092634</v>
      </c>
      <c r="E2492" s="22">
        <v>105.113135</v>
      </c>
    </row>
    <row r="2493" spans="1:5" x14ac:dyDescent="0.4">
      <c r="A2493" s="27">
        <v>45580</v>
      </c>
      <c r="B2493" s="21">
        <v>344.00400000000002</v>
      </c>
      <c r="C2493">
        <v>243.05</v>
      </c>
      <c r="D2493">
        <v>137.10596000000001</v>
      </c>
      <c r="E2493" s="22">
        <v>105.12309999999999</v>
      </c>
    </row>
    <row r="2494" spans="1:5" x14ac:dyDescent="0.4">
      <c r="A2494" s="27">
        <v>45581</v>
      </c>
      <c r="B2494" s="21">
        <v>343.33109999999999</v>
      </c>
      <c r="C2494">
        <v>243.70189999999999</v>
      </c>
      <c r="D2494">
        <v>137.11928700000001</v>
      </c>
      <c r="E2494" s="22">
        <v>105.133066</v>
      </c>
    </row>
    <row r="2495" spans="1:5" x14ac:dyDescent="0.4">
      <c r="A2495" s="27">
        <v>45582</v>
      </c>
      <c r="B2495" s="21">
        <v>346.27179999999998</v>
      </c>
      <c r="C2495">
        <v>243.47919999999999</v>
      </c>
      <c r="D2495">
        <v>137.13261499999999</v>
      </c>
      <c r="E2495" s="22">
        <v>105.143036</v>
      </c>
    </row>
    <row r="2496" spans="1:5" x14ac:dyDescent="0.4">
      <c r="A2496" s="27">
        <v>45583</v>
      </c>
      <c r="B2496" s="21">
        <v>347.0324</v>
      </c>
      <c r="C2496">
        <v>244.08090000000001</v>
      </c>
      <c r="D2496">
        <v>137.14594399999999</v>
      </c>
      <c r="E2496" s="22">
        <v>105.15300999999999</v>
      </c>
    </row>
    <row r="2497" spans="1:5" x14ac:dyDescent="0.4">
      <c r="A2497" s="27">
        <v>45586</v>
      </c>
      <c r="B2497" s="21">
        <v>344.80739999999997</v>
      </c>
      <c r="C2497">
        <v>242.6155</v>
      </c>
      <c r="D2497">
        <v>137.18594899999999</v>
      </c>
      <c r="E2497" s="22">
        <v>105.182935</v>
      </c>
    </row>
    <row r="2498" spans="1:5" x14ac:dyDescent="0.4">
      <c r="A2498" s="27">
        <v>45587</v>
      </c>
      <c r="B2498" s="21">
        <v>344.06369999999998</v>
      </c>
      <c r="C2498">
        <v>242.25370000000001</v>
      </c>
      <c r="D2498">
        <v>137.19928400000001</v>
      </c>
      <c r="E2498" s="22">
        <v>105.192913</v>
      </c>
    </row>
    <row r="2499" spans="1:5" x14ac:dyDescent="0.4">
      <c r="A2499" s="27">
        <v>45588</v>
      </c>
      <c r="B2499" s="21">
        <v>343.03730000000002</v>
      </c>
      <c r="C2499">
        <v>242.3229</v>
      </c>
      <c r="D2499">
        <v>137.21261999999999</v>
      </c>
      <c r="E2499" s="22">
        <v>105.202894</v>
      </c>
    </row>
    <row r="2500" spans="1:5" x14ac:dyDescent="0.4">
      <c r="A2500" s="27">
        <v>45589</v>
      </c>
      <c r="B2500" s="21">
        <v>343.1859</v>
      </c>
      <c r="C2500">
        <v>243.44649999999999</v>
      </c>
      <c r="D2500">
        <v>137.22501</v>
      </c>
      <c r="E2500" s="22">
        <v>105.212146</v>
      </c>
    </row>
    <row r="2501" spans="1:5" x14ac:dyDescent="0.4">
      <c r="A2501" s="27">
        <v>45590</v>
      </c>
      <c r="B2501" s="21">
        <v>343.08909999999997</v>
      </c>
      <c r="C2501">
        <v>242.85249999999999</v>
      </c>
      <c r="D2501">
        <v>137.23740100000001</v>
      </c>
      <c r="E2501" s="22">
        <v>105.22139900000001</v>
      </c>
    </row>
    <row r="2502" spans="1:5" x14ac:dyDescent="0.4">
      <c r="A2502" s="27">
        <v>45593</v>
      </c>
      <c r="B2502" s="21">
        <v>344.43009999999998</v>
      </c>
      <c r="C2502">
        <v>242.97020000000001</v>
      </c>
      <c r="D2502">
        <v>137.27457899999999</v>
      </c>
      <c r="E2502" s="22">
        <v>105.24916</v>
      </c>
    </row>
    <row r="2503" spans="1:5" x14ac:dyDescent="0.4">
      <c r="A2503" s="27">
        <v>45594</v>
      </c>
      <c r="B2503" s="21">
        <v>342.45510000000002</v>
      </c>
      <c r="C2503">
        <v>242.36340000000001</v>
      </c>
      <c r="D2503">
        <v>137.28697500000001</v>
      </c>
      <c r="E2503" s="22">
        <v>105.25841</v>
      </c>
    </row>
    <row r="2504" spans="1:5" x14ac:dyDescent="0.4">
      <c r="A2504" s="27">
        <v>45595</v>
      </c>
      <c r="B2504" s="21">
        <v>338.09809999999999</v>
      </c>
      <c r="C2504">
        <v>241.65520000000001</v>
      </c>
      <c r="D2504">
        <v>137.29937200000001</v>
      </c>
      <c r="E2504" s="22">
        <v>105.267661</v>
      </c>
    </row>
    <row r="2505" spans="1:5" x14ac:dyDescent="0.4">
      <c r="A2505" s="27">
        <v>45596</v>
      </c>
      <c r="B2505" s="21">
        <v>334.14789999999999</v>
      </c>
      <c r="C2505">
        <v>241.6026</v>
      </c>
      <c r="D2505">
        <v>137.31177</v>
      </c>
      <c r="E2505" s="22">
        <v>105.276916</v>
      </c>
    </row>
    <row r="2506" spans="1:5" x14ac:dyDescent="0.4">
      <c r="A2506" s="27">
        <v>45597</v>
      </c>
      <c r="B2506" s="21">
        <v>337.80700000000002</v>
      </c>
      <c r="C2506">
        <v>241.39089999999999</v>
      </c>
      <c r="D2506">
        <v>137.324128</v>
      </c>
      <c r="E2506" s="22">
        <v>105.286143</v>
      </c>
    </row>
    <row r="2507" spans="1:5" x14ac:dyDescent="0.4">
      <c r="A2507" s="27">
        <v>45600</v>
      </c>
      <c r="B2507" s="21">
        <v>336.6277</v>
      </c>
      <c r="C2507">
        <v>241.72620000000001</v>
      </c>
      <c r="D2507">
        <v>137.36130199999999</v>
      </c>
      <c r="E2507" s="22">
        <v>105.313894</v>
      </c>
    </row>
    <row r="2508" spans="1:5" x14ac:dyDescent="0.4">
      <c r="A2508" s="27">
        <v>45601</v>
      </c>
      <c r="B2508" s="21">
        <v>336.85550000000001</v>
      </c>
      <c r="C2508">
        <v>241.32749999999999</v>
      </c>
      <c r="D2508">
        <v>137.37369200000001</v>
      </c>
      <c r="E2508" s="22">
        <v>105.32314700000001</v>
      </c>
    </row>
    <row r="2509" spans="1:5" x14ac:dyDescent="0.4">
      <c r="A2509" s="27">
        <v>45602</v>
      </c>
      <c r="B2509" s="21">
        <v>334.9314</v>
      </c>
      <c r="C2509">
        <v>241.59370000000001</v>
      </c>
      <c r="D2509">
        <v>137.38608300000001</v>
      </c>
      <c r="E2509" s="22">
        <v>105.332401</v>
      </c>
    </row>
    <row r="2510" spans="1:5" x14ac:dyDescent="0.4">
      <c r="A2510" s="27">
        <v>45603</v>
      </c>
      <c r="B2510" s="21">
        <v>336.93520000000001</v>
      </c>
      <c r="C2510">
        <v>241.30840000000001</v>
      </c>
      <c r="D2510">
        <v>137.39847499999999</v>
      </c>
      <c r="E2510" s="22">
        <v>105.34165299999999</v>
      </c>
    </row>
    <row r="2511" spans="1:5" x14ac:dyDescent="0.4">
      <c r="A2511" s="27">
        <v>45604</v>
      </c>
      <c r="B2511" s="21">
        <v>334.75940000000003</v>
      </c>
      <c r="C2511">
        <v>242.15610000000001</v>
      </c>
      <c r="D2511">
        <v>137.41086799999999</v>
      </c>
      <c r="E2511" s="22">
        <v>105.350908</v>
      </c>
    </row>
    <row r="2512" spans="1:5" x14ac:dyDescent="0.4">
      <c r="A2512" s="27">
        <v>45607</v>
      </c>
      <c r="B2512" s="21">
        <v>338.55470000000003</v>
      </c>
      <c r="C2512">
        <v>242.95650000000001</v>
      </c>
      <c r="D2512">
        <v>137.44806500000001</v>
      </c>
      <c r="E2512" s="22">
        <v>105.378677</v>
      </c>
    </row>
    <row r="2513" spans="1:5" x14ac:dyDescent="0.4">
      <c r="A2513" s="27">
        <v>45608</v>
      </c>
      <c r="B2513" s="21">
        <v>331.8605</v>
      </c>
      <c r="C2513">
        <v>242.74860000000001</v>
      </c>
      <c r="D2513">
        <v>137.460463</v>
      </c>
      <c r="E2513" s="22">
        <v>105.387933</v>
      </c>
    </row>
    <row r="2514" spans="1:5" x14ac:dyDescent="0.4">
      <c r="A2514" s="27">
        <v>45609</v>
      </c>
      <c r="B2514" s="21">
        <v>331.55419999999998</v>
      </c>
      <c r="C2514">
        <v>242.39400000000001</v>
      </c>
      <c r="D2514">
        <v>137.47286199999999</v>
      </c>
      <c r="E2514" s="22">
        <v>105.397192</v>
      </c>
    </row>
    <row r="2515" spans="1:5" x14ac:dyDescent="0.4">
      <c r="A2515" s="27">
        <v>45610</v>
      </c>
      <c r="B2515" s="21">
        <v>335.17880000000002</v>
      </c>
      <c r="C2515">
        <v>243.0368</v>
      </c>
      <c r="D2515">
        <v>137.485276</v>
      </c>
      <c r="E2515" s="22">
        <v>105.40645499999999</v>
      </c>
    </row>
    <row r="2516" spans="1:5" x14ac:dyDescent="0.4">
      <c r="A2516" s="27">
        <v>45611</v>
      </c>
      <c r="B2516" s="21">
        <v>332.59300000000002</v>
      </c>
      <c r="C2516">
        <v>243.17920000000001</v>
      </c>
      <c r="D2516">
        <v>137.497691</v>
      </c>
      <c r="E2516" s="22">
        <v>105.415722</v>
      </c>
    </row>
    <row r="2517" spans="1:5" x14ac:dyDescent="0.4">
      <c r="A2517" s="27">
        <v>45614</v>
      </c>
      <c r="B2517" s="21">
        <v>332.64510000000001</v>
      </c>
      <c r="C2517">
        <v>242.8409</v>
      </c>
      <c r="D2517">
        <v>137.53492499999999</v>
      </c>
      <c r="E2517" s="22">
        <v>105.44352600000001</v>
      </c>
    </row>
    <row r="2518" spans="1:5" x14ac:dyDescent="0.4">
      <c r="A2518" s="27">
        <v>45615</v>
      </c>
      <c r="B2518" s="21">
        <v>331.26319999999998</v>
      </c>
      <c r="C2518">
        <v>243.18469999999999</v>
      </c>
      <c r="D2518">
        <v>137.54734500000001</v>
      </c>
      <c r="E2518" s="22">
        <v>105.45279600000001</v>
      </c>
    </row>
    <row r="2519" spans="1:5" x14ac:dyDescent="0.4">
      <c r="A2519" s="27">
        <v>45616</v>
      </c>
      <c r="B2519" s="21">
        <v>331.25360000000001</v>
      </c>
      <c r="C2519">
        <v>242.82499999999999</v>
      </c>
      <c r="D2519">
        <v>137.559765</v>
      </c>
      <c r="E2519" s="22">
        <v>105.46207</v>
      </c>
    </row>
    <row r="2520" spans="1:5" x14ac:dyDescent="0.4">
      <c r="A2520" s="27">
        <v>45617</v>
      </c>
      <c r="B2520" s="21">
        <v>332.66559999999998</v>
      </c>
      <c r="C2520">
        <v>243.10890000000001</v>
      </c>
      <c r="D2520">
        <v>137.57218700000001</v>
      </c>
      <c r="E2520" s="22">
        <v>105.47134800000001</v>
      </c>
    </row>
    <row r="2521" spans="1:5" x14ac:dyDescent="0.4">
      <c r="A2521" s="27">
        <v>45618</v>
      </c>
      <c r="B2521" s="21">
        <v>336.6155</v>
      </c>
      <c r="C2521">
        <v>243.8587</v>
      </c>
      <c r="D2521">
        <v>137.58461</v>
      </c>
      <c r="E2521" s="22">
        <v>105.480626</v>
      </c>
    </row>
    <row r="2522" spans="1:5" x14ac:dyDescent="0.4">
      <c r="A2522" s="27">
        <v>45621</v>
      </c>
      <c r="B2522" s="21">
        <v>336.70780000000002</v>
      </c>
      <c r="C2522">
        <v>244.4881</v>
      </c>
      <c r="D2522">
        <v>137.62190899999999</v>
      </c>
      <c r="E2522" s="22">
        <v>105.508473</v>
      </c>
    </row>
    <row r="2523" spans="1:5" x14ac:dyDescent="0.4">
      <c r="A2523" s="27">
        <v>45622</v>
      </c>
      <c r="B2523" s="21">
        <v>334.86660000000001</v>
      </c>
      <c r="C2523">
        <v>244.38409999999999</v>
      </c>
      <c r="D2523">
        <v>137.63433599999999</v>
      </c>
      <c r="E2523" s="22">
        <v>105.51775499999999</v>
      </c>
    </row>
    <row r="2524" spans="1:5" x14ac:dyDescent="0.4">
      <c r="A2524" s="27">
        <v>45623</v>
      </c>
      <c r="B2524" s="21">
        <v>334.14479999999998</v>
      </c>
      <c r="C2524">
        <v>244.8485</v>
      </c>
      <c r="D2524">
        <v>137.64676399999999</v>
      </c>
      <c r="E2524" s="22">
        <v>105.52703200000001</v>
      </c>
    </row>
    <row r="2525" spans="1:5" x14ac:dyDescent="0.4">
      <c r="A2525" s="27">
        <v>45624</v>
      </c>
      <c r="B2525" s="21">
        <v>335.69369999999998</v>
      </c>
      <c r="C2525">
        <v>245.6095</v>
      </c>
      <c r="D2525">
        <v>137.65919400000001</v>
      </c>
      <c r="E2525" s="22">
        <v>105.536309</v>
      </c>
    </row>
    <row r="2526" spans="1:5" x14ac:dyDescent="0.4">
      <c r="A2526" s="27">
        <v>45625</v>
      </c>
      <c r="B2526" s="21">
        <v>337.67930000000001</v>
      </c>
      <c r="C2526">
        <v>246.33070000000001</v>
      </c>
      <c r="D2526">
        <v>137.67162500000001</v>
      </c>
      <c r="E2526" s="22">
        <v>105.545585</v>
      </c>
    </row>
    <row r="2527" spans="1:5" x14ac:dyDescent="0.4">
      <c r="A2527" s="27">
        <v>45628</v>
      </c>
      <c r="B2527" s="21">
        <v>340.08089999999999</v>
      </c>
      <c r="C2527">
        <v>246.93049999999999</v>
      </c>
      <c r="D2527">
        <v>137.70889199999999</v>
      </c>
      <c r="E2527" s="22">
        <v>105.57340499999999</v>
      </c>
    </row>
    <row r="2528" spans="1:5" x14ac:dyDescent="0.4">
      <c r="A2528" s="27">
        <v>45629</v>
      </c>
      <c r="B2528" s="21">
        <v>341.44069999999999</v>
      </c>
      <c r="C2528">
        <v>246.9151</v>
      </c>
      <c r="D2528">
        <v>137.721327</v>
      </c>
      <c r="E2528" s="22">
        <v>105.58268700000001</v>
      </c>
    </row>
    <row r="2529" spans="1:5" x14ac:dyDescent="0.4">
      <c r="A2529" s="27">
        <v>45630</v>
      </c>
      <c r="B2529" s="21">
        <v>342.61619999999999</v>
      </c>
      <c r="C2529">
        <v>247.0171</v>
      </c>
      <c r="D2529">
        <v>137.73376400000001</v>
      </c>
      <c r="E2529" s="22">
        <v>105.591966</v>
      </c>
    </row>
    <row r="2530" spans="1:5" x14ac:dyDescent="0.4">
      <c r="A2530" s="27">
        <v>45631</v>
      </c>
      <c r="B2530" s="21">
        <v>343.86590000000001</v>
      </c>
      <c r="C2530">
        <v>246.80350000000001</v>
      </c>
      <c r="D2530">
        <v>137.74620100000001</v>
      </c>
      <c r="E2530" s="22">
        <v>105.601249</v>
      </c>
    </row>
    <row r="2531" spans="1:5" x14ac:dyDescent="0.4">
      <c r="A2531" s="27">
        <v>45632</v>
      </c>
      <c r="B2531" s="21">
        <v>344.49009999999998</v>
      </c>
      <c r="C2531">
        <v>246.87979999999999</v>
      </c>
      <c r="D2531">
        <v>137.75863899999999</v>
      </c>
      <c r="E2531" s="22">
        <v>105.610533</v>
      </c>
    </row>
    <row r="2532" spans="1:5" x14ac:dyDescent="0.4">
      <c r="A2532" s="27">
        <v>45635</v>
      </c>
      <c r="B2532" s="21">
        <v>344.92399999999998</v>
      </c>
      <c r="C2532">
        <v>247.00389999999999</v>
      </c>
      <c r="D2532">
        <v>137.79594399999999</v>
      </c>
      <c r="E2532" s="22">
        <v>105.63838800000001</v>
      </c>
    </row>
    <row r="2533" spans="1:5" x14ac:dyDescent="0.4">
      <c r="A2533" s="27">
        <v>45636</v>
      </c>
      <c r="B2533" s="21">
        <v>343.05540000000002</v>
      </c>
      <c r="C2533">
        <v>246.9838</v>
      </c>
      <c r="D2533">
        <v>137.80838700000001</v>
      </c>
      <c r="E2533" s="22">
        <v>105.647673</v>
      </c>
    </row>
    <row r="2534" spans="1:5" x14ac:dyDescent="0.4">
      <c r="A2534" s="27">
        <v>45637</v>
      </c>
      <c r="B2534" s="21">
        <v>344.07420000000002</v>
      </c>
      <c r="C2534">
        <v>246.9016</v>
      </c>
      <c r="D2534">
        <v>137.820818</v>
      </c>
      <c r="E2534" s="22">
        <v>105.656955</v>
      </c>
    </row>
    <row r="2535" spans="1:5" x14ac:dyDescent="0.4">
      <c r="A2535" s="27">
        <v>45638</v>
      </c>
      <c r="B2535" s="21">
        <v>343.69889999999998</v>
      </c>
      <c r="C2535">
        <v>246.04239999999999</v>
      </c>
      <c r="D2535">
        <v>137.83326299999999</v>
      </c>
      <c r="E2535" s="22">
        <v>105.666241</v>
      </c>
    </row>
    <row r="2536" spans="1:5" x14ac:dyDescent="0.4">
      <c r="A2536" s="27">
        <v>45639</v>
      </c>
      <c r="B2536" s="21">
        <v>341.86439999999999</v>
      </c>
      <c r="C2536">
        <v>245.1276</v>
      </c>
      <c r="D2536">
        <v>137.845709</v>
      </c>
      <c r="E2536" s="22">
        <v>105.675528</v>
      </c>
    </row>
    <row r="2537" spans="1:5" x14ac:dyDescent="0.4">
      <c r="A2537" s="27">
        <v>45642</v>
      </c>
      <c r="B2537" s="21">
        <v>341.52600000000001</v>
      </c>
      <c r="C2537">
        <v>245.18969999999999</v>
      </c>
      <c r="D2537">
        <v>137.88306499999999</v>
      </c>
      <c r="E2537" s="22">
        <v>105.703418</v>
      </c>
    </row>
    <row r="2538" spans="1:5" x14ac:dyDescent="0.4">
      <c r="A2538" s="27">
        <v>45643</v>
      </c>
      <c r="B2538" s="21">
        <v>340.21379999999999</v>
      </c>
      <c r="C2538">
        <v>245.2713</v>
      </c>
      <c r="D2538">
        <v>137.89551599999999</v>
      </c>
      <c r="E2538" s="22">
        <v>105.712711</v>
      </c>
    </row>
    <row r="2539" spans="1:5" x14ac:dyDescent="0.4">
      <c r="A2539" s="27">
        <v>45644</v>
      </c>
      <c r="B2539" s="21">
        <v>340.447</v>
      </c>
      <c r="C2539">
        <v>244.99969999999999</v>
      </c>
      <c r="D2539">
        <v>137.90796800000001</v>
      </c>
      <c r="E2539" s="22">
        <v>105.722002</v>
      </c>
    </row>
    <row r="2540" spans="1:5" x14ac:dyDescent="0.4">
      <c r="A2540" s="27">
        <v>45645</v>
      </c>
      <c r="B2540" s="21">
        <v>335.44959999999998</v>
      </c>
      <c r="C2540">
        <v>244.15049999999999</v>
      </c>
      <c r="D2540">
        <v>137.91946999999999</v>
      </c>
      <c r="E2540" s="22">
        <v>105.73056800000001</v>
      </c>
    </row>
    <row r="2541" spans="1:5" x14ac:dyDescent="0.4">
      <c r="A2541" s="27">
        <v>45646</v>
      </c>
      <c r="B2541" s="21">
        <v>332.346</v>
      </c>
      <c r="C2541">
        <v>244.4538</v>
      </c>
      <c r="D2541">
        <v>137.930972</v>
      </c>
      <c r="E2541" s="22">
        <v>105.739141</v>
      </c>
    </row>
    <row r="2542" spans="1:5" x14ac:dyDescent="0.4">
      <c r="A2542" s="27">
        <v>45649</v>
      </c>
      <c r="B2542" s="21">
        <v>332.90570000000002</v>
      </c>
      <c r="C2542">
        <v>243.93299999999999</v>
      </c>
      <c r="D2542">
        <v>137.96546900000001</v>
      </c>
      <c r="E2542" s="22">
        <v>105.764836</v>
      </c>
    </row>
    <row r="2543" spans="1:5" x14ac:dyDescent="0.4">
      <c r="A2543" s="27">
        <v>45650</v>
      </c>
      <c r="B2543" s="21">
        <v>333.512</v>
      </c>
      <c r="C2543">
        <v>243.93299999999999</v>
      </c>
      <c r="D2543">
        <v>137.97694799999999</v>
      </c>
      <c r="E2543" s="22">
        <v>105.773388</v>
      </c>
    </row>
    <row r="2544" spans="1:5" x14ac:dyDescent="0.4">
      <c r="A2544" s="27">
        <v>45651</v>
      </c>
      <c r="B2544" s="21">
        <v>333.512</v>
      </c>
      <c r="C2544">
        <v>243.93299999999999</v>
      </c>
      <c r="D2544">
        <v>138.01137299999999</v>
      </c>
      <c r="E2544" s="22">
        <v>105.799029</v>
      </c>
    </row>
    <row r="2545" spans="1:5" x14ac:dyDescent="0.4">
      <c r="A2545" s="27">
        <v>45652</v>
      </c>
      <c r="B2545" s="21">
        <v>333.16300000000001</v>
      </c>
      <c r="C2545">
        <v>243.93299999999999</v>
      </c>
      <c r="D2545">
        <v>138.01137299999999</v>
      </c>
      <c r="E2545" s="22">
        <v>105.799029</v>
      </c>
    </row>
    <row r="2546" spans="1:5" x14ac:dyDescent="0.4">
      <c r="A2546" s="27">
        <v>45653</v>
      </c>
      <c r="B2546" s="21">
        <v>335.71449999999999</v>
      </c>
      <c r="C2546">
        <v>243.2784</v>
      </c>
      <c r="D2546">
        <v>138.01137299999999</v>
      </c>
      <c r="E2546" s="22">
        <v>105.799029</v>
      </c>
    </row>
    <row r="2547" spans="1:5" x14ac:dyDescent="0.4">
      <c r="A2547" s="27">
        <v>45656</v>
      </c>
      <c r="B2547" s="21">
        <v>334.18459999999999</v>
      </c>
      <c r="C2547">
        <v>243.76320000000001</v>
      </c>
      <c r="D2547">
        <v>138.04588899999999</v>
      </c>
      <c r="E2547" s="22">
        <v>105.824738</v>
      </c>
    </row>
    <row r="2548" spans="1:5" x14ac:dyDescent="0.4">
      <c r="A2548" s="27">
        <v>45657</v>
      </c>
      <c r="B2548" s="21">
        <v>336.01049999999998</v>
      </c>
      <c r="C2548">
        <v>243.76320000000001</v>
      </c>
      <c r="D2548">
        <v>138.057389</v>
      </c>
      <c r="E2548" s="22">
        <v>105.833307</v>
      </c>
    </row>
    <row r="2549" spans="1:5" x14ac:dyDescent="0.4">
      <c r="A2549" s="27">
        <v>45659</v>
      </c>
      <c r="B2549" s="21">
        <v>338.10719999999998</v>
      </c>
      <c r="C2549">
        <v>243.50829999999999</v>
      </c>
      <c r="D2549">
        <v>138.08032</v>
      </c>
      <c r="E2549" s="22">
        <v>105.850387</v>
      </c>
    </row>
    <row r="2550" spans="1:5" x14ac:dyDescent="0.4">
      <c r="A2550" s="27">
        <v>45660</v>
      </c>
      <c r="B2550" s="21">
        <v>336.47559999999999</v>
      </c>
      <c r="C2550">
        <v>242.5504</v>
      </c>
      <c r="D2550">
        <v>138.09184999999999</v>
      </c>
      <c r="E2550" s="22">
        <v>105.85897300000001</v>
      </c>
    </row>
    <row r="2551" spans="1:5" x14ac:dyDescent="0.4">
      <c r="A2551" s="27">
        <v>45663</v>
      </c>
      <c r="B2551" s="21">
        <v>339.70069999999998</v>
      </c>
      <c r="C2551">
        <v>242.37129999999999</v>
      </c>
      <c r="D2551">
        <v>138.12641400000001</v>
      </c>
      <c r="E2551" s="22">
        <v>105.88472299999999</v>
      </c>
    </row>
    <row r="2552" spans="1:5" x14ac:dyDescent="0.4">
      <c r="A2552" s="27">
        <v>45664</v>
      </c>
      <c r="B2552" s="21">
        <v>340.87189999999998</v>
      </c>
      <c r="C2552">
        <v>242.00720000000001</v>
      </c>
      <c r="D2552">
        <v>138.137934</v>
      </c>
      <c r="E2552" s="22">
        <v>105.893303</v>
      </c>
    </row>
    <row r="2553" spans="1:5" x14ac:dyDescent="0.4">
      <c r="A2553" s="27">
        <v>45665</v>
      </c>
      <c r="B2553" s="21">
        <v>340.51859999999999</v>
      </c>
      <c r="C2553">
        <v>241.63720000000001</v>
      </c>
      <c r="D2553">
        <v>138.14945499999999</v>
      </c>
      <c r="E2553" s="22">
        <v>105.901886</v>
      </c>
    </row>
    <row r="2554" spans="1:5" x14ac:dyDescent="0.4">
      <c r="A2554" s="27">
        <v>45666</v>
      </c>
      <c r="B2554" s="21">
        <v>342.03429999999997</v>
      </c>
      <c r="C2554">
        <v>241.1994</v>
      </c>
      <c r="D2554">
        <v>138.16097600000001</v>
      </c>
      <c r="E2554" s="22">
        <v>105.910467</v>
      </c>
    </row>
    <row r="2555" spans="1:5" x14ac:dyDescent="0.4">
      <c r="A2555" s="27">
        <v>45667</v>
      </c>
      <c r="B2555" s="21">
        <v>339.15649999999999</v>
      </c>
      <c r="C2555">
        <v>240.66370000000001</v>
      </c>
      <c r="D2555">
        <v>138.17251300000001</v>
      </c>
      <c r="E2555" s="22">
        <v>105.91905800000001</v>
      </c>
    </row>
    <row r="2556" spans="1:5" x14ac:dyDescent="0.4">
      <c r="A2556" s="27">
        <v>45670</v>
      </c>
      <c r="B2556" s="21">
        <v>337.40179999999998</v>
      </c>
      <c r="C2556">
        <v>240.27</v>
      </c>
      <c r="D2556">
        <v>138.20708300000001</v>
      </c>
      <c r="E2556" s="22">
        <v>105.944805</v>
      </c>
    </row>
    <row r="2557" spans="1:5" x14ac:dyDescent="0.4">
      <c r="A2557" s="27">
        <v>45671</v>
      </c>
      <c r="B2557" s="21">
        <v>337.12900000000002</v>
      </c>
      <c r="C2557">
        <v>239.9092</v>
      </c>
      <c r="D2557">
        <v>138.21861000000001</v>
      </c>
      <c r="E2557" s="22">
        <v>105.95339199999999</v>
      </c>
    </row>
    <row r="2558" spans="1:5" x14ac:dyDescent="0.4">
      <c r="A2558" s="27">
        <v>45672</v>
      </c>
      <c r="B2558" s="21">
        <v>341.44409999999999</v>
      </c>
      <c r="C2558">
        <v>241.44450000000001</v>
      </c>
      <c r="D2558">
        <v>138.23013700000001</v>
      </c>
      <c r="E2558" s="22">
        <v>105.961983</v>
      </c>
    </row>
    <row r="2559" spans="1:5" x14ac:dyDescent="0.4">
      <c r="A2559" s="27">
        <v>45673</v>
      </c>
      <c r="B2559" s="21">
        <v>344.88780000000003</v>
      </c>
      <c r="C2559">
        <v>241.62379999999999</v>
      </c>
      <c r="D2559">
        <v>138.24168</v>
      </c>
      <c r="E2559" s="22">
        <v>105.970578</v>
      </c>
    </row>
    <row r="2560" spans="1:5" x14ac:dyDescent="0.4">
      <c r="A2560" s="27">
        <v>45674</v>
      </c>
      <c r="B2560" s="21">
        <v>347.14839999999998</v>
      </c>
      <c r="C2560">
        <v>242.09119999999999</v>
      </c>
      <c r="D2560">
        <v>138.25322299999999</v>
      </c>
      <c r="E2560" s="22">
        <v>105.979173</v>
      </c>
    </row>
    <row r="2561" spans="1:5" x14ac:dyDescent="0.4">
      <c r="A2561" s="27">
        <v>45677</v>
      </c>
      <c r="B2561" s="21">
        <v>347.31709999999998</v>
      </c>
      <c r="C2561">
        <v>242.26259999999999</v>
      </c>
      <c r="D2561">
        <v>138.28784099999999</v>
      </c>
      <c r="E2561" s="22">
        <v>106.00496200000001</v>
      </c>
    </row>
    <row r="2562" spans="1:5" x14ac:dyDescent="0.4">
      <c r="A2562" s="27">
        <v>45678</v>
      </c>
      <c r="B2562" s="21">
        <v>348.63549999999998</v>
      </c>
      <c r="C2562">
        <v>242.47720000000001</v>
      </c>
      <c r="D2562">
        <v>138.299375</v>
      </c>
      <c r="E2562" s="22">
        <v>106.01355700000001</v>
      </c>
    </row>
    <row r="2563" spans="1:5" x14ac:dyDescent="0.4">
      <c r="A2563" s="27">
        <v>45679</v>
      </c>
      <c r="B2563" s="21">
        <v>349.9948</v>
      </c>
      <c r="C2563">
        <v>242.5154</v>
      </c>
      <c r="D2563">
        <v>138.310923</v>
      </c>
      <c r="E2563" s="22">
        <v>106.022159</v>
      </c>
    </row>
    <row r="2564" spans="1:5" x14ac:dyDescent="0.4">
      <c r="A2564" s="27">
        <v>45680</v>
      </c>
      <c r="B2564" s="21">
        <v>351.50240000000002</v>
      </c>
      <c r="C2564">
        <v>242.04759999999999</v>
      </c>
      <c r="D2564">
        <v>138.322472</v>
      </c>
      <c r="E2564" s="22">
        <v>106.03075800000001</v>
      </c>
    </row>
    <row r="2565" spans="1:5" x14ac:dyDescent="0.4">
      <c r="A2565" s="27">
        <v>45681</v>
      </c>
      <c r="B2565" s="21">
        <v>351.41950000000003</v>
      </c>
      <c r="C2565">
        <v>241.74639999999999</v>
      </c>
      <c r="D2565">
        <v>138.33402100000001</v>
      </c>
      <c r="E2565" s="22">
        <v>106.03936400000001</v>
      </c>
    </row>
    <row r="2566" spans="1:5" x14ac:dyDescent="0.4">
      <c r="A2566" s="27">
        <v>45684</v>
      </c>
      <c r="B2566" s="21">
        <v>351.27269999999999</v>
      </c>
      <c r="C2566">
        <v>242.19370000000001</v>
      </c>
      <c r="D2566">
        <v>138.368674</v>
      </c>
      <c r="E2566" s="22">
        <v>106.06517599999999</v>
      </c>
    </row>
    <row r="2567" spans="1:5" x14ac:dyDescent="0.4">
      <c r="A2567" s="27">
        <v>45685</v>
      </c>
      <c r="B2567" s="21">
        <v>352.52359999999999</v>
      </c>
      <c r="C2567">
        <v>242.0504</v>
      </c>
      <c r="D2567">
        <v>138.38022799999999</v>
      </c>
      <c r="E2567" s="22">
        <v>106.07378199999999</v>
      </c>
    </row>
    <row r="2568" spans="1:5" x14ac:dyDescent="0.4">
      <c r="A2568" s="27">
        <v>45686</v>
      </c>
      <c r="B2568" s="21">
        <v>354.4024</v>
      </c>
      <c r="C2568">
        <v>241.94049999999999</v>
      </c>
      <c r="D2568">
        <v>138.391783</v>
      </c>
      <c r="E2568" s="22">
        <v>106.08238900000001</v>
      </c>
    </row>
    <row r="2569" spans="1:5" x14ac:dyDescent="0.4">
      <c r="A2569" s="27">
        <v>45687</v>
      </c>
      <c r="B2569" s="21">
        <v>357.3218</v>
      </c>
      <c r="C2569">
        <v>242.75739999999999</v>
      </c>
      <c r="D2569">
        <v>138.40335200000001</v>
      </c>
      <c r="E2569" s="22">
        <v>106.091002</v>
      </c>
    </row>
    <row r="2570" spans="1:5" x14ac:dyDescent="0.4">
      <c r="A2570" s="27">
        <v>45688</v>
      </c>
      <c r="B2570" s="21">
        <v>357.74669999999998</v>
      </c>
      <c r="C2570">
        <v>243.7002</v>
      </c>
      <c r="D2570">
        <v>138.41492299999999</v>
      </c>
      <c r="E2570" s="22">
        <v>106.099616</v>
      </c>
    </row>
    <row r="2571" spans="1:5" x14ac:dyDescent="0.4">
      <c r="A2571" s="27">
        <v>45691</v>
      </c>
      <c r="B2571" s="21">
        <v>354.71980000000002</v>
      </c>
      <c r="C2571">
        <v>244.8133</v>
      </c>
      <c r="D2571">
        <v>138.44948500000001</v>
      </c>
      <c r="E2571" s="22">
        <v>106.12536299999999</v>
      </c>
    </row>
    <row r="2572" spans="1:5" x14ac:dyDescent="0.4">
      <c r="A2572" s="27">
        <v>45692</v>
      </c>
      <c r="B2572" s="21">
        <v>355.81909999999999</v>
      </c>
      <c r="C2572">
        <v>244.69540000000001</v>
      </c>
      <c r="D2572">
        <v>138.46103199999999</v>
      </c>
      <c r="E2572" s="22">
        <v>106.133965</v>
      </c>
    </row>
    <row r="2573" spans="1:5" x14ac:dyDescent="0.4">
      <c r="A2573" s="27">
        <v>45693</v>
      </c>
      <c r="B2573" s="21">
        <v>357.5206</v>
      </c>
      <c r="C2573">
        <v>245.38390000000001</v>
      </c>
      <c r="D2573">
        <v>138.472579</v>
      </c>
      <c r="E2573" s="22">
        <v>106.142565</v>
      </c>
    </row>
    <row r="2574" spans="1:5" x14ac:dyDescent="0.4">
      <c r="A2574" s="27">
        <v>45694</v>
      </c>
      <c r="B2574" s="21">
        <v>361.67059999999998</v>
      </c>
      <c r="C2574">
        <v>245.3426</v>
      </c>
      <c r="D2574">
        <v>138.483159</v>
      </c>
      <c r="E2574" s="22">
        <v>106.150425</v>
      </c>
    </row>
    <row r="2575" spans="1:5" x14ac:dyDescent="0.4">
      <c r="A2575" s="27">
        <v>45695</v>
      </c>
      <c r="B2575" s="21">
        <v>360.24560000000002</v>
      </c>
      <c r="C2575">
        <v>245.0635</v>
      </c>
      <c r="D2575">
        <v>138.493753</v>
      </c>
      <c r="E2575" s="22">
        <v>106.158295</v>
      </c>
    </row>
    <row r="2576" spans="1:5" x14ac:dyDescent="0.4">
      <c r="A2576" s="27">
        <v>45698</v>
      </c>
      <c r="B2576" s="21">
        <v>362.36829999999998</v>
      </c>
      <c r="C2576">
        <v>245.42080000000001</v>
      </c>
      <c r="D2576">
        <v>138.52549500000001</v>
      </c>
      <c r="E2576" s="22">
        <v>106.181871</v>
      </c>
    </row>
    <row r="2577" spans="1:5" x14ac:dyDescent="0.4">
      <c r="A2577" s="27">
        <v>45699</v>
      </c>
      <c r="B2577" s="21">
        <v>363.16750000000002</v>
      </c>
      <c r="C2577">
        <v>244.26689999999999</v>
      </c>
      <c r="D2577">
        <v>138.536079</v>
      </c>
      <c r="E2577" s="22">
        <v>106.189729</v>
      </c>
    </row>
    <row r="2578" spans="1:5" x14ac:dyDescent="0.4">
      <c r="A2578" s="27">
        <v>45700</v>
      </c>
      <c r="B2578" s="21">
        <v>363.70979999999997</v>
      </c>
      <c r="C2578">
        <v>243.63390000000001</v>
      </c>
      <c r="D2578">
        <v>138.546663</v>
      </c>
      <c r="E2578" s="22">
        <v>106.197593</v>
      </c>
    </row>
    <row r="2579" spans="1:5" x14ac:dyDescent="0.4">
      <c r="A2579" s="27">
        <v>45701</v>
      </c>
      <c r="B2579" s="21">
        <v>367.7636</v>
      </c>
      <c r="C2579">
        <v>244.7431</v>
      </c>
      <c r="D2579">
        <v>138.55724799999999</v>
      </c>
      <c r="E2579" s="22">
        <v>106.205454</v>
      </c>
    </row>
    <row r="2580" spans="1:5" x14ac:dyDescent="0.4">
      <c r="A2580" s="27">
        <v>45702</v>
      </c>
      <c r="B2580" s="21">
        <v>366.86180000000002</v>
      </c>
      <c r="C2580">
        <v>244.60140000000001</v>
      </c>
      <c r="D2580">
        <v>138.567834</v>
      </c>
      <c r="E2580" s="22">
        <v>106.21332200000001</v>
      </c>
    </row>
    <row r="2581" spans="1:5" ht="16.5" thickBot="1" x14ac:dyDescent="0.45">
      <c r="A2581" s="28">
        <v>45705</v>
      </c>
      <c r="B2581" s="23">
        <v>368.8843</v>
      </c>
      <c r="C2581" s="24">
        <v>244.02330000000001</v>
      </c>
      <c r="D2581" s="24">
        <v>138.599593</v>
      </c>
      <c r="E2581" s="25">
        <v>106.236919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965CB-882C-354C-ADC4-AA9462C04CD2}">
  <sheetPr codeName="Feuil9">
    <tabColor theme="6" tint="0.79998168889431442"/>
  </sheetPr>
  <dimension ref="A1:I14"/>
  <sheetViews>
    <sheetView zoomScale="125" workbookViewId="0">
      <selection activeCell="D20" sqref="D20"/>
    </sheetView>
  </sheetViews>
  <sheetFormatPr baseColWidth="10" defaultRowHeight="16" x14ac:dyDescent="0.4"/>
  <cols>
    <col min="2" max="2" width="15.33203125" bestFit="1" customWidth="1"/>
    <col min="3" max="3" width="15.08203125" bestFit="1" customWidth="1"/>
    <col min="4" max="4" width="38.5" bestFit="1" customWidth="1"/>
  </cols>
  <sheetData>
    <row r="1" spans="1:9" ht="16.5" thickBot="1" x14ac:dyDescent="0.45">
      <c r="B1" s="91" t="s">
        <v>14</v>
      </c>
      <c r="C1" s="92" t="s">
        <v>15</v>
      </c>
      <c r="D1" s="93" t="s">
        <v>17</v>
      </c>
      <c r="G1" t="s">
        <v>44</v>
      </c>
      <c r="H1" t="s">
        <v>45</v>
      </c>
      <c r="I1" t="s">
        <v>46</v>
      </c>
    </row>
    <row r="2" spans="1:9" x14ac:dyDescent="0.4">
      <c r="A2" s="9">
        <v>2015</v>
      </c>
      <c r="B2" s="36">
        <v>8.3030089490068404E-2</v>
      </c>
      <c r="C2" s="36">
        <v>1.033464172750187E-2</v>
      </c>
      <c r="D2" s="37">
        <v>-1.0772191328625169E-3</v>
      </c>
      <c r="F2">
        <v>2015</v>
      </c>
      <c r="G2">
        <v>-4.2552960154478736E-2</v>
      </c>
      <c r="H2">
        <v>-1.1504809208877642E-2</v>
      </c>
      <c r="I2">
        <v>-1.0253812100643467E-3</v>
      </c>
    </row>
    <row r="3" spans="1:9" x14ac:dyDescent="0.4">
      <c r="A3" s="21">
        <v>2016</v>
      </c>
      <c r="B3" s="39">
        <v>5.686294687217619E-2</v>
      </c>
      <c r="C3" s="39">
        <v>1.2852609117620872E-2</v>
      </c>
      <c r="D3" s="40">
        <v>-3.526303951991272E-3</v>
      </c>
      <c r="F3">
        <v>2016</v>
      </c>
      <c r="G3">
        <v>0.18248079437438447</v>
      </c>
      <c r="H3">
        <v>4.588341804875995E-2</v>
      </c>
      <c r="I3">
        <v>-3.0413982116916927E-3</v>
      </c>
    </row>
    <row r="4" spans="1:9" x14ac:dyDescent="0.4">
      <c r="A4" s="21">
        <v>2017</v>
      </c>
      <c r="B4" s="39">
        <v>9.5109937283742507E-2</v>
      </c>
      <c r="C4" s="39">
        <v>2.2276582255275734E-2</v>
      </c>
      <c r="D4" s="40">
        <v>-3.2942917398205429E-3</v>
      </c>
      <c r="F4">
        <v>2017</v>
      </c>
      <c r="G4">
        <v>8.4214230646553201E-2</v>
      </c>
      <c r="H4">
        <v>-1.5683248362108215E-2</v>
      </c>
      <c r="I4">
        <v>-3.2655864532096235E-3</v>
      </c>
    </row>
    <row r="5" spans="1:9" x14ac:dyDescent="0.4">
      <c r="A5" s="21">
        <v>2018</v>
      </c>
      <c r="B5" s="39">
        <v>-0.10483439255660254</v>
      </c>
      <c r="C5" s="39">
        <v>9.0928433954782228E-3</v>
      </c>
      <c r="D5" s="40">
        <v>-3.6492567463363157E-3</v>
      </c>
      <c r="F5">
        <v>2018</v>
      </c>
      <c r="G5">
        <v>-0.17771698508024525</v>
      </c>
      <c r="H5">
        <v>3.7289010669981471E-2</v>
      </c>
      <c r="I5">
        <v>-3.3585806301618115E-3</v>
      </c>
    </row>
    <row r="6" spans="1:9" x14ac:dyDescent="0.4">
      <c r="A6" s="21">
        <v>2019</v>
      </c>
      <c r="B6" s="39">
        <v>0.27393562538151928</v>
      </c>
      <c r="C6" s="39">
        <v>5.9149163204311739E-2</v>
      </c>
      <c r="D6" s="40">
        <v>-4.1791677877878186E-3</v>
      </c>
      <c r="F6">
        <v>2019</v>
      </c>
      <c r="G6">
        <v>0.10655127182442348</v>
      </c>
      <c r="H6">
        <v>9.7010224504388676E-2</v>
      </c>
      <c r="I6">
        <v>-3.641198876438656E-3</v>
      </c>
    </row>
    <row r="7" spans="1:9" x14ac:dyDescent="0.4">
      <c r="A7" s="21">
        <v>2020</v>
      </c>
      <c r="B7" s="39">
        <v>-3.5386263427913844E-2</v>
      </c>
      <c r="C7" s="39">
        <v>3.9689841225553302E-2</v>
      </c>
      <c r="D7" s="40">
        <v>-5.5734384429929618E-3</v>
      </c>
      <c r="F7">
        <v>2020</v>
      </c>
      <c r="G7">
        <v>6.2152087893096564E-2</v>
      </c>
      <c r="H7">
        <v>-8.8178744688247601E-3</v>
      </c>
      <c r="I7">
        <v>-4.290623324577969E-3</v>
      </c>
    </row>
    <row r="8" spans="1:9" x14ac:dyDescent="0.4">
      <c r="A8" s="21">
        <v>2021</v>
      </c>
      <c r="B8" s="39">
        <v>0.24871561286020505</v>
      </c>
      <c r="C8" s="39">
        <v>-3.1996170381746847E-2</v>
      </c>
      <c r="D8" s="40">
        <v>-5.7256283917792583E-3</v>
      </c>
      <c r="F8">
        <v>2021</v>
      </c>
      <c r="G8">
        <v>0.14779244040458606</v>
      </c>
      <c r="H8">
        <v>3.7141941618688001E-2</v>
      </c>
      <c r="I8">
        <v>-4.4984121238903496E-3</v>
      </c>
    </row>
    <row r="9" spans="1:9" x14ac:dyDescent="0.4">
      <c r="A9" s="21">
        <v>2022</v>
      </c>
      <c r="B9" s="39">
        <v>-7.88119331253051E-2</v>
      </c>
      <c r="C9" s="39">
        <v>-0.16101665388518849</v>
      </c>
      <c r="D9" s="40">
        <v>6.5762046400630325E-5</v>
      </c>
      <c r="F9">
        <v>2022</v>
      </c>
      <c r="G9">
        <v>-6.0983988560949665E-2</v>
      </c>
      <c r="H9">
        <v>-0.10611445868863634</v>
      </c>
      <c r="I9">
        <v>1.0922379154443274E-3</v>
      </c>
    </row>
    <row r="10" spans="1:9" x14ac:dyDescent="0.4">
      <c r="A10" s="21">
        <v>2023</v>
      </c>
      <c r="B10" s="39">
        <v>0.13155231845567794</v>
      </c>
      <c r="C10" s="39">
        <v>5.8735744742986595E-2</v>
      </c>
      <c r="D10" s="40">
        <v>3.3057661663303817E-2</v>
      </c>
      <c r="F10">
        <v>2023</v>
      </c>
      <c r="G10">
        <v>-2.106273921394064E-3</v>
      </c>
      <c r="H10">
        <v>2.5630924122690857E-2</v>
      </c>
      <c r="I10">
        <v>3.1895119804433936E-2</v>
      </c>
    </row>
    <row r="11" spans="1:9" ht="16.5" thickBot="1" x14ac:dyDescent="0.45">
      <c r="A11" s="23">
        <v>2024</v>
      </c>
      <c r="B11" s="42">
        <v>9.3507273075390529E-2</v>
      </c>
      <c r="C11" s="42">
        <v>2.7039965043872405E-2</v>
      </c>
      <c r="D11" s="43">
        <v>3.7693853688740564E-2</v>
      </c>
      <c r="F11">
        <v>2024</v>
      </c>
      <c r="G11">
        <v>7.9763794557270673E-2</v>
      </c>
      <c r="H11">
        <v>6.0607729198808302E-2</v>
      </c>
      <c r="I11">
        <v>3.5086357382521971E-2</v>
      </c>
    </row>
    <row r="14" spans="1:9" x14ac:dyDescent="0.4">
      <c r="B14" s="29" cm="1">
        <f t="array" ref="B14">PRODUCT(1+B2:B11 )^(1/10) - 1</f>
        <v>6.9751585311944364E-2</v>
      </c>
      <c r="C14" s="29" cm="1">
        <f t="array" ref="C14">PRODUCT(1+C2:C11 )^(1/10) - 1</f>
        <v>2.6231538317189607E-3</v>
      </c>
      <c r="D14" s="29" cm="1">
        <f t="array" ref="D14">PRODUCT(1+D2:D11 )^(1/10) - 1</f>
        <v>4.2594997866272077E-3</v>
      </c>
      <c r="G14">
        <f>AVERAGE(G2:G11)</f>
        <v>3.7959441198324673E-2</v>
      </c>
      <c r="H14">
        <f t="shared" ref="H14:I14" si="0">AVERAGE(H2:H11)</f>
        <v>1.614428574348703E-2</v>
      </c>
      <c r="I14">
        <f t="shared" si="0"/>
        <v>4.4952534272365788E-3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6AC8F-67CA-044C-817B-C2BC896E04C9}">
  <sheetPr codeName="Feuil8">
    <tabColor theme="6" tint="0.79998168889431442"/>
  </sheetPr>
  <dimension ref="B2:K50"/>
  <sheetViews>
    <sheetView workbookViewId="0">
      <selection activeCell="C25" sqref="C25"/>
    </sheetView>
  </sheetViews>
  <sheetFormatPr baseColWidth="10" defaultRowHeight="16" x14ac:dyDescent="0.4"/>
  <cols>
    <col min="2" max="2" width="29.58203125" bestFit="1" customWidth="1"/>
    <col min="3" max="3" width="16.58203125" bestFit="1" customWidth="1"/>
    <col min="9" max="9" width="22" bestFit="1" customWidth="1"/>
    <col min="10" max="10" width="16" bestFit="1" customWidth="1"/>
    <col min="11" max="11" width="21.58203125" bestFit="1" customWidth="1"/>
  </cols>
  <sheetData>
    <row r="2" spans="2:11" ht="16.5" thickBot="1" x14ac:dyDescent="0.45">
      <c r="C2" t="s">
        <v>25</v>
      </c>
    </row>
    <row r="3" spans="2:11" ht="16.5" thickBot="1" x14ac:dyDescent="0.45">
      <c r="B3" s="9"/>
      <c r="C3" s="62" t="s">
        <v>20</v>
      </c>
    </row>
    <row r="4" spans="2:11" x14ac:dyDescent="0.4">
      <c r="B4" s="63" t="s">
        <v>21</v>
      </c>
      <c r="C4" s="68">
        <v>5000</v>
      </c>
    </row>
    <row r="5" spans="2:11" x14ac:dyDescent="0.4">
      <c r="B5" s="64" t="s">
        <v>22</v>
      </c>
      <c r="C5" s="66" t="s">
        <v>23</v>
      </c>
      <c r="J5" s="94"/>
    </row>
    <row r="6" spans="2:11" x14ac:dyDescent="0.4">
      <c r="B6" s="64" t="s">
        <v>24</v>
      </c>
      <c r="C6" s="66">
        <v>10</v>
      </c>
    </row>
    <row r="7" spans="2:11" x14ac:dyDescent="0.4">
      <c r="B7" s="64" t="s">
        <v>41</v>
      </c>
      <c r="C7" s="66">
        <v>10</v>
      </c>
    </row>
    <row r="8" spans="2:11" ht="16.5" thickBot="1" x14ac:dyDescent="0.45">
      <c r="B8" s="65" t="s">
        <v>31</v>
      </c>
      <c r="C8" s="67">
        <v>1</v>
      </c>
    </row>
    <row r="9" spans="2:11" ht="16.5" thickBot="1" x14ac:dyDescent="0.45">
      <c r="G9" s="78" t="s">
        <v>29</v>
      </c>
      <c r="H9" s="79" t="s">
        <v>30</v>
      </c>
      <c r="I9" s="80" t="s">
        <v>33</v>
      </c>
      <c r="J9" s="80" t="s">
        <v>34</v>
      </c>
      <c r="K9" s="81" t="s">
        <v>35</v>
      </c>
    </row>
    <row r="10" spans="2:11" x14ac:dyDescent="0.4">
      <c r="B10" s="9"/>
      <c r="C10" s="75" t="s">
        <v>26</v>
      </c>
      <c r="F10" t="s">
        <v>32</v>
      </c>
      <c r="G10">
        <f>C6</f>
        <v>10</v>
      </c>
      <c r="H10">
        <f>IF(G10="","",IF(G10&lt;0,K9,IF(F10="versement",-$C$4,0)))</f>
        <v>-5000</v>
      </c>
      <c r="I10">
        <f>-H10</f>
        <v>5000</v>
      </c>
      <c r="J10">
        <f>I10*(VLOOKUP(G10,'Poids Allocation'!$A$3:$D$43,2,FALSE) * 'Rendement annuel Bench'!B2 +  VLOOKUP(G10,'Poids Allocation'!$A$3:$D$43,3,FALSE)*'Rendement annuel Bench'!C2 + VLOOKUP(G10,'Poids Allocation'!$A$3:$D$43,4,FALSE)*'Rendement annuel Bench'!D2)</f>
        <v>246.23913846738438</v>
      </c>
      <c r="K10">
        <f>I10+J10</f>
        <v>5246.2391384673847</v>
      </c>
    </row>
    <row r="11" spans="2:11" x14ac:dyDescent="0.4">
      <c r="B11" s="76" t="s">
        <v>27</v>
      </c>
      <c r="C11" s="90">
        <f ca="1">IRR(H10:OFFSET(H10,duree_inv+1,0))</f>
        <v>1.3589295425193493E-2</v>
      </c>
      <c r="F11" t="s">
        <v>32</v>
      </c>
      <c r="G11">
        <f t="shared" ref="G11:G45" si="0">IFERROR(IF(G10-1&gt;=horizon-duree_inv,G10-1,""),"")</f>
        <v>9</v>
      </c>
      <c r="H11">
        <f t="shared" ref="H11:H48" si="1">IF(G11 = horizon-duree_inv,K10,IF(G11="","",IF(G11&lt;horizon-duree_inv,K10,IF(F11="versement",-$C$4,0))))</f>
        <v>-5000</v>
      </c>
      <c r="I11" s="95">
        <f t="shared" ref="I11" si="2">IF(G11=horizon-duree_inv,"",IF(AND(G11&lt;&gt;"",G11&gt;=horizon-duree_inv),K10-H11,""))</f>
        <v>10246.239138467385</v>
      </c>
      <c r="J11" s="95">
        <f>I11*(VLOOKUP(G11,'Poids Allocation'!$A$3:$D$43,2,FALSE) * 'Rendement annuel Bench'!B3 +  VLOOKUP(G11,'Poids Allocation'!$A$3:$D$43,3,FALSE)*'Rendement annuel Bench'!C3 + VLOOKUP(G11,'Poids Allocation'!$A$3:$D$43,4,FALSE)*'Rendement annuel Bench'!D3)</f>
        <v>320.03536685109799</v>
      </c>
      <c r="K11" s="95">
        <f t="shared" ref="K11:K33" si="3">IF(AND(G11&lt;&gt;"",G11&gt;horizon-duree_inv),I11+J11,"")</f>
        <v>10566.274505318483</v>
      </c>
    </row>
    <row r="12" spans="2:11" ht="16.5" thickBot="1" x14ac:dyDescent="0.45">
      <c r="B12" s="77" t="s">
        <v>28</v>
      </c>
      <c r="C12" s="25">
        <f ca="1">OFFSET(start_year,duree_inv,1)</f>
        <v>53893.628693351617</v>
      </c>
      <c r="F12" t="s">
        <v>32</v>
      </c>
      <c r="G12">
        <f t="shared" si="0"/>
        <v>8</v>
      </c>
      <c r="H12">
        <f t="shared" si="1"/>
        <v>-5000</v>
      </c>
      <c r="I12" s="95">
        <f t="shared" ref="I12:I33" si="4">IF(G12=horizon-duree_inv,"",IF(AND(G12&lt;&gt;"",G12&gt;=horizon-duree_inv),K11-H12,""))</f>
        <v>15566.274505318483</v>
      </c>
      <c r="J12" s="95">
        <f>I12*(VLOOKUP(G12,'Poids Allocation'!$A$3:$D$43,2,FALSE) * 'Rendement annuel Bench'!B4 +  VLOOKUP(G12,'Poids Allocation'!$A$3:$D$43,3,FALSE)*'Rendement annuel Bench'!C4 + VLOOKUP(G12,'Poids Allocation'!$A$3:$D$43,4,FALSE)*'Rendement annuel Bench'!D4)</f>
        <v>692.43202918665781</v>
      </c>
      <c r="K12" s="95">
        <f t="shared" si="3"/>
        <v>16258.70653450514</v>
      </c>
    </row>
    <row r="13" spans="2:11" x14ac:dyDescent="0.4">
      <c r="F13" t="s">
        <v>32</v>
      </c>
      <c r="G13">
        <f t="shared" si="0"/>
        <v>7</v>
      </c>
      <c r="H13">
        <f t="shared" si="1"/>
        <v>-5000</v>
      </c>
      <c r="I13" s="95">
        <f t="shared" si="4"/>
        <v>21258.706534505138</v>
      </c>
      <c r="J13" s="95">
        <f>I13*(VLOOKUP(G13,'Poids Allocation'!$A$3:$D$43,2,FALSE) * 'Rendement annuel Bench'!B5 +  VLOOKUP(G13,'Poids Allocation'!$A$3:$D$43,3,FALSE)*'Rendement annuel Bench'!C5 + VLOOKUP(G13,'Poids Allocation'!$A$3:$D$43,4,FALSE)*'Rendement annuel Bench'!D5)</f>
        <v>-455.52522034716509</v>
      </c>
      <c r="K13" s="95">
        <f t="shared" si="3"/>
        <v>20803.181314157973</v>
      </c>
    </row>
    <row r="14" spans="2:11" x14ac:dyDescent="0.4">
      <c r="F14" t="s">
        <v>32</v>
      </c>
      <c r="G14">
        <f t="shared" si="0"/>
        <v>6</v>
      </c>
      <c r="H14">
        <f t="shared" si="1"/>
        <v>-5000</v>
      </c>
      <c r="I14" s="95">
        <f t="shared" si="4"/>
        <v>25803.181314157973</v>
      </c>
      <c r="J14" s="95">
        <f>I14*(VLOOKUP(G14,'Poids Allocation'!$A$3:$D$43,2,FALSE) * 'Rendement annuel Bench'!B6 +  VLOOKUP(G14,'Poids Allocation'!$A$3:$D$43,3,FALSE)*'Rendement annuel Bench'!C6 + VLOOKUP(G14,'Poids Allocation'!$A$3:$D$43,4,FALSE)*'Rendement annuel Bench'!D6)</f>
        <v>2020.8070494642632</v>
      </c>
      <c r="K14" s="95">
        <f t="shared" si="3"/>
        <v>27823.988363622237</v>
      </c>
    </row>
    <row r="15" spans="2:11" x14ac:dyDescent="0.4">
      <c r="F15" t="s">
        <v>32</v>
      </c>
      <c r="G15">
        <f t="shared" si="0"/>
        <v>5</v>
      </c>
      <c r="H15">
        <f t="shared" si="1"/>
        <v>-5000</v>
      </c>
      <c r="I15" s="95">
        <f t="shared" si="4"/>
        <v>32823.988363622237</v>
      </c>
      <c r="J15" s="95">
        <f>I15*(VLOOKUP(G15,'Poids Allocation'!$A$3:$D$43,2,FALSE) * 'Rendement annuel Bench'!B7 +  VLOOKUP(G15,'Poids Allocation'!$A$3:$D$43,3,FALSE)*'Rendement annuel Bench'!C7 + VLOOKUP(G15,'Poids Allocation'!$A$3:$D$43,4,FALSE)*'Rendement annuel Bench'!D7)</f>
        <v>566.06111749231184</v>
      </c>
      <c r="K15" s="95">
        <f t="shared" si="3"/>
        <v>33390.049481114547</v>
      </c>
    </row>
    <row r="16" spans="2:11" x14ac:dyDescent="0.4">
      <c r="F16" t="s">
        <v>32</v>
      </c>
      <c r="G16">
        <f t="shared" si="0"/>
        <v>4</v>
      </c>
      <c r="H16">
        <f t="shared" si="1"/>
        <v>-5000</v>
      </c>
      <c r="I16" s="95">
        <f t="shared" si="4"/>
        <v>38390.049481114547</v>
      </c>
      <c r="J16" s="95">
        <f>I16*(VLOOKUP(G16,'Poids Allocation'!$A$3:$D$43,2,FALSE) * 'Rendement annuel Bench'!B8 +  VLOOKUP(G16,'Poids Allocation'!$A$3:$D$43,3,FALSE)*'Rendement annuel Bench'!C8 + VLOOKUP(G16,'Poids Allocation'!$A$3:$D$43,4,FALSE)*'Rendement annuel Bench'!D8)</f>
        <v>-245.75554270006808</v>
      </c>
      <c r="K16" s="95">
        <f t="shared" si="3"/>
        <v>38144.293938414477</v>
      </c>
    </row>
    <row r="17" spans="6:11" x14ac:dyDescent="0.4">
      <c r="F17" t="s">
        <v>32</v>
      </c>
      <c r="G17">
        <f t="shared" si="0"/>
        <v>3</v>
      </c>
      <c r="H17">
        <f t="shared" si="1"/>
        <v>-5000</v>
      </c>
      <c r="I17" s="95">
        <f t="shared" si="4"/>
        <v>43144.293938414477</v>
      </c>
      <c r="J17" s="95">
        <f>I17*(VLOOKUP(G17,'Poids Allocation'!$A$3:$D$43,2,FALSE) * 'Rendement annuel Bench'!B9 +  VLOOKUP(G17,'Poids Allocation'!$A$3:$D$43,3,FALSE)*'Rendement annuel Bench'!C9 + VLOOKUP(G17,'Poids Allocation'!$A$3:$D$43,4,FALSE)*'Rendement annuel Bench'!D9)</f>
        <v>-2984.1357747837706</v>
      </c>
      <c r="K17" s="95">
        <f t="shared" si="3"/>
        <v>40160.158163630709</v>
      </c>
    </row>
    <row r="18" spans="6:11" x14ac:dyDescent="0.4">
      <c r="F18" t="s">
        <v>32</v>
      </c>
      <c r="G18">
        <f t="shared" si="0"/>
        <v>2</v>
      </c>
      <c r="H18">
        <f t="shared" si="1"/>
        <v>-5000</v>
      </c>
      <c r="I18" s="95">
        <f t="shared" si="4"/>
        <v>45160.158163630709</v>
      </c>
      <c r="J18" s="95">
        <f>I18*(VLOOKUP(G18,'Poids Allocation'!$A$3:$D$43,2,FALSE) * 'Rendement annuel Bench'!B10 +  VLOOKUP(G18,'Poids Allocation'!$A$3:$D$43,3,FALSE)*'Rendement annuel Bench'!C10 + VLOOKUP(G18,'Poids Allocation'!$A$3:$D$43,4,FALSE)*'Rendement annuel Bench'!D10)</f>
        <v>1829.1808542676156</v>
      </c>
      <c r="K18" s="95">
        <f t="shared" si="3"/>
        <v>46989.339017898325</v>
      </c>
    </row>
    <row r="19" spans="6:11" x14ac:dyDescent="0.4">
      <c r="F19" t="s">
        <v>32</v>
      </c>
      <c r="G19">
        <f t="shared" si="0"/>
        <v>1</v>
      </c>
      <c r="H19">
        <f t="shared" si="1"/>
        <v>-5000</v>
      </c>
      <c r="I19" s="95">
        <f t="shared" si="4"/>
        <v>51989.339017898325</v>
      </c>
      <c r="J19" s="95">
        <f>I19*(VLOOKUP(G19,'Poids Allocation'!$A$3:$D$43,2,FALSE) * 'Rendement annuel Bench'!B11 +  VLOOKUP(G19,'Poids Allocation'!$A$3:$D$43,3,FALSE)*'Rendement annuel Bench'!C11 + VLOOKUP(G19,'Poids Allocation'!$A$3:$D$43,4,FALSE)*'Rendement annuel Bench'!D11)</f>
        <v>1904.2896754532917</v>
      </c>
      <c r="K19" s="95">
        <f t="shared" si="3"/>
        <v>53893.628693351617</v>
      </c>
    </row>
    <row r="20" spans="6:11" x14ac:dyDescent="0.4">
      <c r="G20">
        <f t="shared" si="0"/>
        <v>0</v>
      </c>
      <c r="H20">
        <f>IF(G20 = horizon-duree_inv,K19,IF(G20="","",IF(G20&lt;horizon-duree_inv,K19,IF(F20="versement",-$C$4,0))))</f>
        <v>53893.628693351617</v>
      </c>
      <c r="I20" s="95" t="str">
        <f t="shared" si="4"/>
        <v/>
      </c>
      <c r="J20" s="95"/>
      <c r="K20" s="95" t="str">
        <f t="shared" si="3"/>
        <v/>
      </c>
    </row>
    <row r="21" spans="6:11" x14ac:dyDescent="0.4">
      <c r="G21" t="str">
        <f t="shared" si="0"/>
        <v/>
      </c>
      <c r="H21" t="str">
        <f t="shared" si="1"/>
        <v/>
      </c>
      <c r="I21" s="95" t="str">
        <f t="shared" si="4"/>
        <v/>
      </c>
      <c r="J21" s="95"/>
      <c r="K21" s="95" t="str">
        <f t="shared" si="3"/>
        <v/>
      </c>
    </row>
    <row r="22" spans="6:11" x14ac:dyDescent="0.4">
      <c r="G22" t="str">
        <f t="shared" si="0"/>
        <v/>
      </c>
      <c r="H22" t="str">
        <f t="shared" si="1"/>
        <v/>
      </c>
      <c r="I22" s="95" t="str">
        <f t="shared" si="4"/>
        <v/>
      </c>
      <c r="J22" s="95"/>
      <c r="K22" s="95" t="str">
        <f t="shared" si="3"/>
        <v/>
      </c>
    </row>
    <row r="23" spans="6:11" x14ac:dyDescent="0.4">
      <c r="G23" t="str">
        <f t="shared" si="0"/>
        <v/>
      </c>
      <c r="H23" t="str">
        <f t="shared" si="1"/>
        <v/>
      </c>
      <c r="I23" s="95" t="str">
        <f t="shared" si="4"/>
        <v/>
      </c>
      <c r="J23" s="95"/>
      <c r="K23" s="95" t="str">
        <f t="shared" si="3"/>
        <v/>
      </c>
    </row>
    <row r="24" spans="6:11" x14ac:dyDescent="0.4">
      <c r="G24" t="str">
        <f t="shared" si="0"/>
        <v/>
      </c>
      <c r="H24" t="str">
        <f t="shared" si="1"/>
        <v/>
      </c>
      <c r="I24" s="95" t="str">
        <f t="shared" si="4"/>
        <v/>
      </c>
      <c r="J24" s="95"/>
      <c r="K24" s="95" t="str">
        <f t="shared" si="3"/>
        <v/>
      </c>
    </row>
    <row r="25" spans="6:11" x14ac:dyDescent="0.4">
      <c r="G25" t="str">
        <f t="shared" si="0"/>
        <v/>
      </c>
      <c r="H25" t="str">
        <f t="shared" si="1"/>
        <v/>
      </c>
      <c r="I25" s="95" t="str">
        <f t="shared" si="4"/>
        <v/>
      </c>
      <c r="J25" s="95"/>
      <c r="K25" s="95" t="str">
        <f t="shared" si="3"/>
        <v/>
      </c>
    </row>
    <row r="26" spans="6:11" x14ac:dyDescent="0.4">
      <c r="G26" t="str">
        <f t="shared" si="0"/>
        <v/>
      </c>
      <c r="H26" t="str">
        <f t="shared" si="1"/>
        <v/>
      </c>
      <c r="I26" s="95" t="str">
        <f t="shared" si="4"/>
        <v/>
      </c>
      <c r="J26" s="95"/>
      <c r="K26" s="95" t="str">
        <f t="shared" si="3"/>
        <v/>
      </c>
    </row>
    <row r="27" spans="6:11" x14ac:dyDescent="0.4">
      <c r="G27" t="str">
        <f t="shared" si="0"/>
        <v/>
      </c>
      <c r="H27" t="str">
        <f t="shared" si="1"/>
        <v/>
      </c>
      <c r="I27" s="95" t="str">
        <f t="shared" si="4"/>
        <v/>
      </c>
      <c r="J27" s="95"/>
      <c r="K27" s="95" t="str">
        <f t="shared" si="3"/>
        <v/>
      </c>
    </row>
    <row r="28" spans="6:11" x14ac:dyDescent="0.4">
      <c r="G28" t="str">
        <f t="shared" si="0"/>
        <v/>
      </c>
      <c r="H28" t="str">
        <f t="shared" si="1"/>
        <v/>
      </c>
      <c r="I28" s="95" t="str">
        <f t="shared" si="4"/>
        <v/>
      </c>
      <c r="J28" s="95"/>
      <c r="K28" s="95" t="str">
        <f t="shared" si="3"/>
        <v/>
      </c>
    </row>
    <row r="29" spans="6:11" x14ac:dyDescent="0.4">
      <c r="G29" t="str">
        <f t="shared" si="0"/>
        <v/>
      </c>
      <c r="H29" t="str">
        <f t="shared" si="1"/>
        <v/>
      </c>
      <c r="I29" s="95" t="str">
        <f t="shared" si="4"/>
        <v/>
      </c>
      <c r="J29" s="95"/>
      <c r="K29" s="95" t="str">
        <f t="shared" si="3"/>
        <v/>
      </c>
    </row>
    <row r="30" spans="6:11" x14ac:dyDescent="0.4">
      <c r="G30" t="str">
        <f t="shared" si="0"/>
        <v/>
      </c>
      <c r="H30" t="str">
        <f t="shared" si="1"/>
        <v/>
      </c>
      <c r="I30" s="95" t="str">
        <f t="shared" si="4"/>
        <v/>
      </c>
      <c r="J30" s="95"/>
      <c r="K30" s="95" t="str">
        <f t="shared" si="3"/>
        <v/>
      </c>
    </row>
    <row r="31" spans="6:11" x14ac:dyDescent="0.4">
      <c r="G31" t="str">
        <f t="shared" si="0"/>
        <v/>
      </c>
      <c r="H31" t="str">
        <f t="shared" si="1"/>
        <v/>
      </c>
      <c r="I31" s="95" t="str">
        <f t="shared" si="4"/>
        <v/>
      </c>
      <c r="J31" s="95"/>
      <c r="K31" s="95" t="str">
        <f t="shared" si="3"/>
        <v/>
      </c>
    </row>
    <row r="32" spans="6:11" x14ac:dyDescent="0.4">
      <c r="G32" t="str">
        <f t="shared" si="0"/>
        <v/>
      </c>
      <c r="H32" t="str">
        <f t="shared" si="1"/>
        <v/>
      </c>
      <c r="I32" s="95" t="str">
        <f t="shared" si="4"/>
        <v/>
      </c>
      <c r="J32" s="95"/>
      <c r="K32" s="95" t="str">
        <f t="shared" si="3"/>
        <v/>
      </c>
    </row>
    <row r="33" spans="7:11" x14ac:dyDescent="0.4">
      <c r="G33" t="str">
        <f t="shared" si="0"/>
        <v/>
      </c>
      <c r="H33" t="str">
        <f t="shared" si="1"/>
        <v/>
      </c>
      <c r="I33" s="95" t="str">
        <f t="shared" si="4"/>
        <v/>
      </c>
      <c r="J33" s="95"/>
      <c r="K33" s="95" t="str">
        <f t="shared" si="3"/>
        <v/>
      </c>
    </row>
    <row r="34" spans="7:11" x14ac:dyDescent="0.4">
      <c r="G34" t="str">
        <f t="shared" si="0"/>
        <v/>
      </c>
      <c r="H34" t="str">
        <f t="shared" si="1"/>
        <v/>
      </c>
      <c r="I34" t="str">
        <f t="shared" ref="I34:I48" si="5">IF(G34=horizon-duree_inv,"",IF(AND(G34&lt;&gt;"",G34&gt;=horizon-duree_inv),K33-H34,""))</f>
        <v/>
      </c>
      <c r="J34" t="str">
        <f>IF(AND(G34&lt;&gt;"",G34&gt;horizon-duree_inv),I34*VLOOKUP(G34,'Poids Allocation'!$F$3:$I$43,2,FALSE),"")</f>
        <v/>
      </c>
      <c r="K34" t="str">
        <f t="shared" ref="K34:K48" si="6">IF(AND(G34&lt;&gt;"",G34&gt;horizon-duree_inv),I34+J34,"")</f>
        <v/>
      </c>
    </row>
    <row r="35" spans="7:11" x14ac:dyDescent="0.4">
      <c r="G35" t="str">
        <f t="shared" si="0"/>
        <v/>
      </c>
      <c r="H35" t="str">
        <f t="shared" si="1"/>
        <v/>
      </c>
      <c r="I35" t="str">
        <f t="shared" si="5"/>
        <v/>
      </c>
      <c r="J35" t="str">
        <f>IF(AND(G35&lt;&gt;"",G35&gt;horizon-duree_inv),I35*VLOOKUP(G35,'Poids Allocation'!$F$3:$I$43,2,FALSE),"")</f>
        <v/>
      </c>
      <c r="K35" t="str">
        <f t="shared" si="6"/>
        <v/>
      </c>
    </row>
    <row r="36" spans="7:11" x14ac:dyDescent="0.4">
      <c r="G36" t="str">
        <f t="shared" si="0"/>
        <v/>
      </c>
      <c r="H36" t="str">
        <f t="shared" si="1"/>
        <v/>
      </c>
      <c r="I36" t="str">
        <f t="shared" si="5"/>
        <v/>
      </c>
      <c r="J36" t="str">
        <f>IF(AND(G36&lt;&gt;"",G36&gt;horizon-duree_inv),I36*VLOOKUP(G36,'Poids Allocation'!$F$3:$I$43,2,FALSE),"")</f>
        <v/>
      </c>
      <c r="K36" t="str">
        <f t="shared" si="6"/>
        <v/>
      </c>
    </row>
    <row r="37" spans="7:11" x14ac:dyDescent="0.4">
      <c r="G37" t="str">
        <f t="shared" si="0"/>
        <v/>
      </c>
      <c r="H37" t="str">
        <f t="shared" si="1"/>
        <v/>
      </c>
      <c r="I37" t="str">
        <f t="shared" si="5"/>
        <v/>
      </c>
      <c r="J37" t="str">
        <f>IF(AND(G37&lt;&gt;"",G37&gt;horizon-duree_inv),I37*VLOOKUP(G37,'Poids Allocation'!$F$3:$I$43,2,FALSE),"")</f>
        <v/>
      </c>
      <c r="K37" t="str">
        <f t="shared" si="6"/>
        <v/>
      </c>
    </row>
    <row r="38" spans="7:11" x14ac:dyDescent="0.4">
      <c r="G38" t="str">
        <f t="shared" si="0"/>
        <v/>
      </c>
      <c r="H38" t="str">
        <f t="shared" si="1"/>
        <v/>
      </c>
      <c r="I38" t="str">
        <f t="shared" si="5"/>
        <v/>
      </c>
      <c r="J38" t="str">
        <f>IF(AND(G38&lt;&gt;"",G38&gt;horizon-duree_inv),I38*VLOOKUP(G38,'Poids Allocation'!$F$3:$I$43,2,FALSE),"")</f>
        <v/>
      </c>
      <c r="K38" t="str">
        <f t="shared" si="6"/>
        <v/>
      </c>
    </row>
    <row r="39" spans="7:11" x14ac:dyDescent="0.4">
      <c r="G39" t="str">
        <f t="shared" si="0"/>
        <v/>
      </c>
      <c r="H39" t="str">
        <f t="shared" si="1"/>
        <v/>
      </c>
      <c r="I39" t="str">
        <f t="shared" si="5"/>
        <v/>
      </c>
      <c r="J39" t="str">
        <f>IF(AND(G39&lt;&gt;"",G39&gt;horizon-duree_inv),I39*VLOOKUP(G39,'Poids Allocation'!$F$3:$I$43,2,FALSE),"")</f>
        <v/>
      </c>
      <c r="K39" t="str">
        <f t="shared" si="6"/>
        <v/>
      </c>
    </row>
    <row r="40" spans="7:11" x14ac:dyDescent="0.4">
      <c r="G40" t="str">
        <f t="shared" si="0"/>
        <v/>
      </c>
      <c r="H40" t="str">
        <f t="shared" si="1"/>
        <v/>
      </c>
      <c r="I40" t="str">
        <f t="shared" si="5"/>
        <v/>
      </c>
      <c r="J40" t="str">
        <f>IF(AND(G40&lt;&gt;"",G40&gt;horizon-duree_inv),I40*VLOOKUP(G40,'Poids Allocation'!$F$3:$I$43,2,FALSE),"")</f>
        <v/>
      </c>
      <c r="K40" t="str">
        <f t="shared" si="6"/>
        <v/>
      </c>
    </row>
    <row r="41" spans="7:11" x14ac:dyDescent="0.4">
      <c r="G41" t="str">
        <f t="shared" si="0"/>
        <v/>
      </c>
      <c r="H41" t="str">
        <f t="shared" si="1"/>
        <v/>
      </c>
      <c r="I41" t="str">
        <f t="shared" si="5"/>
        <v/>
      </c>
      <c r="J41" t="str">
        <f>IF(AND(G41&lt;&gt;"",G41&gt;horizon-duree_inv),I41*VLOOKUP(G41,'Poids Allocation'!$F$3:$I$43,2,FALSE),"")</f>
        <v/>
      </c>
      <c r="K41" t="str">
        <f t="shared" si="6"/>
        <v/>
      </c>
    </row>
    <row r="42" spans="7:11" x14ac:dyDescent="0.4">
      <c r="G42" t="str">
        <f t="shared" si="0"/>
        <v/>
      </c>
      <c r="H42" t="str">
        <f t="shared" si="1"/>
        <v/>
      </c>
      <c r="I42" t="str">
        <f t="shared" si="5"/>
        <v/>
      </c>
      <c r="J42" t="str">
        <f>IF(AND(G42&lt;&gt;"",G42&gt;horizon-duree_inv),I42*VLOOKUP(G42,'Poids Allocation'!$F$3:$I$43,2,FALSE),"")</f>
        <v/>
      </c>
      <c r="K42" t="str">
        <f t="shared" si="6"/>
        <v/>
      </c>
    </row>
    <row r="43" spans="7:11" x14ac:dyDescent="0.4">
      <c r="G43" t="str">
        <f t="shared" si="0"/>
        <v/>
      </c>
      <c r="H43" t="str">
        <f t="shared" si="1"/>
        <v/>
      </c>
      <c r="I43" t="str">
        <f t="shared" si="5"/>
        <v/>
      </c>
      <c r="J43" t="str">
        <f>IF(AND(G43&lt;&gt;"",G43&gt;horizon-duree_inv),I43*VLOOKUP(G43,'Poids Allocation'!$F$3:$I$43,2,FALSE),"")</f>
        <v/>
      </c>
      <c r="K43" t="str">
        <f t="shared" si="6"/>
        <v/>
      </c>
    </row>
    <row r="44" spans="7:11" x14ac:dyDescent="0.4">
      <c r="G44" t="str">
        <f t="shared" si="0"/>
        <v/>
      </c>
      <c r="H44" t="str">
        <f t="shared" si="1"/>
        <v/>
      </c>
      <c r="I44" t="str">
        <f t="shared" si="5"/>
        <v/>
      </c>
      <c r="J44" t="str">
        <f>IF(AND(G44&lt;&gt;"",G44&gt;horizon-duree_inv),I44*VLOOKUP(G44,'Poids Allocation'!$F$3:$I$43,2,FALSE),"")</f>
        <v/>
      </c>
      <c r="K44" t="str">
        <f t="shared" si="6"/>
        <v/>
      </c>
    </row>
    <row r="45" spans="7:11" x14ac:dyDescent="0.4">
      <c r="G45" t="str">
        <f t="shared" si="0"/>
        <v/>
      </c>
      <c r="H45" t="str">
        <f t="shared" si="1"/>
        <v/>
      </c>
      <c r="I45" t="str">
        <f t="shared" si="5"/>
        <v/>
      </c>
      <c r="J45" t="str">
        <f>IF(AND(G45&lt;&gt;"",G45&gt;horizon-duree_inv),I45*VLOOKUP(G45,'Poids Allocation'!$F$3:$I$43,2,FALSE),"")</f>
        <v/>
      </c>
      <c r="K45" t="str">
        <f t="shared" si="6"/>
        <v/>
      </c>
    </row>
    <row r="46" spans="7:11" x14ac:dyDescent="0.4">
      <c r="G46" t="str">
        <f>IFERROR(IF(G45-1&gt;=duree_inv,G45-1,""),"")</f>
        <v/>
      </c>
      <c r="H46" t="str">
        <f t="shared" si="1"/>
        <v/>
      </c>
      <c r="I46" t="str">
        <f t="shared" si="5"/>
        <v/>
      </c>
      <c r="J46" t="str">
        <f>IF(AND(G46&lt;&gt;"",G46&gt;horizon-duree_inv),I46*VLOOKUP(G46,'Poids Allocation'!$F$3:$I$43,2,FALSE),"")</f>
        <v/>
      </c>
      <c r="K46" t="str">
        <f t="shared" si="6"/>
        <v/>
      </c>
    </row>
    <row r="47" spans="7:11" x14ac:dyDescent="0.4">
      <c r="G47" t="str">
        <f t="shared" ref="G47:G50" si="7">IFERROR(IF(G46-1&gt;=0,G46-1,""),"")</f>
        <v/>
      </c>
      <c r="H47" t="str">
        <f t="shared" si="1"/>
        <v/>
      </c>
      <c r="I47" t="str">
        <f t="shared" si="5"/>
        <v/>
      </c>
      <c r="J47" t="str">
        <f>IF(AND(G47&lt;&gt;"",G47&gt;horizon-duree_inv),I47*VLOOKUP(G47,'Poids Allocation'!$F$3:$I$43,2,FALSE),"")</f>
        <v/>
      </c>
      <c r="K47" t="str">
        <f t="shared" si="6"/>
        <v/>
      </c>
    </row>
    <row r="48" spans="7:11" x14ac:dyDescent="0.4">
      <c r="G48" t="str">
        <f t="shared" si="7"/>
        <v/>
      </c>
      <c r="H48" t="str">
        <f t="shared" si="1"/>
        <v/>
      </c>
      <c r="I48" t="str">
        <f t="shared" si="5"/>
        <v/>
      </c>
      <c r="J48" t="str">
        <f>IF(AND(G48&lt;&gt;"",G48&gt;horizon-duree_inv),I48*VLOOKUP(G48,'Poids Allocation'!$F$3:$I$43,2,FALSE),"")</f>
        <v/>
      </c>
      <c r="K48" t="str">
        <f t="shared" si="6"/>
        <v/>
      </c>
    </row>
    <row r="49" spans="7:11" x14ac:dyDescent="0.4">
      <c r="G49" t="str">
        <f t="shared" si="7"/>
        <v/>
      </c>
      <c r="H49" t="str">
        <f t="shared" ref="H49:H50" si="8">IF(G49 = 0,K49,IF(G49="","",IF(G49&lt;0,K48,IF(F49="versement",-$C$4,0))))</f>
        <v/>
      </c>
      <c r="I49" t="str">
        <f t="shared" ref="I49" si="9">IF(AND(G49&lt;&gt;"",G49&lt;&gt;0),K48-H49,"")</f>
        <v/>
      </c>
      <c r="J49" t="str">
        <f>IF(AND(G49&lt;&gt;"",G49&lt;&gt;0),I49*VLOOKUP(G49,'Poids Allocation'!$F$3:$I$43,2,FALSE),"")</f>
        <v/>
      </c>
      <c r="K49" t="str">
        <f t="shared" ref="K49" si="10">IF(AND(G49&lt;&gt;"",G49&lt;&gt;0),I49+J49,"")</f>
        <v/>
      </c>
    </row>
    <row r="50" spans="7:11" x14ac:dyDescent="0.4">
      <c r="G50" t="str">
        <f t="shared" si="7"/>
        <v/>
      </c>
      <c r="H50" t="str">
        <f t="shared" si="8"/>
        <v/>
      </c>
    </row>
  </sheetData>
  <dataValidations count="1">
    <dataValidation type="list" allowBlank="1" showInputMessage="1" showErrorMessage="1" sqref="C5" xr:uid="{679EBE71-B1C9-FC49-BA35-9C6F8859D6F2}">
      <formula1>"Equilibré , Dynamique"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Flux.flux" altText="Période de versement_x000a_">
                <anchor moveWithCells="1" sizeWithCells="1">
                  <from>
                    <xdr:col>5</xdr:col>
                    <xdr:colOff>38100</xdr:colOff>
                    <xdr:row>5</xdr:row>
                    <xdr:rowOff>12700</xdr:rowOff>
                  </from>
                  <to>
                    <xdr:col>6</xdr:col>
                    <xdr:colOff>736600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D7199-732C-4633-959B-A38F9052C7EB}">
  <sheetPr codeName="Feuil10">
    <tabColor theme="5" tint="0.79998168889431442"/>
  </sheetPr>
  <dimension ref="B2:K50"/>
  <sheetViews>
    <sheetView workbookViewId="0">
      <selection activeCell="C2" sqref="C2"/>
    </sheetView>
  </sheetViews>
  <sheetFormatPr baseColWidth="10" defaultRowHeight="16" x14ac:dyDescent="0.4"/>
  <cols>
    <col min="2" max="2" width="29.58203125" bestFit="1" customWidth="1"/>
    <col min="3" max="3" width="16.58203125" bestFit="1" customWidth="1"/>
    <col min="9" max="9" width="22" bestFit="1" customWidth="1"/>
    <col min="10" max="10" width="16" bestFit="1" customWidth="1"/>
    <col min="11" max="11" width="21.58203125" bestFit="1" customWidth="1"/>
  </cols>
  <sheetData>
    <row r="2" spans="2:11" ht="16.5" thickBot="1" x14ac:dyDescent="0.45">
      <c r="C2" t="s">
        <v>25</v>
      </c>
    </row>
    <row r="3" spans="2:11" ht="16.5" thickBot="1" x14ac:dyDescent="0.45">
      <c r="B3" s="9"/>
      <c r="C3" s="62" t="s">
        <v>20</v>
      </c>
    </row>
    <row r="4" spans="2:11" x14ac:dyDescent="0.4">
      <c r="B4" s="63" t="s">
        <v>21</v>
      </c>
      <c r="C4" s="68">
        <v>10000</v>
      </c>
    </row>
    <row r="5" spans="2:11" x14ac:dyDescent="0.4">
      <c r="B5" s="64" t="s">
        <v>22</v>
      </c>
      <c r="C5" s="66" t="s">
        <v>23</v>
      </c>
      <c r="J5" s="94"/>
    </row>
    <row r="6" spans="2:11" x14ac:dyDescent="0.4">
      <c r="B6" s="64" t="s">
        <v>24</v>
      </c>
      <c r="C6" s="66">
        <v>15</v>
      </c>
    </row>
    <row r="7" spans="2:11" x14ac:dyDescent="0.4">
      <c r="B7" s="64" t="s">
        <v>41</v>
      </c>
      <c r="C7" s="66">
        <v>10</v>
      </c>
    </row>
    <row r="8" spans="2:11" ht="16.5" thickBot="1" x14ac:dyDescent="0.45">
      <c r="B8" s="65" t="s">
        <v>31</v>
      </c>
      <c r="C8" s="67">
        <v>2</v>
      </c>
    </row>
    <row r="9" spans="2:11" ht="16.5" thickBot="1" x14ac:dyDescent="0.45">
      <c r="G9" s="78" t="s">
        <v>29</v>
      </c>
      <c r="H9" s="79" t="s">
        <v>30</v>
      </c>
      <c r="I9" s="80" t="s">
        <v>33</v>
      </c>
      <c r="J9" s="80" t="s">
        <v>34</v>
      </c>
      <c r="K9" s="81" t="s">
        <v>35</v>
      </c>
    </row>
    <row r="10" spans="2:11" x14ac:dyDescent="0.4">
      <c r="B10" s="9"/>
      <c r="C10" s="75" t="s">
        <v>26</v>
      </c>
      <c r="G10">
        <f>C6</f>
        <v>15</v>
      </c>
      <c r="H10">
        <f>IF(G10="","",IF(G10&lt;0,K9,IF(F10="versement",-$C$4,0)))</f>
        <v>0</v>
      </c>
      <c r="I10">
        <f>-H10</f>
        <v>0</v>
      </c>
      <c r="J10">
        <f>I10*(VLOOKUP(G10,'Poids Allocation'!$A$3:$D$43,2,FALSE) * 'Rendement annuel Portefeuille'!B2 +  VLOOKUP(G10,'Poids Allocation'!$A$3:$D$43,3,FALSE)*'Rendement annuel Portefeuille'!C2 + VLOOKUP(G10,'Poids Allocation'!$A$3:$D$43,4,FALSE)*'Rendement annuel Portefeuille'!D2)</f>
        <v>0</v>
      </c>
      <c r="K10">
        <f>I10+J10</f>
        <v>0</v>
      </c>
    </row>
    <row r="11" spans="2:11" x14ac:dyDescent="0.4">
      <c r="B11" s="76" t="s">
        <v>27</v>
      </c>
      <c r="C11" s="90">
        <f ca="1">IRR(H10:OFFSET(H10,duree_inv+1,0))</f>
        <v>4.1546817885146359E-2</v>
      </c>
      <c r="F11" t="s">
        <v>32</v>
      </c>
      <c r="G11">
        <f t="shared" ref="G11:G45" si="0">IFERROR(IF(G10-1&gt;=horizon-duree_inv,G10-1,""),"")</f>
        <v>14</v>
      </c>
      <c r="H11">
        <f t="shared" ref="H11:H48" si="1">IF(G11 = horizon-duree_inv,K10,IF(G11="","",IF(G11&lt;horizon-duree_inv,K10,IF(F11="versement",-$C$4,0))))</f>
        <v>-10000</v>
      </c>
      <c r="I11" s="95">
        <f t="shared" ref="I11" si="2">IF(G11=horizon-duree_inv,"",IF(AND(G11&lt;&gt;"",G11&gt;=horizon-duree_inv),K10-H11,""))</f>
        <v>10000</v>
      </c>
      <c r="J11" s="95">
        <f>I11*(VLOOKUP(G11,'Poids Allocation'!$A$3:$D$43,2,FALSE) * 'Rendement annuel Portefeuille'!B3 +  VLOOKUP(G11,'Poids Allocation'!$A$3:$D$43,3,FALSE)*'Rendement annuel Portefeuille'!C3 + VLOOKUP(G11,'Poids Allocation'!$A$3:$D$43,4,FALSE)*'Rendement annuel Portefeuille'!D3)</f>
        <v>287.73378283417867</v>
      </c>
      <c r="K11" s="95">
        <f t="shared" ref="K11" si="3">IF(AND(G11&lt;&gt;"",G11&gt;horizon-duree_inv),I11+J11,"")</f>
        <v>10287.733782834179</v>
      </c>
    </row>
    <row r="12" spans="2:11" ht="16.5" thickBot="1" x14ac:dyDescent="0.45">
      <c r="B12" s="77" t="s">
        <v>28</v>
      </c>
      <c r="C12" s="25">
        <f ca="1">OFFSET(start_year,duree_inv,1)</f>
        <v>61693.365360444237</v>
      </c>
      <c r="G12">
        <f t="shared" si="0"/>
        <v>13</v>
      </c>
      <c r="H12">
        <f t="shared" si="1"/>
        <v>0</v>
      </c>
      <c r="I12" s="95">
        <f t="shared" ref="I12:I20" si="4">IF(G12=horizon-duree_inv,"",IF(AND(G12&lt;&gt;"",G12&gt;=horizon-duree_inv),K11-H12,""))</f>
        <v>10287.733782834179</v>
      </c>
      <c r="J12" s="95">
        <f>I12*(VLOOKUP(G12,'Poids Allocation'!$A$3:$D$43,2,FALSE) * 'Rendement annuel Portefeuille'!B4 +  VLOOKUP(G12,'Poids Allocation'!$A$3:$D$43,3,FALSE)*'Rendement annuel Portefeuille'!C4 + VLOOKUP(G12,'Poids Allocation'!$A$3:$D$43,4,FALSE)*'Rendement annuel Portefeuille'!D4)</f>
        <v>882.41754894046915</v>
      </c>
      <c r="K12" s="95">
        <f t="shared" ref="K12:K20" si="5">IF(AND(G12&lt;&gt;"",G12&gt;horizon-duree_inv),I12+J12,"")</f>
        <v>11170.151331774648</v>
      </c>
    </row>
    <row r="13" spans="2:11" x14ac:dyDescent="0.4">
      <c r="F13" t="s">
        <v>32</v>
      </c>
      <c r="G13">
        <f t="shared" si="0"/>
        <v>12</v>
      </c>
      <c r="H13">
        <f t="shared" si="1"/>
        <v>-10000</v>
      </c>
      <c r="I13" s="95">
        <f t="shared" si="4"/>
        <v>21170.15133177465</v>
      </c>
      <c r="J13" s="95">
        <f>I13*(VLOOKUP(G13,'Poids Allocation'!$A$3:$D$43,2,FALSE) * 'Rendement annuel Portefeuille'!B5 +  VLOOKUP(G13,'Poids Allocation'!$A$3:$D$43,3,FALSE)*'Rendement annuel Portefeuille'!C5 + VLOOKUP(G13,'Poids Allocation'!$A$3:$D$43,4,FALSE)*'Rendement annuel Portefeuille'!D5)</f>
        <v>-1058.5664362983687</v>
      </c>
      <c r="K13" s="95">
        <f t="shared" si="5"/>
        <v>20111.584895476281</v>
      </c>
    </row>
    <row r="14" spans="2:11" x14ac:dyDescent="0.4">
      <c r="G14">
        <f t="shared" si="0"/>
        <v>11</v>
      </c>
      <c r="H14">
        <f t="shared" si="1"/>
        <v>0</v>
      </c>
      <c r="I14" s="95">
        <f t="shared" si="4"/>
        <v>20111.584895476281</v>
      </c>
      <c r="J14" s="95">
        <f>I14*(VLOOKUP(G14,'Poids Allocation'!$A$3:$D$43,2,FALSE) * 'Rendement annuel Portefeuille'!B6 +  VLOOKUP(G14,'Poids Allocation'!$A$3:$D$43,3,FALSE)*'Rendement annuel Portefeuille'!C6 + VLOOKUP(G14,'Poids Allocation'!$A$3:$D$43,4,FALSE)*'Rendement annuel Portefeuille'!D6)</f>
        <v>3600.9798136673771</v>
      </c>
      <c r="K14" s="95">
        <f t="shared" si="5"/>
        <v>23712.564709143659</v>
      </c>
    </row>
    <row r="15" spans="2:11" x14ac:dyDescent="0.4">
      <c r="F15" t="s">
        <v>32</v>
      </c>
      <c r="G15">
        <f t="shared" si="0"/>
        <v>10</v>
      </c>
      <c r="H15">
        <f t="shared" si="1"/>
        <v>-10000</v>
      </c>
      <c r="I15" s="95">
        <f t="shared" si="4"/>
        <v>33712.564709143655</v>
      </c>
      <c r="J15" s="95">
        <f>I15*(VLOOKUP(G15,'Poids Allocation'!$A$3:$D$43,2,FALSE) * 'Rendement annuel Portefeuille'!B7 +  VLOOKUP(G15,'Poids Allocation'!$A$3:$D$43,3,FALSE)*'Rendement annuel Portefeuille'!C7 + VLOOKUP(G15,'Poids Allocation'!$A$3:$D$43,4,FALSE)*'Rendement annuel Portefeuille'!D7)</f>
        <v>841.74877094421265</v>
      </c>
      <c r="K15" s="95">
        <f t="shared" si="5"/>
        <v>34554.313480087869</v>
      </c>
    </row>
    <row r="16" spans="2:11" x14ac:dyDescent="0.4">
      <c r="G16">
        <f t="shared" si="0"/>
        <v>9</v>
      </c>
      <c r="H16">
        <f t="shared" si="1"/>
        <v>0</v>
      </c>
      <c r="I16" s="95">
        <f t="shared" si="4"/>
        <v>34554.313480087869</v>
      </c>
      <c r="J16" s="95">
        <f>I16*(VLOOKUP(G16,'Poids Allocation'!$A$3:$D$43,2,FALSE) * 'Rendement annuel Portefeuille'!B8 +  VLOOKUP(G16,'Poids Allocation'!$A$3:$D$43,3,FALSE)*'Rendement annuel Portefeuille'!C8 + VLOOKUP(G16,'Poids Allocation'!$A$3:$D$43,4,FALSE)*'Rendement annuel Portefeuille'!D8)</f>
        <v>3126.9934336987217</v>
      </c>
      <c r="K16" s="95">
        <f t="shared" si="5"/>
        <v>37681.30691378659</v>
      </c>
    </row>
    <row r="17" spans="6:11" x14ac:dyDescent="0.4">
      <c r="F17" t="s">
        <v>32</v>
      </c>
      <c r="G17">
        <f t="shared" si="0"/>
        <v>8</v>
      </c>
      <c r="H17">
        <f t="shared" si="1"/>
        <v>-10000</v>
      </c>
      <c r="I17" s="95">
        <f t="shared" si="4"/>
        <v>47681.30691378659</v>
      </c>
      <c r="J17" s="95">
        <f>I17*(VLOOKUP(G17,'Poids Allocation'!$A$3:$D$43,2,FALSE) * 'Rendement annuel Portefeuille'!B9 +  VLOOKUP(G17,'Poids Allocation'!$A$3:$D$43,3,FALSE)*'Rendement annuel Portefeuille'!C9 + VLOOKUP(G17,'Poids Allocation'!$A$3:$D$43,4,FALSE)*'Rendement annuel Portefeuille'!D9)</f>
        <v>-1703.4421053794383</v>
      </c>
      <c r="K17" s="95">
        <f t="shared" si="5"/>
        <v>45977.864808407154</v>
      </c>
    </row>
    <row r="18" spans="6:11" x14ac:dyDescent="0.4">
      <c r="G18">
        <f t="shared" si="0"/>
        <v>7</v>
      </c>
      <c r="H18">
        <f t="shared" si="1"/>
        <v>0</v>
      </c>
      <c r="I18" s="95">
        <f t="shared" si="4"/>
        <v>45977.864808407154</v>
      </c>
      <c r="J18" s="95">
        <f>I18*(VLOOKUP(G18,'Poids Allocation'!$A$3:$D$43,2,FALSE) * 'Rendement annuel Portefeuille'!B10 +  VLOOKUP(G18,'Poids Allocation'!$A$3:$D$43,3,FALSE)*'Rendement annuel Portefeuille'!C10 + VLOOKUP(G18,'Poids Allocation'!$A$3:$D$43,4,FALSE)*'Rendement annuel Portefeuille'!D10)</f>
        <v>214.40478601788737</v>
      </c>
      <c r="K18" s="95">
        <f t="shared" si="5"/>
        <v>46192.269594425044</v>
      </c>
    </row>
    <row r="19" spans="6:11" x14ac:dyDescent="0.4">
      <c r="F19" t="s">
        <v>32</v>
      </c>
      <c r="G19">
        <f t="shared" si="0"/>
        <v>6</v>
      </c>
      <c r="H19">
        <f t="shared" si="1"/>
        <v>-10000</v>
      </c>
      <c r="I19" s="95">
        <f t="shared" si="4"/>
        <v>56192.269594425044</v>
      </c>
      <c r="J19" s="95">
        <f>I19*(VLOOKUP(G19,'Poids Allocation'!$A$3:$D$43,2,FALSE) * 'Rendement annuel Portefeuille'!B11 +  VLOOKUP(G19,'Poids Allocation'!$A$3:$D$43,3,FALSE)*'Rendement annuel Portefeuille'!C11 + VLOOKUP(G19,'Poids Allocation'!$A$3:$D$43,4,FALSE)*'Rendement annuel Portefeuille'!D11)</f>
        <v>5501.0957660191925</v>
      </c>
      <c r="K19" s="95">
        <f t="shared" si="5"/>
        <v>61693.365360444237</v>
      </c>
    </row>
    <row r="20" spans="6:11" x14ac:dyDescent="0.4">
      <c r="G20">
        <f t="shared" si="0"/>
        <v>5</v>
      </c>
      <c r="H20">
        <f t="shared" ref="H20:H44" si="6">IF(G20 = horizon-duree_inv,K19,IF(G20="","",IF(G20&lt;horizon-duree_inv,K19,IF(F20="versement",-$C$4,0))))</f>
        <v>61693.365360444237</v>
      </c>
      <c r="I20" s="95" t="str">
        <f t="shared" si="4"/>
        <v/>
      </c>
      <c r="J20" s="95"/>
      <c r="K20" s="95" t="str">
        <f t="shared" si="5"/>
        <v/>
      </c>
    </row>
    <row r="21" spans="6:11" x14ac:dyDescent="0.4">
      <c r="G21" t="str">
        <f t="shared" ref="G21:G44" si="7">IFERROR(IF(G20-1&gt;=horizon-duree_inv,G20-1,""),"")</f>
        <v/>
      </c>
      <c r="H21" t="str">
        <f t="shared" si="6"/>
        <v/>
      </c>
      <c r="I21" s="95" t="str">
        <f t="shared" ref="I21" si="8">IF(G21=horizon-duree_inv,"",IF(AND(G21&lt;&gt;"",G21&gt;=horizon-duree_inv),K20-H21,""))</f>
        <v/>
      </c>
      <c r="J21" s="95"/>
      <c r="K21" s="95" t="str">
        <f t="shared" ref="K21" si="9">IF(AND(G21&lt;&gt;"",G21&gt;horizon-duree_inv),I21+J21,"")</f>
        <v/>
      </c>
    </row>
    <row r="22" spans="6:11" x14ac:dyDescent="0.4">
      <c r="G22" t="str">
        <f t="shared" si="7"/>
        <v/>
      </c>
      <c r="H22" t="str">
        <f t="shared" si="6"/>
        <v/>
      </c>
      <c r="I22" s="95" t="str">
        <f t="shared" ref="I22:I44" si="10">IF(G22=horizon-duree_inv,"",IF(AND(G22&lt;&gt;"",G22&gt;=horizon-duree_inv),K21-H22,""))</f>
        <v/>
      </c>
      <c r="J22" s="95"/>
      <c r="K22" s="95" t="str">
        <f t="shared" ref="K22:K44" si="11">IF(AND(G22&lt;&gt;"",G22&gt;horizon-duree_inv),I22+J22,"")</f>
        <v/>
      </c>
    </row>
    <row r="23" spans="6:11" x14ac:dyDescent="0.4">
      <c r="G23" t="str">
        <f t="shared" si="7"/>
        <v/>
      </c>
      <c r="H23" t="str">
        <f t="shared" si="6"/>
        <v/>
      </c>
      <c r="I23" s="95" t="str">
        <f t="shared" si="10"/>
        <v/>
      </c>
      <c r="J23" s="95"/>
      <c r="K23" s="95" t="str">
        <f t="shared" si="11"/>
        <v/>
      </c>
    </row>
    <row r="24" spans="6:11" x14ac:dyDescent="0.4">
      <c r="G24" t="str">
        <f t="shared" si="7"/>
        <v/>
      </c>
      <c r="H24" t="str">
        <f t="shared" si="6"/>
        <v/>
      </c>
      <c r="I24" s="95" t="str">
        <f t="shared" si="10"/>
        <v/>
      </c>
      <c r="J24" s="95"/>
      <c r="K24" s="95" t="str">
        <f t="shared" si="11"/>
        <v/>
      </c>
    </row>
    <row r="25" spans="6:11" x14ac:dyDescent="0.4">
      <c r="G25" t="str">
        <f t="shared" si="7"/>
        <v/>
      </c>
      <c r="H25" t="str">
        <f t="shared" si="6"/>
        <v/>
      </c>
      <c r="I25" s="95" t="str">
        <f t="shared" si="10"/>
        <v/>
      </c>
      <c r="J25" s="95"/>
      <c r="K25" s="95" t="str">
        <f t="shared" si="11"/>
        <v/>
      </c>
    </row>
    <row r="26" spans="6:11" x14ac:dyDescent="0.4">
      <c r="G26" t="str">
        <f t="shared" si="7"/>
        <v/>
      </c>
      <c r="H26" t="str">
        <f t="shared" si="6"/>
        <v/>
      </c>
      <c r="I26" s="95" t="str">
        <f t="shared" si="10"/>
        <v/>
      </c>
      <c r="J26" s="95"/>
      <c r="K26" s="95" t="str">
        <f t="shared" si="11"/>
        <v/>
      </c>
    </row>
    <row r="27" spans="6:11" x14ac:dyDescent="0.4">
      <c r="G27" t="str">
        <f t="shared" si="7"/>
        <v/>
      </c>
      <c r="H27" t="str">
        <f t="shared" si="6"/>
        <v/>
      </c>
      <c r="I27" s="95" t="str">
        <f t="shared" si="10"/>
        <v/>
      </c>
      <c r="J27" s="95"/>
      <c r="K27" s="95" t="str">
        <f t="shared" si="11"/>
        <v/>
      </c>
    </row>
    <row r="28" spans="6:11" x14ac:dyDescent="0.4">
      <c r="G28" t="str">
        <f t="shared" si="7"/>
        <v/>
      </c>
      <c r="H28" t="str">
        <f t="shared" si="6"/>
        <v/>
      </c>
      <c r="I28" s="95" t="str">
        <f t="shared" si="10"/>
        <v/>
      </c>
      <c r="J28" s="95"/>
      <c r="K28" s="95" t="str">
        <f t="shared" si="11"/>
        <v/>
      </c>
    </row>
    <row r="29" spans="6:11" x14ac:dyDescent="0.4">
      <c r="G29" t="str">
        <f t="shared" si="7"/>
        <v/>
      </c>
      <c r="H29" t="str">
        <f t="shared" si="6"/>
        <v/>
      </c>
      <c r="I29" s="95" t="str">
        <f t="shared" si="10"/>
        <v/>
      </c>
      <c r="J29" s="95"/>
      <c r="K29" s="95" t="str">
        <f t="shared" si="11"/>
        <v/>
      </c>
    </row>
    <row r="30" spans="6:11" x14ac:dyDescent="0.4">
      <c r="G30" t="str">
        <f t="shared" si="7"/>
        <v/>
      </c>
      <c r="H30" t="str">
        <f t="shared" si="6"/>
        <v/>
      </c>
      <c r="I30" s="95" t="str">
        <f t="shared" si="10"/>
        <v/>
      </c>
      <c r="J30" s="95"/>
      <c r="K30" s="95" t="str">
        <f t="shared" si="11"/>
        <v/>
      </c>
    </row>
    <row r="31" spans="6:11" x14ac:dyDescent="0.4">
      <c r="G31" t="str">
        <f t="shared" si="7"/>
        <v/>
      </c>
      <c r="H31" t="str">
        <f t="shared" si="6"/>
        <v/>
      </c>
      <c r="I31" s="95" t="str">
        <f t="shared" si="10"/>
        <v/>
      </c>
      <c r="J31" s="95"/>
      <c r="K31" s="95" t="str">
        <f t="shared" si="11"/>
        <v/>
      </c>
    </row>
    <row r="32" spans="6:11" x14ac:dyDescent="0.4">
      <c r="G32" t="str">
        <f t="shared" si="7"/>
        <v/>
      </c>
      <c r="H32" t="str">
        <f t="shared" si="6"/>
        <v/>
      </c>
      <c r="I32" s="95" t="str">
        <f t="shared" si="10"/>
        <v/>
      </c>
      <c r="J32" s="95"/>
      <c r="K32" s="95" t="str">
        <f t="shared" si="11"/>
        <v/>
      </c>
    </row>
    <row r="33" spans="7:11" x14ac:dyDescent="0.4">
      <c r="G33" t="str">
        <f t="shared" si="7"/>
        <v/>
      </c>
      <c r="H33" t="str">
        <f t="shared" si="6"/>
        <v/>
      </c>
      <c r="I33" s="95" t="str">
        <f t="shared" si="10"/>
        <v/>
      </c>
      <c r="J33" s="95"/>
      <c r="K33" s="95" t="str">
        <f t="shared" si="11"/>
        <v/>
      </c>
    </row>
    <row r="34" spans="7:11" x14ac:dyDescent="0.4">
      <c r="G34" t="str">
        <f t="shared" si="7"/>
        <v/>
      </c>
      <c r="H34" t="str">
        <f t="shared" si="6"/>
        <v/>
      </c>
      <c r="I34" s="95" t="str">
        <f t="shared" si="10"/>
        <v/>
      </c>
      <c r="J34" s="95"/>
      <c r="K34" s="95" t="str">
        <f t="shared" si="11"/>
        <v/>
      </c>
    </row>
    <row r="35" spans="7:11" x14ac:dyDescent="0.4">
      <c r="G35" t="str">
        <f t="shared" si="7"/>
        <v/>
      </c>
      <c r="H35" t="str">
        <f t="shared" si="6"/>
        <v/>
      </c>
      <c r="I35" s="95" t="str">
        <f t="shared" si="10"/>
        <v/>
      </c>
      <c r="J35" s="95"/>
      <c r="K35" s="95" t="str">
        <f t="shared" si="11"/>
        <v/>
      </c>
    </row>
    <row r="36" spans="7:11" x14ac:dyDescent="0.4">
      <c r="G36" t="str">
        <f t="shared" si="7"/>
        <v/>
      </c>
      <c r="H36" t="str">
        <f t="shared" si="6"/>
        <v/>
      </c>
      <c r="I36" s="95" t="str">
        <f t="shared" si="10"/>
        <v/>
      </c>
      <c r="J36" s="95"/>
      <c r="K36" s="95" t="str">
        <f t="shared" si="11"/>
        <v/>
      </c>
    </row>
    <row r="37" spans="7:11" x14ac:dyDescent="0.4">
      <c r="G37" t="str">
        <f t="shared" si="7"/>
        <v/>
      </c>
      <c r="H37" t="str">
        <f t="shared" si="6"/>
        <v/>
      </c>
      <c r="I37" s="95" t="str">
        <f t="shared" si="10"/>
        <v/>
      </c>
      <c r="J37" s="95"/>
      <c r="K37" s="95" t="str">
        <f t="shared" si="11"/>
        <v/>
      </c>
    </row>
    <row r="38" spans="7:11" x14ac:dyDescent="0.4">
      <c r="G38" t="str">
        <f t="shared" si="7"/>
        <v/>
      </c>
      <c r="H38" t="str">
        <f t="shared" si="6"/>
        <v/>
      </c>
      <c r="I38" s="95" t="str">
        <f t="shared" si="10"/>
        <v/>
      </c>
      <c r="J38" s="95"/>
      <c r="K38" s="95" t="str">
        <f t="shared" si="11"/>
        <v/>
      </c>
    </row>
    <row r="39" spans="7:11" x14ac:dyDescent="0.4">
      <c r="G39" t="str">
        <f t="shared" si="7"/>
        <v/>
      </c>
      <c r="H39" t="str">
        <f t="shared" si="6"/>
        <v/>
      </c>
      <c r="I39" s="95" t="str">
        <f t="shared" si="10"/>
        <v/>
      </c>
      <c r="J39" s="95"/>
      <c r="K39" s="95" t="str">
        <f t="shared" si="11"/>
        <v/>
      </c>
    </row>
    <row r="40" spans="7:11" x14ac:dyDescent="0.4">
      <c r="G40" t="str">
        <f t="shared" si="7"/>
        <v/>
      </c>
      <c r="H40" t="str">
        <f t="shared" si="6"/>
        <v/>
      </c>
      <c r="I40" s="95" t="str">
        <f t="shared" si="10"/>
        <v/>
      </c>
      <c r="J40" s="95"/>
      <c r="K40" s="95" t="str">
        <f t="shared" si="11"/>
        <v/>
      </c>
    </row>
    <row r="41" spans="7:11" x14ac:dyDescent="0.4">
      <c r="G41" t="str">
        <f t="shared" si="7"/>
        <v/>
      </c>
      <c r="H41" t="str">
        <f t="shared" si="6"/>
        <v/>
      </c>
      <c r="I41" s="95" t="str">
        <f t="shared" si="10"/>
        <v/>
      </c>
      <c r="J41" s="95"/>
      <c r="K41" s="95" t="str">
        <f t="shared" si="11"/>
        <v/>
      </c>
    </row>
    <row r="42" spans="7:11" x14ac:dyDescent="0.4">
      <c r="G42" t="str">
        <f t="shared" si="7"/>
        <v/>
      </c>
      <c r="H42" t="str">
        <f t="shared" si="6"/>
        <v/>
      </c>
      <c r="I42" s="95" t="str">
        <f t="shared" si="10"/>
        <v/>
      </c>
      <c r="J42" s="95"/>
      <c r="K42" s="95" t="str">
        <f t="shared" si="11"/>
        <v/>
      </c>
    </row>
    <row r="43" spans="7:11" x14ac:dyDescent="0.4">
      <c r="G43" t="str">
        <f t="shared" si="7"/>
        <v/>
      </c>
      <c r="H43" t="str">
        <f t="shared" si="6"/>
        <v/>
      </c>
      <c r="I43" s="95" t="str">
        <f t="shared" si="10"/>
        <v/>
      </c>
      <c r="J43" s="95"/>
      <c r="K43" s="95" t="str">
        <f t="shared" si="11"/>
        <v/>
      </c>
    </row>
    <row r="44" spans="7:11" x14ac:dyDescent="0.4">
      <c r="G44" t="str">
        <f t="shared" si="7"/>
        <v/>
      </c>
      <c r="H44" t="str">
        <f t="shared" si="6"/>
        <v/>
      </c>
      <c r="I44" s="95" t="str">
        <f t="shared" si="10"/>
        <v/>
      </c>
      <c r="J44" s="95"/>
      <c r="K44" s="95" t="str">
        <f t="shared" si="11"/>
        <v/>
      </c>
    </row>
    <row r="45" spans="7:11" x14ac:dyDescent="0.4">
      <c r="G45" t="str">
        <f t="shared" si="0"/>
        <v/>
      </c>
      <c r="H45" t="str">
        <f t="shared" si="1"/>
        <v/>
      </c>
      <c r="I45" t="str">
        <f t="shared" ref="I45:I48" si="12">IF(G45=horizon-duree_inv,"",IF(AND(G45&lt;&gt;"",G45&gt;=horizon-duree_inv),K44-H45,""))</f>
        <v/>
      </c>
      <c r="K45" t="str">
        <f t="shared" ref="K45:K48" si="13">IF(AND(G45&lt;&gt;"",G45&gt;horizon-duree_inv),I45+J45,"")</f>
        <v/>
      </c>
    </row>
    <row r="46" spans="7:11" x14ac:dyDescent="0.4">
      <c r="G46" t="str">
        <f>IFERROR(IF(G45-1&gt;=duree_inv,G45-1,""),"")</f>
        <v/>
      </c>
      <c r="H46" t="str">
        <f t="shared" si="1"/>
        <v/>
      </c>
      <c r="I46" t="str">
        <f t="shared" si="12"/>
        <v/>
      </c>
      <c r="K46" t="str">
        <f t="shared" si="13"/>
        <v/>
      </c>
    </row>
    <row r="47" spans="7:11" x14ac:dyDescent="0.4">
      <c r="G47" t="str">
        <f t="shared" ref="G47:G50" si="14">IFERROR(IF(G46-1&gt;=0,G46-1,""),"")</f>
        <v/>
      </c>
      <c r="H47" t="str">
        <f t="shared" si="1"/>
        <v/>
      </c>
      <c r="I47" t="str">
        <f t="shared" si="12"/>
        <v/>
      </c>
      <c r="K47" t="str">
        <f t="shared" si="13"/>
        <v/>
      </c>
    </row>
    <row r="48" spans="7:11" x14ac:dyDescent="0.4">
      <c r="G48" t="str">
        <f t="shared" si="14"/>
        <v/>
      </c>
      <c r="H48" t="str">
        <f t="shared" si="1"/>
        <v/>
      </c>
      <c r="I48" t="str">
        <f t="shared" si="12"/>
        <v/>
      </c>
      <c r="K48" t="str">
        <f t="shared" si="13"/>
        <v/>
      </c>
    </row>
    <row r="49" spans="7:11" x14ac:dyDescent="0.4">
      <c r="G49" t="str">
        <f t="shared" si="14"/>
        <v/>
      </c>
      <c r="H49" t="str">
        <f t="shared" ref="H49:H50" si="15">IF(G49 = 0,K49,IF(G49="","",IF(G49&lt;0,K48,IF(F49="versement",-$C$4,0))))</f>
        <v/>
      </c>
      <c r="I49" t="str">
        <f t="shared" ref="I49" si="16">IF(AND(G49&lt;&gt;"",G49&lt;&gt;0),K48-H49,"")</f>
        <v/>
      </c>
      <c r="K49" t="str">
        <f t="shared" ref="K49" si="17">IF(AND(G49&lt;&gt;"",G49&lt;&gt;0),I49+J49,"")</f>
        <v/>
      </c>
    </row>
    <row r="50" spans="7:11" x14ac:dyDescent="0.4">
      <c r="G50" t="str">
        <f t="shared" si="14"/>
        <v/>
      </c>
      <c r="H50" t="str">
        <f t="shared" si="15"/>
        <v/>
      </c>
    </row>
  </sheetData>
  <dataValidations count="1">
    <dataValidation type="list" allowBlank="1" showInputMessage="1" showErrorMessage="1" sqref="C5" xr:uid="{B4E3B179-DF24-4556-8CD8-00989BC2A4DD}">
      <formula1>"Equilibré , Dynamique"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Flux.flux" altText="Période de versement_x000a_">
                <anchor moveWithCells="1" sizeWithCells="1">
                  <from>
                    <xdr:col>5</xdr:col>
                    <xdr:colOff>38100</xdr:colOff>
                    <xdr:row>5</xdr:row>
                    <xdr:rowOff>12700</xdr:rowOff>
                  </from>
                  <to>
                    <xdr:col>6</xdr:col>
                    <xdr:colOff>736600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484C7-EE13-460E-996B-D133744990B4}">
  <sheetPr codeName="Feuil4">
    <tabColor theme="5" tint="0.79998168889431442"/>
  </sheetPr>
  <dimension ref="A1:D11"/>
  <sheetViews>
    <sheetView workbookViewId="0">
      <selection activeCell="F4" sqref="F4"/>
    </sheetView>
  </sheetViews>
  <sheetFormatPr baseColWidth="10" defaultRowHeight="16" x14ac:dyDescent="0.4"/>
  <cols>
    <col min="2" max="2" width="10.75" bestFit="1" customWidth="1"/>
    <col min="3" max="3" width="14.08203125" bestFit="1" customWidth="1"/>
    <col min="4" max="4" width="13.83203125" bestFit="1" customWidth="1"/>
  </cols>
  <sheetData>
    <row r="1" spans="1:4" ht="16.5" thickBot="1" x14ac:dyDescent="0.45">
      <c r="B1" s="96" t="s">
        <v>44</v>
      </c>
      <c r="C1" s="97" t="s">
        <v>45</v>
      </c>
      <c r="D1" s="98" t="s">
        <v>46</v>
      </c>
    </row>
    <row r="2" spans="1:4" x14ac:dyDescent="0.4">
      <c r="A2" s="9">
        <v>2015</v>
      </c>
      <c r="B2" s="36">
        <v>7.1273906573182666E-2</v>
      </c>
      <c r="C2" s="36">
        <v>1.7058929751222921E-2</v>
      </c>
      <c r="D2" s="37">
        <v>-1.0772191328625169E-3</v>
      </c>
    </row>
    <row r="3" spans="1:4" x14ac:dyDescent="0.4">
      <c r="A3" s="21">
        <v>2016</v>
      </c>
      <c r="B3" s="39">
        <v>3.0035270397823721E-2</v>
      </c>
      <c r="C3" s="39">
        <v>2.3024758651124522E-2</v>
      </c>
      <c r="D3" s="40">
        <v>-3.526303951991272E-3</v>
      </c>
    </row>
    <row r="4" spans="1:4" x14ac:dyDescent="0.4">
      <c r="A4" s="21">
        <v>2017</v>
      </c>
      <c r="B4" s="39">
        <v>0.1192989705795631</v>
      </c>
      <c r="C4" s="39">
        <v>-2.6462839691722358E-2</v>
      </c>
      <c r="D4" s="40">
        <v>-3.2942917398205429E-3</v>
      </c>
    </row>
    <row r="5" spans="1:4" x14ac:dyDescent="0.4">
      <c r="A5" s="21">
        <v>2018</v>
      </c>
      <c r="B5" s="39">
        <v>-7.3348386759237494E-2</v>
      </c>
      <c r="C5" s="39">
        <v>4.4702998104748648E-3</v>
      </c>
      <c r="D5" s="40">
        <v>-3.6492567463363157E-3</v>
      </c>
    </row>
    <row r="6" spans="1:4" x14ac:dyDescent="0.4">
      <c r="A6" s="21">
        <v>2019</v>
      </c>
      <c r="B6" s="39">
        <v>0.21714015278043661</v>
      </c>
      <c r="C6" s="39">
        <v>0.1174820060653738</v>
      </c>
      <c r="D6" s="40">
        <v>-4.1791677877878186E-3</v>
      </c>
    </row>
    <row r="7" spans="1:4" x14ac:dyDescent="0.4">
      <c r="A7" s="21">
        <v>2020</v>
      </c>
      <c r="B7" s="39">
        <v>4.034243796347492E-2</v>
      </c>
      <c r="C7" s="39">
        <v>7.7922924903777169E-3</v>
      </c>
      <c r="D7" s="40">
        <v>-5.5734384429929618E-3</v>
      </c>
    </row>
    <row r="8" spans="1:4" x14ac:dyDescent="0.4">
      <c r="A8" s="21">
        <v>2021</v>
      </c>
      <c r="B8" s="39">
        <v>0.19199197034339541</v>
      </c>
      <c r="C8" s="39">
        <v>1.272418985295265E-2</v>
      </c>
      <c r="D8" s="40">
        <v>-5.7256283917792583E-3</v>
      </c>
    </row>
    <row r="9" spans="1:4" x14ac:dyDescent="0.4">
      <c r="A9" s="21">
        <v>2022</v>
      </c>
      <c r="B9" s="39">
        <v>-2.1769780134189509E-2</v>
      </c>
      <c r="C9" s="39">
        <v>-5.0590046322912641E-2</v>
      </c>
      <c r="D9" s="40">
        <v>6.5762046400630325E-5</v>
      </c>
    </row>
    <row r="10" spans="1:4" x14ac:dyDescent="0.4">
      <c r="A10" s="21">
        <v>2023</v>
      </c>
      <c r="B10" s="39">
        <v>2.0481441599273561E-2</v>
      </c>
      <c r="C10" s="39">
        <v>-9.7396079956447723E-3</v>
      </c>
      <c r="D10" s="40">
        <v>3.3057661663303817E-2</v>
      </c>
    </row>
    <row r="11" spans="1:4" ht="16.5" thickBot="1" x14ac:dyDescent="0.45">
      <c r="A11" s="23">
        <v>2024</v>
      </c>
      <c r="B11" s="42">
        <v>0.19320711816253699</v>
      </c>
      <c r="C11" s="42">
        <v>9.6563447512558298E-2</v>
      </c>
      <c r="D11" s="43">
        <v>3.7693853688740564E-2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27F7C-1DFF-40BF-A147-2DC29A711B76}">
  <sheetPr codeName="Feuil12">
    <tabColor theme="8" tint="-0.499984740745262"/>
  </sheetPr>
  <dimension ref="A1:J45"/>
  <sheetViews>
    <sheetView topLeftCell="A16" workbookViewId="0">
      <selection activeCell="G10" sqref="G10"/>
    </sheetView>
  </sheetViews>
  <sheetFormatPr baseColWidth="10" defaultRowHeight="16" x14ac:dyDescent="0.4"/>
  <cols>
    <col min="1" max="1" width="13.83203125" bestFit="1" customWidth="1"/>
    <col min="2" max="2" width="13.58203125" customWidth="1"/>
    <col min="3" max="3" width="16.58203125" customWidth="1"/>
    <col min="4" max="5" width="12.58203125" customWidth="1"/>
    <col min="7" max="7" width="11.08203125" bestFit="1" customWidth="1"/>
    <col min="9" max="9" width="12.33203125" bestFit="1" customWidth="1"/>
  </cols>
  <sheetData>
    <row r="1" spans="1:10" ht="32.5" thickBot="1" x14ac:dyDescent="0.45">
      <c r="A1" s="1" t="s">
        <v>6</v>
      </c>
      <c r="B1" s="1" t="s">
        <v>0</v>
      </c>
      <c r="C1" s="2" t="s">
        <v>1</v>
      </c>
      <c r="D1" s="2" t="s">
        <v>2</v>
      </c>
      <c r="E1" s="61"/>
    </row>
    <row r="2" spans="1:10" ht="32.5" thickBot="1" x14ac:dyDescent="0.45">
      <c r="A2" s="3"/>
      <c r="B2" s="4" t="s">
        <v>3</v>
      </c>
      <c r="C2" s="5" t="s">
        <v>4</v>
      </c>
      <c r="D2" s="5" t="s">
        <v>5</v>
      </c>
      <c r="E2" s="61"/>
      <c r="G2" s="61" t="s">
        <v>7</v>
      </c>
      <c r="H2" s="61" t="s">
        <v>8</v>
      </c>
      <c r="I2" s="61" t="s">
        <v>9</v>
      </c>
    </row>
    <row r="3" spans="1:10" ht="16.5" thickBot="1" x14ac:dyDescent="0.45">
      <c r="A3" s="4">
        <v>40</v>
      </c>
      <c r="B3" s="6">
        <v>1</v>
      </c>
      <c r="C3" s="7">
        <v>0</v>
      </c>
      <c r="D3" s="7">
        <v>0</v>
      </c>
      <c r="E3" s="74"/>
      <c r="F3" s="4">
        <v>40</v>
      </c>
      <c r="G3" s="58">
        <f>B3*Hypothèses!$G$11 + 'Poids Allocation Dynamique'!C3*Hypothèses!$H$11 + 'Poids Allocation Dynamique'!D3*Hypothèses!$I$11</f>
        <v>0.06</v>
      </c>
      <c r="H3" s="60">
        <f>B3^2 * Hypothèses!$G$12 + 'Poids Allocation Dynamique'!C3^2*Hypothèses!$H$12 + 'Poids Allocation Dynamique'!D3^2 * Hypothèses!$I$12 + 2 * 'Poids Allocation Dynamique'!B3 * 'Poids Allocation Dynamique'!C3 * Hypothèses!$H$21 + 2 * 'Poids Allocation Dynamique'!C3 * 'Poids Allocation Dynamique'!D3 * Hypothèses!$I$22 + 2 * 'Poids Allocation Dynamique'!B3 * 'Poids Allocation Dynamique'!D3 * Hypothèses!$I$21</f>
        <v>1.9221952560063371E-2</v>
      </c>
      <c r="I3" s="58">
        <f>SQRT(H3)</f>
        <v>0.13864325645361686</v>
      </c>
      <c r="J3">
        <v>40</v>
      </c>
    </row>
    <row r="4" spans="1:10" ht="16.5" thickBot="1" x14ac:dyDescent="0.45">
      <c r="A4" s="4">
        <v>39</v>
      </c>
      <c r="B4" s="6">
        <v>1</v>
      </c>
      <c r="C4" s="7">
        <v>0</v>
      </c>
      <c r="D4" s="7">
        <v>0</v>
      </c>
      <c r="E4" s="74"/>
      <c r="F4" s="4">
        <v>39</v>
      </c>
      <c r="G4" s="58">
        <f>B4*Hypothèses!$G$11 + 'Poids Allocation Dynamique'!C4*Hypothèses!$H$11 + 'Poids Allocation Dynamique'!D4*Hypothèses!$I$11</f>
        <v>0.06</v>
      </c>
      <c r="H4" s="60">
        <f>B4^2 * Hypothèses!$G$12 + 'Poids Allocation Dynamique'!C4^2*Hypothèses!$H$12 + 'Poids Allocation Dynamique'!D4^2 * Hypothèses!$I$12 + 2 * 'Poids Allocation Dynamique'!B4 * 'Poids Allocation Dynamique'!C4 * Hypothèses!$H$21 + 2 * 'Poids Allocation Dynamique'!C4 * 'Poids Allocation Dynamique'!D4 * Hypothèses!$I$22 + 2 * 'Poids Allocation Dynamique'!B4 * 'Poids Allocation Dynamique'!D4 * Hypothèses!$I$21</f>
        <v>1.9221952560063371E-2</v>
      </c>
      <c r="I4" s="58">
        <f t="shared" ref="I4:I43" si="0">SQRT(H4)</f>
        <v>0.13864325645361686</v>
      </c>
      <c r="J4">
        <f>J3-1</f>
        <v>39</v>
      </c>
    </row>
    <row r="5" spans="1:10" ht="16.5" thickBot="1" x14ac:dyDescent="0.45">
      <c r="A5" s="4">
        <v>38</v>
      </c>
      <c r="B5" s="6">
        <v>1</v>
      </c>
      <c r="C5" s="7">
        <v>0</v>
      </c>
      <c r="D5" s="7">
        <v>0</v>
      </c>
      <c r="E5" s="74"/>
      <c r="F5" s="4">
        <v>38</v>
      </c>
      <c r="G5" s="58">
        <f>B5*Hypothèses!$G$11 + 'Poids Allocation Dynamique'!C5*Hypothèses!$H$11 + 'Poids Allocation Dynamique'!D5*Hypothèses!$I$11</f>
        <v>0.06</v>
      </c>
      <c r="H5" s="60">
        <f>B5^2 * Hypothèses!$G$12 + 'Poids Allocation Dynamique'!C5^2*Hypothèses!$H$12 + 'Poids Allocation Dynamique'!D5^2 * Hypothèses!$I$12 + 2 * 'Poids Allocation Dynamique'!B5 * 'Poids Allocation Dynamique'!C5 * Hypothèses!$H$21 + 2 * 'Poids Allocation Dynamique'!C5 * 'Poids Allocation Dynamique'!D5 * Hypothèses!$I$22 + 2 * 'Poids Allocation Dynamique'!B5 * 'Poids Allocation Dynamique'!D5 * Hypothèses!$I$21</f>
        <v>1.9221952560063371E-2</v>
      </c>
      <c r="I5" s="58">
        <f t="shared" si="0"/>
        <v>0.13864325645361686</v>
      </c>
      <c r="J5">
        <f t="shared" ref="J5:J43" si="1">J4-1</f>
        <v>38</v>
      </c>
    </row>
    <row r="6" spans="1:10" ht="16.5" thickBot="1" x14ac:dyDescent="0.45">
      <c r="A6" s="4">
        <v>37</v>
      </c>
      <c r="B6" s="6">
        <v>1</v>
      </c>
      <c r="C6" s="7">
        <v>0</v>
      </c>
      <c r="D6" s="7">
        <v>0</v>
      </c>
      <c r="E6" s="74"/>
      <c r="F6" s="4">
        <v>37</v>
      </c>
      <c r="G6" s="58">
        <f>B6*Hypothèses!$G$11 + 'Poids Allocation Dynamique'!C6*Hypothèses!$H$11 + 'Poids Allocation Dynamique'!D6*Hypothèses!$I$11</f>
        <v>0.06</v>
      </c>
      <c r="H6" s="60">
        <f>B6^2 * Hypothèses!$G$12 + 'Poids Allocation Dynamique'!C6^2*Hypothèses!$H$12 + 'Poids Allocation Dynamique'!D6^2 * Hypothèses!$I$12 + 2 * 'Poids Allocation Dynamique'!B6 * 'Poids Allocation Dynamique'!C6 * Hypothèses!$H$21 + 2 * 'Poids Allocation Dynamique'!C6 * 'Poids Allocation Dynamique'!D6 * Hypothèses!$I$22 + 2 * 'Poids Allocation Dynamique'!B6 * 'Poids Allocation Dynamique'!D6 * Hypothèses!$I$21</f>
        <v>1.9221952560063371E-2</v>
      </c>
      <c r="I6" s="58">
        <f t="shared" si="0"/>
        <v>0.13864325645361686</v>
      </c>
      <c r="J6">
        <f t="shared" si="1"/>
        <v>37</v>
      </c>
    </row>
    <row r="7" spans="1:10" ht="16.5" thickBot="1" x14ac:dyDescent="0.45">
      <c r="A7" s="4">
        <v>36</v>
      </c>
      <c r="B7" s="6">
        <v>1</v>
      </c>
      <c r="C7" s="7">
        <v>0</v>
      </c>
      <c r="D7" s="7">
        <v>0</v>
      </c>
      <c r="E7" s="74"/>
      <c r="F7" s="4">
        <v>36</v>
      </c>
      <c r="G7" s="58">
        <f>B7*Hypothèses!$G$11 + 'Poids Allocation Dynamique'!C7*Hypothèses!$H$11 + 'Poids Allocation Dynamique'!D7*Hypothèses!$I$11</f>
        <v>0.06</v>
      </c>
      <c r="H7" s="60">
        <f>B7^2 * Hypothèses!$G$12 + 'Poids Allocation Dynamique'!C7^2*Hypothèses!$H$12 + 'Poids Allocation Dynamique'!D7^2 * Hypothèses!$I$12 + 2 * 'Poids Allocation Dynamique'!B7 * 'Poids Allocation Dynamique'!C7 * Hypothèses!$H$21 + 2 * 'Poids Allocation Dynamique'!C7 * 'Poids Allocation Dynamique'!D7 * Hypothèses!$I$22 + 2 * 'Poids Allocation Dynamique'!B7 * 'Poids Allocation Dynamique'!D7 * Hypothèses!$I$21</f>
        <v>1.9221952560063371E-2</v>
      </c>
      <c r="I7" s="58">
        <f t="shared" si="0"/>
        <v>0.13864325645361686</v>
      </c>
      <c r="J7">
        <f t="shared" si="1"/>
        <v>36</v>
      </c>
    </row>
    <row r="8" spans="1:10" ht="16.5" thickBot="1" x14ac:dyDescent="0.45">
      <c r="A8" s="4">
        <v>35</v>
      </c>
      <c r="B8" s="6">
        <v>1</v>
      </c>
      <c r="C8" s="7">
        <v>0</v>
      </c>
      <c r="D8" s="7">
        <v>0</v>
      </c>
      <c r="E8" s="74"/>
      <c r="F8" s="4">
        <v>35</v>
      </c>
      <c r="G8" s="58">
        <f>B8*Hypothèses!$G$11 + 'Poids Allocation Dynamique'!C8*Hypothèses!$H$11 + 'Poids Allocation Dynamique'!D8*Hypothèses!$I$11</f>
        <v>0.06</v>
      </c>
      <c r="H8" s="60">
        <f>B8^2 * Hypothèses!$G$12 + 'Poids Allocation Dynamique'!C8^2*Hypothèses!$H$12 + 'Poids Allocation Dynamique'!D8^2 * Hypothèses!$I$12 + 2 * 'Poids Allocation Dynamique'!B8 * 'Poids Allocation Dynamique'!C8 * Hypothèses!$H$21 + 2 * 'Poids Allocation Dynamique'!C8 * 'Poids Allocation Dynamique'!D8 * Hypothèses!$I$22 + 2 * 'Poids Allocation Dynamique'!B8 * 'Poids Allocation Dynamique'!D8 * Hypothèses!$I$21</f>
        <v>1.9221952560063371E-2</v>
      </c>
      <c r="I8" s="58">
        <f t="shared" si="0"/>
        <v>0.13864325645361686</v>
      </c>
      <c r="J8">
        <f t="shared" si="1"/>
        <v>35</v>
      </c>
    </row>
    <row r="9" spans="1:10" ht="16.5" thickBot="1" x14ac:dyDescent="0.45">
      <c r="A9" s="4">
        <v>34</v>
      </c>
      <c r="B9" s="6">
        <v>1</v>
      </c>
      <c r="C9" s="7">
        <v>0</v>
      </c>
      <c r="D9" s="7">
        <v>0</v>
      </c>
      <c r="E9" s="74"/>
      <c r="F9" s="4">
        <v>34</v>
      </c>
      <c r="G9" s="58">
        <f>B9*Hypothèses!$G$11 + 'Poids Allocation Dynamique'!C9*Hypothèses!$H$11 + 'Poids Allocation Dynamique'!D9*Hypothèses!$I$11</f>
        <v>0.06</v>
      </c>
      <c r="H9" s="60">
        <f>B9^2 * Hypothèses!$G$12 + 'Poids Allocation Dynamique'!C9^2*Hypothèses!$H$12 + 'Poids Allocation Dynamique'!D9^2 * Hypothèses!$I$12 + 2 * 'Poids Allocation Dynamique'!B9 * 'Poids Allocation Dynamique'!C9 * Hypothèses!$H$21 + 2 * 'Poids Allocation Dynamique'!C9 * 'Poids Allocation Dynamique'!D9 * Hypothèses!$I$22 + 2 * 'Poids Allocation Dynamique'!B9 * 'Poids Allocation Dynamique'!D9 * Hypothèses!$I$21</f>
        <v>1.9221952560063371E-2</v>
      </c>
      <c r="I9" s="58">
        <f t="shared" si="0"/>
        <v>0.13864325645361686</v>
      </c>
      <c r="J9">
        <f t="shared" si="1"/>
        <v>34</v>
      </c>
    </row>
    <row r="10" spans="1:10" ht="16.5" thickBot="1" x14ac:dyDescent="0.45">
      <c r="A10" s="4">
        <v>33</v>
      </c>
      <c r="B10" s="6">
        <v>1</v>
      </c>
      <c r="C10" s="7">
        <v>0</v>
      </c>
      <c r="D10" s="7">
        <v>0</v>
      </c>
      <c r="E10" s="74"/>
      <c r="F10" s="4">
        <v>33</v>
      </c>
      <c r="G10" s="58">
        <f>B10*Hypothèses!$G$11 + 'Poids Allocation Dynamique'!C10*Hypothèses!$H$11 + 'Poids Allocation Dynamique'!D10*Hypothèses!$I$11</f>
        <v>0.06</v>
      </c>
      <c r="H10" s="60">
        <f>B10^2 * Hypothèses!$G$12 + 'Poids Allocation Dynamique'!C10^2*Hypothèses!$H$12 + 'Poids Allocation Dynamique'!D10^2 * Hypothèses!$I$12 + 2 * 'Poids Allocation Dynamique'!B10 * 'Poids Allocation Dynamique'!C10 * Hypothèses!$H$21 + 2 * 'Poids Allocation Dynamique'!C10 * 'Poids Allocation Dynamique'!D10 * Hypothèses!$I$22 + 2 * 'Poids Allocation Dynamique'!B10 * 'Poids Allocation Dynamique'!D10 * Hypothèses!$I$21</f>
        <v>1.9221952560063371E-2</v>
      </c>
      <c r="I10" s="58">
        <f t="shared" si="0"/>
        <v>0.13864325645361686</v>
      </c>
      <c r="J10">
        <f t="shared" si="1"/>
        <v>33</v>
      </c>
    </row>
    <row r="11" spans="1:10" ht="16.5" thickBot="1" x14ac:dyDescent="0.45">
      <c r="A11" s="4">
        <v>32</v>
      </c>
      <c r="B11" s="6">
        <v>1</v>
      </c>
      <c r="C11" s="7">
        <v>0</v>
      </c>
      <c r="D11" s="7">
        <v>0</v>
      </c>
      <c r="E11" s="74"/>
      <c r="F11" s="4">
        <v>32</v>
      </c>
      <c r="G11" s="58">
        <f>B11*Hypothèses!$G$11 + 'Poids Allocation Dynamique'!C11*Hypothèses!$H$11 + 'Poids Allocation Dynamique'!D11*Hypothèses!$I$11</f>
        <v>0.06</v>
      </c>
      <c r="H11" s="60">
        <f>B11^2 * Hypothèses!$G$12 + 'Poids Allocation Dynamique'!C11^2*Hypothèses!$H$12 + 'Poids Allocation Dynamique'!D11^2 * Hypothèses!$I$12 + 2 * 'Poids Allocation Dynamique'!B11 * 'Poids Allocation Dynamique'!C11 * Hypothèses!$H$21 + 2 * 'Poids Allocation Dynamique'!C11 * 'Poids Allocation Dynamique'!D11 * Hypothèses!$I$22 + 2 * 'Poids Allocation Dynamique'!B11 * 'Poids Allocation Dynamique'!D11 * Hypothèses!$I$21</f>
        <v>1.9221952560063371E-2</v>
      </c>
      <c r="I11" s="58">
        <f t="shared" si="0"/>
        <v>0.13864325645361686</v>
      </c>
      <c r="J11">
        <f t="shared" si="1"/>
        <v>32</v>
      </c>
    </row>
    <row r="12" spans="1:10" ht="16.5" thickBot="1" x14ac:dyDescent="0.45">
      <c r="A12" s="4">
        <v>31</v>
      </c>
      <c r="B12" s="6">
        <v>1</v>
      </c>
      <c r="C12" s="7">
        <v>0</v>
      </c>
      <c r="D12" s="7">
        <v>0</v>
      </c>
      <c r="E12" s="74"/>
      <c r="F12" s="4">
        <v>31</v>
      </c>
      <c r="G12" s="58">
        <f>B12*Hypothèses!$G$11 + 'Poids Allocation Dynamique'!C12*Hypothèses!$H$11 + 'Poids Allocation Dynamique'!D12*Hypothèses!$I$11</f>
        <v>0.06</v>
      </c>
      <c r="H12" s="60">
        <f>B12^2 * Hypothèses!$G$12 + 'Poids Allocation Dynamique'!C12^2*Hypothèses!$H$12 + 'Poids Allocation Dynamique'!D12^2 * Hypothèses!$I$12 + 2 * 'Poids Allocation Dynamique'!B12 * 'Poids Allocation Dynamique'!C12 * Hypothèses!$H$21 + 2 * 'Poids Allocation Dynamique'!C12 * 'Poids Allocation Dynamique'!D12 * Hypothèses!$I$22 + 2 * 'Poids Allocation Dynamique'!B12 * 'Poids Allocation Dynamique'!D12 * Hypothèses!$I$21</f>
        <v>1.9221952560063371E-2</v>
      </c>
      <c r="I12" s="58">
        <f t="shared" si="0"/>
        <v>0.13864325645361686</v>
      </c>
      <c r="J12">
        <f t="shared" si="1"/>
        <v>31</v>
      </c>
    </row>
    <row r="13" spans="1:10" ht="16.5" thickBot="1" x14ac:dyDescent="0.45">
      <c r="A13" s="4">
        <v>30</v>
      </c>
      <c r="B13" s="6">
        <v>1</v>
      </c>
      <c r="C13" s="7">
        <v>0</v>
      </c>
      <c r="D13" s="7">
        <v>0</v>
      </c>
      <c r="E13" s="74"/>
      <c r="F13" s="4">
        <v>30</v>
      </c>
      <c r="G13" s="58">
        <f>B13*Hypothèses!$G$11 + 'Poids Allocation Dynamique'!C13*Hypothèses!$H$11 + 'Poids Allocation Dynamique'!D13*Hypothèses!$I$11</f>
        <v>0.06</v>
      </c>
      <c r="H13" s="60">
        <f>B13^2 * Hypothèses!$G$12 + 'Poids Allocation Dynamique'!C13^2*Hypothèses!$H$12 + 'Poids Allocation Dynamique'!D13^2 * Hypothèses!$I$12 + 2 * 'Poids Allocation Dynamique'!B13 * 'Poids Allocation Dynamique'!C13 * Hypothèses!$H$21 + 2 * 'Poids Allocation Dynamique'!C13 * 'Poids Allocation Dynamique'!D13 * Hypothèses!$I$22 + 2 * 'Poids Allocation Dynamique'!B13 * 'Poids Allocation Dynamique'!D13 * Hypothèses!$I$21</f>
        <v>1.9221952560063371E-2</v>
      </c>
      <c r="I13" s="58">
        <f t="shared" si="0"/>
        <v>0.13864325645361686</v>
      </c>
      <c r="J13">
        <f t="shared" si="1"/>
        <v>30</v>
      </c>
    </row>
    <row r="14" spans="1:10" ht="16.5" thickBot="1" x14ac:dyDescent="0.45">
      <c r="A14" s="4">
        <v>29</v>
      </c>
      <c r="B14" s="6">
        <v>1</v>
      </c>
      <c r="C14" s="7">
        <v>0</v>
      </c>
      <c r="D14" s="7">
        <v>0</v>
      </c>
      <c r="E14" s="74"/>
      <c r="F14" s="4">
        <v>29</v>
      </c>
      <c r="G14" s="58">
        <f>B14*Hypothèses!$G$11 + 'Poids Allocation Dynamique'!C14*Hypothèses!$H$11 + 'Poids Allocation Dynamique'!D14*Hypothèses!$I$11</f>
        <v>0.06</v>
      </c>
      <c r="H14" s="60">
        <f>B14^2 * Hypothèses!$G$12 + 'Poids Allocation Dynamique'!C14^2*Hypothèses!$H$12 + 'Poids Allocation Dynamique'!D14^2 * Hypothèses!$I$12 + 2 * 'Poids Allocation Dynamique'!B14 * 'Poids Allocation Dynamique'!C14 * Hypothèses!$H$21 + 2 * 'Poids Allocation Dynamique'!C14 * 'Poids Allocation Dynamique'!D14 * Hypothèses!$I$22 + 2 * 'Poids Allocation Dynamique'!B14 * 'Poids Allocation Dynamique'!D14 * Hypothèses!$I$21</f>
        <v>1.9221952560063371E-2</v>
      </c>
      <c r="I14" s="58">
        <f t="shared" si="0"/>
        <v>0.13864325645361686</v>
      </c>
      <c r="J14">
        <f t="shared" si="1"/>
        <v>29</v>
      </c>
    </row>
    <row r="15" spans="1:10" ht="16.5" thickBot="1" x14ac:dyDescent="0.45">
      <c r="A15" s="4">
        <v>28</v>
      </c>
      <c r="B15" s="6">
        <v>1</v>
      </c>
      <c r="C15" s="7">
        <v>0</v>
      </c>
      <c r="D15" s="7">
        <v>0</v>
      </c>
      <c r="E15" s="74"/>
      <c r="F15" s="4">
        <v>28</v>
      </c>
      <c r="G15" s="58">
        <f>B15*Hypothèses!$G$11 + 'Poids Allocation Dynamique'!C15*Hypothèses!$H$11 + 'Poids Allocation Dynamique'!D15*Hypothèses!$I$11</f>
        <v>0.06</v>
      </c>
      <c r="H15" s="60">
        <f>B15^2 * Hypothèses!$G$12 + 'Poids Allocation Dynamique'!C15^2*Hypothèses!$H$12 + 'Poids Allocation Dynamique'!D15^2 * Hypothèses!$I$12 + 2 * 'Poids Allocation Dynamique'!B15 * 'Poids Allocation Dynamique'!C15 * Hypothèses!$H$21 + 2 * 'Poids Allocation Dynamique'!C15 * 'Poids Allocation Dynamique'!D15 * Hypothèses!$I$22 + 2 * 'Poids Allocation Dynamique'!B15 * 'Poids Allocation Dynamique'!D15 * Hypothèses!$I$21</f>
        <v>1.9221952560063371E-2</v>
      </c>
      <c r="I15" s="58">
        <f t="shared" si="0"/>
        <v>0.13864325645361686</v>
      </c>
      <c r="J15">
        <f t="shared" si="1"/>
        <v>28</v>
      </c>
    </row>
    <row r="16" spans="1:10" ht="16.5" thickBot="1" x14ac:dyDescent="0.45">
      <c r="A16" s="4">
        <v>27</v>
      </c>
      <c r="B16" s="6">
        <v>1</v>
      </c>
      <c r="C16" s="7">
        <v>0</v>
      </c>
      <c r="D16" s="7">
        <v>0</v>
      </c>
      <c r="E16" s="74"/>
      <c r="F16" s="4">
        <v>27</v>
      </c>
      <c r="G16" s="58">
        <f>B16*Hypothèses!$G$11 + 'Poids Allocation Dynamique'!C16*Hypothèses!$H$11 + 'Poids Allocation Dynamique'!D16*Hypothèses!$I$11</f>
        <v>0.06</v>
      </c>
      <c r="H16" s="60">
        <f>B16^2 * Hypothèses!$G$12 + 'Poids Allocation Dynamique'!C16^2*Hypothèses!$H$12 + 'Poids Allocation Dynamique'!D16^2 * Hypothèses!$I$12 + 2 * 'Poids Allocation Dynamique'!B16 * 'Poids Allocation Dynamique'!C16 * Hypothèses!$H$21 + 2 * 'Poids Allocation Dynamique'!C16 * 'Poids Allocation Dynamique'!D16 * Hypothèses!$I$22 + 2 * 'Poids Allocation Dynamique'!B16 * 'Poids Allocation Dynamique'!D16 * Hypothèses!$I$21</f>
        <v>1.9221952560063371E-2</v>
      </c>
      <c r="I16" s="58">
        <f t="shared" si="0"/>
        <v>0.13864325645361686</v>
      </c>
      <c r="J16">
        <f t="shared" si="1"/>
        <v>27</v>
      </c>
    </row>
    <row r="17" spans="1:10" ht="16.5" thickBot="1" x14ac:dyDescent="0.45">
      <c r="A17" s="4">
        <v>26</v>
      </c>
      <c r="B17" s="6">
        <v>1</v>
      </c>
      <c r="C17" s="7">
        <v>0</v>
      </c>
      <c r="D17" s="7">
        <v>0</v>
      </c>
      <c r="E17" s="74"/>
      <c r="F17" s="4">
        <v>26</v>
      </c>
      <c r="G17" s="58">
        <f>B17*Hypothèses!$G$11 + 'Poids Allocation Dynamique'!C17*Hypothèses!$H$11 + 'Poids Allocation Dynamique'!D17*Hypothèses!$I$11</f>
        <v>0.06</v>
      </c>
      <c r="H17" s="60">
        <f>B17^2 * Hypothèses!$G$12 + 'Poids Allocation Dynamique'!C17^2*Hypothèses!$H$12 + 'Poids Allocation Dynamique'!D17^2 * Hypothèses!$I$12 + 2 * 'Poids Allocation Dynamique'!B17 * 'Poids Allocation Dynamique'!C17 * Hypothèses!$H$21 + 2 * 'Poids Allocation Dynamique'!C17 * 'Poids Allocation Dynamique'!D17 * Hypothèses!$I$22 + 2 * 'Poids Allocation Dynamique'!B17 * 'Poids Allocation Dynamique'!D17 * Hypothèses!$I$21</f>
        <v>1.9221952560063371E-2</v>
      </c>
      <c r="I17" s="58">
        <f t="shared" si="0"/>
        <v>0.13864325645361686</v>
      </c>
      <c r="J17">
        <f t="shared" si="1"/>
        <v>26</v>
      </c>
    </row>
    <row r="18" spans="1:10" ht="16.5" thickBot="1" x14ac:dyDescent="0.45">
      <c r="A18" s="4">
        <v>25</v>
      </c>
      <c r="B18" s="6">
        <v>1</v>
      </c>
      <c r="C18" s="7">
        <v>0</v>
      </c>
      <c r="D18" s="7">
        <v>0</v>
      </c>
      <c r="E18" s="74"/>
      <c r="F18" s="4">
        <v>25</v>
      </c>
      <c r="G18" s="58">
        <f>B18*Hypothèses!$G$11 + 'Poids Allocation Dynamique'!C18*Hypothèses!$H$11 + 'Poids Allocation Dynamique'!D18*Hypothèses!$I$11</f>
        <v>0.06</v>
      </c>
      <c r="H18" s="60">
        <f>B18^2 * Hypothèses!$G$12 + 'Poids Allocation Dynamique'!C18^2*Hypothèses!$H$12 + 'Poids Allocation Dynamique'!D18^2 * Hypothèses!$I$12 + 2 * 'Poids Allocation Dynamique'!B18 * 'Poids Allocation Dynamique'!C18 * Hypothèses!$H$21 + 2 * 'Poids Allocation Dynamique'!C18 * 'Poids Allocation Dynamique'!D18 * Hypothèses!$I$22 + 2 * 'Poids Allocation Dynamique'!B18 * 'Poids Allocation Dynamique'!D18 * Hypothèses!$I$21</f>
        <v>1.9221952560063371E-2</v>
      </c>
      <c r="I18" s="58">
        <f t="shared" si="0"/>
        <v>0.13864325645361686</v>
      </c>
      <c r="J18">
        <f t="shared" si="1"/>
        <v>25</v>
      </c>
    </row>
    <row r="19" spans="1:10" ht="16.5" thickBot="1" x14ac:dyDescent="0.45">
      <c r="A19" s="4">
        <v>24</v>
      </c>
      <c r="B19" s="6">
        <v>1</v>
      </c>
      <c r="C19" s="7">
        <v>0</v>
      </c>
      <c r="D19" s="7">
        <v>0</v>
      </c>
      <c r="E19" s="74"/>
      <c r="F19" s="4">
        <v>24</v>
      </c>
      <c r="G19" s="58">
        <f>B19*Hypothèses!$G$11 + 'Poids Allocation Dynamique'!C19*Hypothèses!$H$11 + 'Poids Allocation Dynamique'!D19*Hypothèses!$I$11</f>
        <v>0.06</v>
      </c>
      <c r="H19" s="60">
        <f>B19^2 * Hypothèses!$G$12 + 'Poids Allocation Dynamique'!C19^2*Hypothèses!$H$12 + 'Poids Allocation Dynamique'!D19^2 * Hypothèses!$I$12 + 2 * 'Poids Allocation Dynamique'!B19 * 'Poids Allocation Dynamique'!C19 * Hypothèses!$H$21 + 2 * 'Poids Allocation Dynamique'!C19 * 'Poids Allocation Dynamique'!D19 * Hypothèses!$I$22 + 2 * 'Poids Allocation Dynamique'!B19 * 'Poids Allocation Dynamique'!D19 * Hypothèses!$I$21</f>
        <v>1.9221952560063371E-2</v>
      </c>
      <c r="I19" s="58">
        <f t="shared" si="0"/>
        <v>0.13864325645361686</v>
      </c>
      <c r="J19">
        <f t="shared" si="1"/>
        <v>24</v>
      </c>
    </row>
    <row r="20" spans="1:10" ht="16.5" thickBot="1" x14ac:dyDescent="0.45">
      <c r="A20" s="4">
        <v>23</v>
      </c>
      <c r="B20" s="6">
        <v>1</v>
      </c>
      <c r="C20" s="7">
        <v>0</v>
      </c>
      <c r="D20" s="7">
        <v>0</v>
      </c>
      <c r="E20" s="74"/>
      <c r="F20" s="4">
        <v>23</v>
      </c>
      <c r="G20" s="58">
        <f>B20*Hypothèses!$G$11 + 'Poids Allocation Dynamique'!C20*Hypothèses!$H$11 + 'Poids Allocation Dynamique'!D20*Hypothèses!$I$11</f>
        <v>0.06</v>
      </c>
      <c r="H20" s="60">
        <f>B20^2 * Hypothèses!$G$12 + 'Poids Allocation Dynamique'!C20^2*Hypothèses!$H$12 + 'Poids Allocation Dynamique'!D20^2 * Hypothèses!$I$12 + 2 * 'Poids Allocation Dynamique'!B20 * 'Poids Allocation Dynamique'!C20 * Hypothèses!$H$21 + 2 * 'Poids Allocation Dynamique'!C20 * 'Poids Allocation Dynamique'!D20 * Hypothèses!$I$22 + 2 * 'Poids Allocation Dynamique'!B20 * 'Poids Allocation Dynamique'!D20 * Hypothèses!$I$21</f>
        <v>1.9221952560063371E-2</v>
      </c>
      <c r="I20" s="58">
        <f t="shared" si="0"/>
        <v>0.13864325645361686</v>
      </c>
      <c r="J20">
        <f t="shared" si="1"/>
        <v>23</v>
      </c>
    </row>
    <row r="21" spans="1:10" ht="16.5" thickBot="1" x14ac:dyDescent="0.45">
      <c r="A21" s="4">
        <v>22</v>
      </c>
      <c r="B21" s="6">
        <v>1</v>
      </c>
      <c r="C21" s="7">
        <v>0</v>
      </c>
      <c r="D21" s="7">
        <v>0</v>
      </c>
      <c r="E21" s="74"/>
      <c r="F21" s="4">
        <v>22</v>
      </c>
      <c r="G21" s="58">
        <f>B21*Hypothèses!$G$11 + 'Poids Allocation Dynamique'!C21*Hypothèses!$H$11 + 'Poids Allocation Dynamique'!D21*Hypothèses!$I$11</f>
        <v>0.06</v>
      </c>
      <c r="H21" s="60">
        <f>B21^2 * Hypothèses!$G$12 + 'Poids Allocation Dynamique'!C21^2*Hypothèses!$H$12 + 'Poids Allocation Dynamique'!D21^2 * Hypothèses!$I$12 + 2 * 'Poids Allocation Dynamique'!B21 * 'Poids Allocation Dynamique'!C21 * Hypothèses!$H$21 + 2 * 'Poids Allocation Dynamique'!C21 * 'Poids Allocation Dynamique'!D21 * Hypothèses!$I$22 + 2 * 'Poids Allocation Dynamique'!B21 * 'Poids Allocation Dynamique'!D21 * Hypothèses!$I$21</f>
        <v>1.9221952560063371E-2</v>
      </c>
      <c r="I21" s="58">
        <f t="shared" si="0"/>
        <v>0.13864325645361686</v>
      </c>
      <c r="J21">
        <f t="shared" si="1"/>
        <v>22</v>
      </c>
    </row>
    <row r="22" spans="1:10" ht="16.5" thickBot="1" x14ac:dyDescent="0.45">
      <c r="A22" s="4">
        <v>21</v>
      </c>
      <c r="B22" s="6">
        <v>1</v>
      </c>
      <c r="C22" s="7">
        <v>0</v>
      </c>
      <c r="D22" s="7">
        <v>0</v>
      </c>
      <c r="E22" s="74"/>
      <c r="F22" s="4">
        <v>21</v>
      </c>
      <c r="G22" s="58">
        <f>B22*Hypothèses!$G$11 + 'Poids Allocation Dynamique'!C22*Hypothèses!$H$11 + 'Poids Allocation Dynamique'!D22*Hypothèses!$I$11</f>
        <v>0.06</v>
      </c>
      <c r="H22" s="60">
        <f>B22^2 * Hypothèses!$G$12 + 'Poids Allocation Dynamique'!C22^2*Hypothèses!$H$12 + 'Poids Allocation Dynamique'!D22^2 * Hypothèses!$I$12 + 2 * 'Poids Allocation Dynamique'!B22 * 'Poids Allocation Dynamique'!C22 * Hypothèses!$H$21 + 2 * 'Poids Allocation Dynamique'!C22 * 'Poids Allocation Dynamique'!D22 * Hypothèses!$I$22 + 2 * 'Poids Allocation Dynamique'!B22 * 'Poids Allocation Dynamique'!D22 * Hypothèses!$I$21</f>
        <v>1.9221952560063371E-2</v>
      </c>
      <c r="I22" s="58">
        <f t="shared" si="0"/>
        <v>0.13864325645361686</v>
      </c>
      <c r="J22">
        <f t="shared" si="1"/>
        <v>21</v>
      </c>
    </row>
    <row r="23" spans="1:10" ht="16.5" thickBot="1" x14ac:dyDescent="0.45">
      <c r="A23" s="4">
        <v>20</v>
      </c>
      <c r="B23" s="6">
        <v>1</v>
      </c>
      <c r="C23" s="7">
        <v>0</v>
      </c>
      <c r="D23" s="7">
        <v>0</v>
      </c>
      <c r="E23" s="74"/>
      <c r="F23" s="4">
        <v>20</v>
      </c>
      <c r="G23" s="58">
        <f>B23*Hypothèses!$G$11 + 'Poids Allocation Dynamique'!C23*Hypothèses!$H$11 + 'Poids Allocation Dynamique'!D23*Hypothèses!$I$11</f>
        <v>0.06</v>
      </c>
      <c r="H23" s="60">
        <f>B23^2 * Hypothèses!$G$12 + 'Poids Allocation Dynamique'!C23^2*Hypothèses!$H$12 + 'Poids Allocation Dynamique'!D23^2 * Hypothèses!$I$12 + 2 * 'Poids Allocation Dynamique'!B23 * 'Poids Allocation Dynamique'!C23 * Hypothèses!$H$21 + 2 * 'Poids Allocation Dynamique'!C23 * 'Poids Allocation Dynamique'!D23 * Hypothèses!$I$22 + 2 * 'Poids Allocation Dynamique'!B23 * 'Poids Allocation Dynamique'!D23 * Hypothèses!$I$21</f>
        <v>1.9221952560063371E-2</v>
      </c>
      <c r="I23" s="58">
        <f t="shared" si="0"/>
        <v>0.13864325645361686</v>
      </c>
      <c r="J23">
        <f t="shared" si="1"/>
        <v>20</v>
      </c>
    </row>
    <row r="24" spans="1:10" ht="16.5" thickBot="1" x14ac:dyDescent="0.45">
      <c r="A24" s="4">
        <v>19</v>
      </c>
      <c r="B24" s="6">
        <v>1</v>
      </c>
      <c r="C24" s="7">
        <v>0</v>
      </c>
      <c r="D24" s="7">
        <v>0</v>
      </c>
      <c r="E24" s="74"/>
      <c r="F24" s="4">
        <v>19</v>
      </c>
      <c r="G24" s="58">
        <f>B24*Hypothèses!$G$11 + 'Poids Allocation Dynamique'!C24*Hypothèses!$H$11 + 'Poids Allocation Dynamique'!D24*Hypothèses!$I$11</f>
        <v>0.06</v>
      </c>
      <c r="H24" s="60">
        <f>B24^2 * Hypothèses!$G$12 + 'Poids Allocation Dynamique'!C24^2*Hypothèses!$H$12 + 'Poids Allocation Dynamique'!D24^2 * Hypothèses!$I$12 + 2 * 'Poids Allocation Dynamique'!B24 * 'Poids Allocation Dynamique'!C24 * Hypothèses!$H$21 + 2 * 'Poids Allocation Dynamique'!C24 * 'Poids Allocation Dynamique'!D24 * Hypothèses!$I$22 + 2 * 'Poids Allocation Dynamique'!B24 * 'Poids Allocation Dynamique'!D24 * Hypothèses!$I$21</f>
        <v>1.9221952560063371E-2</v>
      </c>
      <c r="I24" s="58">
        <f t="shared" si="0"/>
        <v>0.13864325645361686</v>
      </c>
      <c r="J24">
        <f t="shared" si="1"/>
        <v>19</v>
      </c>
    </row>
    <row r="25" spans="1:10" ht="16.5" thickBot="1" x14ac:dyDescent="0.45">
      <c r="A25" s="4">
        <v>18</v>
      </c>
      <c r="B25" s="6">
        <v>1</v>
      </c>
      <c r="C25" s="7">
        <v>0</v>
      </c>
      <c r="D25" s="7">
        <v>0</v>
      </c>
      <c r="E25" s="74"/>
      <c r="F25" s="4">
        <v>18</v>
      </c>
      <c r="G25" s="58">
        <f>B25*Hypothèses!$G$11 + 'Poids Allocation Dynamique'!C25*Hypothèses!$H$11 + 'Poids Allocation Dynamique'!D25*Hypothèses!$I$11</f>
        <v>0.06</v>
      </c>
      <c r="H25" s="60">
        <f>B25^2 * Hypothèses!$G$12 + 'Poids Allocation Dynamique'!C25^2*Hypothèses!$H$12 + 'Poids Allocation Dynamique'!D25^2 * Hypothèses!$I$12 + 2 * 'Poids Allocation Dynamique'!B25 * 'Poids Allocation Dynamique'!C25 * Hypothèses!$H$21 + 2 * 'Poids Allocation Dynamique'!C25 * 'Poids Allocation Dynamique'!D25 * Hypothèses!$I$22 + 2 * 'Poids Allocation Dynamique'!B25 * 'Poids Allocation Dynamique'!D25 * Hypothèses!$I$21</f>
        <v>1.9221952560063371E-2</v>
      </c>
      <c r="I25" s="58">
        <f t="shared" si="0"/>
        <v>0.13864325645361686</v>
      </c>
      <c r="J25">
        <f t="shared" si="1"/>
        <v>18</v>
      </c>
    </row>
    <row r="26" spans="1:10" ht="16.5" thickBot="1" x14ac:dyDescent="0.45">
      <c r="A26" s="4">
        <v>17</v>
      </c>
      <c r="B26" s="6">
        <v>1</v>
      </c>
      <c r="C26" s="7">
        <v>0</v>
      </c>
      <c r="D26" s="7">
        <v>0</v>
      </c>
      <c r="E26" s="74"/>
      <c r="F26" s="4">
        <v>17</v>
      </c>
      <c r="G26" s="58">
        <f>B26*Hypothèses!$G$11 + 'Poids Allocation Dynamique'!C26*Hypothèses!$H$11 + 'Poids Allocation Dynamique'!D26*Hypothèses!$I$11</f>
        <v>0.06</v>
      </c>
      <c r="H26" s="60">
        <f>B26^2 * Hypothèses!$G$12 + 'Poids Allocation Dynamique'!C26^2*Hypothèses!$H$12 + 'Poids Allocation Dynamique'!D26^2 * Hypothèses!$I$12 + 2 * 'Poids Allocation Dynamique'!B26 * 'Poids Allocation Dynamique'!C26 * Hypothèses!$H$21 + 2 * 'Poids Allocation Dynamique'!C26 * 'Poids Allocation Dynamique'!D26 * Hypothèses!$I$22 + 2 * 'Poids Allocation Dynamique'!B26 * 'Poids Allocation Dynamique'!D26 * Hypothèses!$I$21</f>
        <v>1.9221952560063371E-2</v>
      </c>
      <c r="I26" s="58">
        <f t="shared" si="0"/>
        <v>0.13864325645361686</v>
      </c>
      <c r="J26">
        <f t="shared" si="1"/>
        <v>17</v>
      </c>
    </row>
    <row r="27" spans="1:10" ht="16.5" thickBot="1" x14ac:dyDescent="0.45">
      <c r="A27" s="4">
        <v>16</v>
      </c>
      <c r="B27" s="6">
        <v>1</v>
      </c>
      <c r="C27" s="7">
        <v>0</v>
      </c>
      <c r="D27" s="7">
        <v>0</v>
      </c>
      <c r="E27" s="74"/>
      <c r="F27" s="4">
        <v>16</v>
      </c>
      <c r="G27" s="58">
        <f>B27*Hypothèses!$G$11 + 'Poids Allocation Dynamique'!C27*Hypothèses!$H$11 + 'Poids Allocation Dynamique'!D27*Hypothèses!$I$11</f>
        <v>0.06</v>
      </c>
      <c r="H27" s="60">
        <f>B27^2 * Hypothèses!$G$12 + 'Poids Allocation Dynamique'!C27^2*Hypothèses!$H$12 + 'Poids Allocation Dynamique'!D27^2 * Hypothèses!$I$12 + 2 * 'Poids Allocation Dynamique'!B27 * 'Poids Allocation Dynamique'!C27 * Hypothèses!$H$21 + 2 * 'Poids Allocation Dynamique'!C27 * 'Poids Allocation Dynamique'!D27 * Hypothèses!$I$22 + 2 * 'Poids Allocation Dynamique'!B27 * 'Poids Allocation Dynamique'!D27 * Hypothèses!$I$21</f>
        <v>1.9221952560063371E-2</v>
      </c>
      <c r="I27" s="58">
        <f t="shared" si="0"/>
        <v>0.13864325645361686</v>
      </c>
      <c r="J27">
        <f t="shared" si="1"/>
        <v>16</v>
      </c>
    </row>
    <row r="28" spans="1:10" ht="16.5" thickBot="1" x14ac:dyDescent="0.45">
      <c r="A28" s="4">
        <v>15</v>
      </c>
      <c r="B28" s="6">
        <v>0.98</v>
      </c>
      <c r="C28" s="7">
        <v>0.02</v>
      </c>
      <c r="D28" s="7">
        <v>0</v>
      </c>
      <c r="E28" s="74"/>
      <c r="F28" s="4">
        <v>15</v>
      </c>
      <c r="G28" s="58">
        <f>B28*Hypothèses!$G$11 + 'Poids Allocation Dynamique'!C28*Hypothèses!$H$11 + 'Poids Allocation Dynamique'!D28*Hypothèses!$I$11</f>
        <v>5.9499999999999997E-2</v>
      </c>
      <c r="H28" s="60">
        <f>B28^2 * Hypothèses!$G$12 + 'Poids Allocation Dynamique'!C28^2*Hypothèses!$H$12 + 'Poids Allocation Dynamique'!D28^2 * Hypothèses!$I$12 + 2 * 'Poids Allocation Dynamique'!B28 * 'Poids Allocation Dynamique'!C28 * Hypothèses!$H$21 + 2 * 'Poids Allocation Dynamique'!C28 * 'Poids Allocation Dynamique'!D28 * Hypothèses!$I$22 + 2 * 'Poids Allocation Dynamique'!B28 * 'Poids Allocation Dynamique'!D28 * Hypothèses!$I$21</f>
        <v>1.8532500992030892E-2</v>
      </c>
      <c r="I28" s="58">
        <f t="shared" si="0"/>
        <v>0.13613412868208652</v>
      </c>
      <c r="J28">
        <f t="shared" si="1"/>
        <v>15</v>
      </c>
    </row>
    <row r="29" spans="1:10" ht="16.5" thickBot="1" x14ac:dyDescent="0.45">
      <c r="A29" s="4">
        <v>14</v>
      </c>
      <c r="B29" s="6">
        <v>0.96</v>
      </c>
      <c r="C29" s="7">
        <v>4.0000000000000036E-2</v>
      </c>
      <c r="D29" s="7">
        <v>0</v>
      </c>
      <c r="E29" s="74"/>
      <c r="F29" s="4">
        <v>14</v>
      </c>
      <c r="G29" s="58">
        <f>B29*Hypothèses!$G$11 + 'Poids Allocation Dynamique'!C29*Hypothèses!$H$11 + 'Poids Allocation Dynamique'!D29*Hypothèses!$I$11</f>
        <v>5.8999999999999997E-2</v>
      </c>
      <c r="H29" s="60">
        <f>B29^2 * Hypothèses!$G$12 + 'Poids Allocation Dynamique'!C29^2*Hypothèses!$H$12 + 'Poids Allocation Dynamique'!D29^2 * Hypothèses!$I$12 + 2 * 'Poids Allocation Dynamique'!B29 * 'Poids Allocation Dynamique'!C29 * Hypothèses!$H$21 + 2 * 'Poids Allocation Dynamique'!C29 * 'Poids Allocation Dynamique'!D29 * Hypothèses!$I$22 + 2 * 'Poids Allocation Dynamique'!B29 * 'Poids Allocation Dynamique'!D29 * Hypothèses!$I$21</f>
        <v>1.7857491108980723E-2</v>
      </c>
      <c r="I29" s="58">
        <f t="shared" si="0"/>
        <v>0.13363192398892088</v>
      </c>
      <c r="J29">
        <f t="shared" si="1"/>
        <v>14</v>
      </c>
    </row>
    <row r="30" spans="1:10" ht="16.5" thickBot="1" x14ac:dyDescent="0.45">
      <c r="A30" s="4">
        <v>13</v>
      </c>
      <c r="B30" s="6">
        <v>0.94</v>
      </c>
      <c r="C30" s="7">
        <v>6.0000000000000053E-2</v>
      </c>
      <c r="D30" s="7">
        <v>0</v>
      </c>
      <c r="E30" s="74"/>
      <c r="F30" s="4">
        <v>13</v>
      </c>
      <c r="G30" s="58">
        <f>B30*Hypothèses!$G$11 + 'Poids Allocation Dynamique'!C30*Hypothèses!$H$11 + 'Poids Allocation Dynamique'!D30*Hypothèses!$I$11</f>
        <v>5.8499999999999996E-2</v>
      </c>
      <c r="H30" s="60">
        <f>B30^2 * Hypothèses!$G$12 + 'Poids Allocation Dynamique'!C30^2*Hypothèses!$H$12 + 'Poids Allocation Dynamique'!D30^2 * Hypothèses!$I$12 + 2 * 'Poids Allocation Dynamique'!B30 * 'Poids Allocation Dynamique'!C30 * Hypothèses!$H$21 + 2 * 'Poids Allocation Dynamique'!C30 * 'Poids Allocation Dynamique'!D30 * Hypothèses!$I$22 + 2 * 'Poids Allocation Dynamique'!B30 * 'Poids Allocation Dynamique'!D30 * Hypothèses!$I$21</f>
        <v>1.7196922910912873E-2</v>
      </c>
      <c r="I30" s="58">
        <f t="shared" si="0"/>
        <v>0.13113703866914517</v>
      </c>
      <c r="J30">
        <f t="shared" si="1"/>
        <v>13</v>
      </c>
    </row>
    <row r="31" spans="1:10" ht="16.5" thickBot="1" x14ac:dyDescent="0.45">
      <c r="A31" s="4">
        <v>12</v>
      </c>
      <c r="B31" s="6">
        <v>0.8899999999999999</v>
      </c>
      <c r="C31" s="7">
        <v>0.1100000000000001</v>
      </c>
      <c r="D31" s="7">
        <v>0</v>
      </c>
      <c r="E31" s="74"/>
      <c r="F31" s="4">
        <v>12</v>
      </c>
      <c r="G31" s="58">
        <f>B31*Hypothèses!$G$11 + 'Poids Allocation Dynamique'!C31*Hypothèses!$H$11 + 'Poids Allocation Dynamique'!D31*Hypothèses!$I$11</f>
        <v>5.7249999999999995E-2</v>
      </c>
      <c r="H31" s="60">
        <f>B31^2 * Hypothèses!$G$12 + 'Poids Allocation Dynamique'!C31^2*Hypothèses!$H$12 + 'Poids Allocation Dynamique'!D31^2 * Hypothèses!$I$12 + 2 * 'Poids Allocation Dynamique'!B31 * 'Poids Allocation Dynamique'!C31 * Hypothèses!$H$21 + 2 * 'Poids Allocation Dynamique'!C31 * 'Poids Allocation Dynamique'!D31 * Hypothèses!$I$22 + 2 * 'Poids Allocation Dynamique'!B31 * 'Poids Allocation Dynamique'!D31 * Hypothèses!$I$21</f>
        <v>1.5608684787540867E-2</v>
      </c>
      <c r="I31" s="58">
        <f t="shared" si="0"/>
        <v>0.12493472210534935</v>
      </c>
      <c r="J31">
        <f t="shared" si="1"/>
        <v>12</v>
      </c>
    </row>
    <row r="32" spans="1:10" ht="16.5" thickBot="1" x14ac:dyDescent="0.45">
      <c r="A32" s="4">
        <v>11</v>
      </c>
      <c r="B32" s="6">
        <v>0.83999999999999986</v>
      </c>
      <c r="C32" s="7">
        <v>0.16000000000000014</v>
      </c>
      <c r="D32" s="7">
        <v>0</v>
      </c>
      <c r="E32" s="74"/>
      <c r="F32" s="4">
        <v>11</v>
      </c>
      <c r="G32" s="58">
        <f>B32*Hypothèses!$G$11 + 'Poids Allocation Dynamique'!C32*Hypothèses!$H$11 + 'Poids Allocation Dynamique'!D32*Hypothèses!$I$11</f>
        <v>5.5999999999999994E-2</v>
      </c>
      <c r="H32" s="60">
        <f>B32^2 * Hypothèses!$G$12 + 'Poids Allocation Dynamique'!C32^2*Hypothèses!$H$12 + 'Poids Allocation Dynamique'!D32^2 * Hypothèses!$I$12 + 2 * 'Poids Allocation Dynamique'!B32 * 'Poids Allocation Dynamique'!C32 * Hypothèses!$H$21 + 2 * 'Poids Allocation Dynamique'!C32 * 'Poids Allocation Dynamique'!D32 * Hypothèses!$I$22 + 2 * 'Poids Allocation Dynamique'!B32 * 'Poids Allocation Dynamique'!D32 * Hypothèses!$I$21</f>
        <v>1.4110707195308337E-2</v>
      </c>
      <c r="I32" s="58">
        <f t="shared" si="0"/>
        <v>0.11878849773992571</v>
      </c>
      <c r="J32">
        <f t="shared" si="1"/>
        <v>11</v>
      </c>
    </row>
    <row r="33" spans="1:10" ht="16.5" thickBot="1" x14ac:dyDescent="0.45">
      <c r="A33" s="4">
        <v>10</v>
      </c>
      <c r="B33" s="6">
        <v>0.78999999999999981</v>
      </c>
      <c r="C33" s="7">
        <v>0.18000000000000019</v>
      </c>
      <c r="D33" s="7">
        <v>0.03</v>
      </c>
      <c r="E33" s="74"/>
      <c r="F33" s="4">
        <v>10</v>
      </c>
      <c r="G33" s="58">
        <f>B33*Hypothèses!$G$11 + 'Poids Allocation Dynamique'!C33*Hypothèses!$H$11 + 'Poids Allocation Dynamique'!D33*Hypothèses!$I$11</f>
        <v>5.4299999999999994E-2</v>
      </c>
      <c r="H33" s="60">
        <f>B33^2 * Hypothèses!$G$12 + 'Poids Allocation Dynamique'!C33^2*Hypothèses!$H$12 + 'Poids Allocation Dynamique'!D33^2 * Hypothèses!$I$12 + 2 * 'Poids Allocation Dynamique'!B33 * 'Poids Allocation Dynamique'!C33 * Hypothèses!$H$21 + 2 * 'Poids Allocation Dynamique'!C33 * 'Poids Allocation Dynamique'!D33 * Hypothèses!$I$22 + 2 * 'Poids Allocation Dynamique'!B33 * 'Poids Allocation Dynamique'!D33 * Hypothèses!$I$21</f>
        <v>1.2594640899252536E-2</v>
      </c>
      <c r="I33" s="58">
        <f t="shared" si="0"/>
        <v>0.11222584773238532</v>
      </c>
      <c r="J33">
        <f t="shared" si="1"/>
        <v>10</v>
      </c>
    </row>
    <row r="34" spans="1:10" ht="16.5" thickBot="1" x14ac:dyDescent="0.45">
      <c r="A34" s="4">
        <v>9</v>
      </c>
      <c r="B34" s="6">
        <v>0.73999999999999977</v>
      </c>
      <c r="C34" s="7">
        <v>0.20000000000000023</v>
      </c>
      <c r="D34" s="7">
        <v>0.06</v>
      </c>
      <c r="E34" s="74"/>
      <c r="F34" s="4">
        <v>9</v>
      </c>
      <c r="G34" s="58">
        <f>B34*Hypothèses!$G$11 + 'Poids Allocation Dynamique'!C34*Hypothèses!$H$11 + 'Poids Allocation Dynamique'!D34*Hypothèses!$I$11</f>
        <v>5.2599999999999987E-2</v>
      </c>
      <c r="H34" s="60">
        <f>B34^2 * Hypothèses!$G$12 + 'Poids Allocation Dynamique'!C34^2*Hypothèses!$H$12 + 'Poids Allocation Dynamique'!D34^2 * Hypothèses!$I$12 + 2 * 'Poids Allocation Dynamique'!B34 * 'Poids Allocation Dynamique'!C34 * Hypothèses!$H$21 + 2 * 'Poids Allocation Dynamique'!C34 * 'Poids Allocation Dynamique'!D34 * Hypothèses!$I$22 + 2 * 'Poids Allocation Dynamique'!B34 * 'Poids Allocation Dynamique'!D34 * Hypothèses!$I$21</f>
        <v>1.1169099829095287E-2</v>
      </c>
      <c r="I34" s="58">
        <f t="shared" si="0"/>
        <v>0.10568396202402372</v>
      </c>
      <c r="J34">
        <f t="shared" si="1"/>
        <v>9</v>
      </c>
    </row>
    <row r="35" spans="1:10" ht="16.5" thickBot="1" x14ac:dyDescent="0.45">
      <c r="A35" s="4">
        <v>8</v>
      </c>
      <c r="B35" s="6">
        <v>0.68999999999999972</v>
      </c>
      <c r="C35" s="7">
        <v>0.22000000000000028</v>
      </c>
      <c r="D35" s="7">
        <v>0.09</v>
      </c>
      <c r="E35" s="74"/>
      <c r="F35" s="4">
        <v>8</v>
      </c>
      <c r="G35" s="58">
        <f>B35*Hypothèses!$G$11 + 'Poids Allocation Dynamique'!C35*Hypothèses!$H$11 + 'Poids Allocation Dynamique'!D35*Hypothèses!$I$11</f>
        <v>5.0899999999999994E-2</v>
      </c>
      <c r="H35" s="60">
        <f>B35^2 * Hypothèses!$G$12 + 'Poids Allocation Dynamique'!C35^2*Hypothèses!$H$12 + 'Poids Allocation Dynamique'!D35^2 * Hypothèses!$I$12 + 2 * 'Poids Allocation Dynamique'!B35 * 'Poids Allocation Dynamique'!C35 * Hypothèses!$H$21 + 2 * 'Poids Allocation Dynamique'!C35 * 'Poids Allocation Dynamique'!D35 * Hypothèses!$I$22 + 2 * 'Poids Allocation Dynamique'!B35 * 'Poids Allocation Dynamique'!D35 * Hypothèses!$I$21</f>
        <v>9.834083984836586E-3</v>
      </c>
      <c r="I35" s="58">
        <f t="shared" si="0"/>
        <v>9.9166950063196896E-2</v>
      </c>
      <c r="J35">
        <f t="shared" si="1"/>
        <v>8</v>
      </c>
    </row>
    <row r="36" spans="1:10" ht="16.5" thickBot="1" x14ac:dyDescent="0.45">
      <c r="A36" s="4">
        <v>7</v>
      </c>
      <c r="B36" s="6">
        <v>0.63999999999999968</v>
      </c>
      <c r="C36" s="7">
        <v>0.24000000000000032</v>
      </c>
      <c r="D36" s="7">
        <v>0.12</v>
      </c>
      <c r="E36" s="74"/>
      <c r="F36" s="4">
        <v>7</v>
      </c>
      <c r="G36" s="58">
        <f>B36*Hypothèses!$G$11 + 'Poids Allocation Dynamique'!C36*Hypothèses!$H$11 + 'Poids Allocation Dynamique'!D36*Hypothèses!$I$11</f>
        <v>4.9199999999999994E-2</v>
      </c>
      <c r="H36" s="60">
        <f>B36^2 * Hypothèses!$G$12 + 'Poids Allocation Dynamique'!C36^2*Hypothèses!$H$12 + 'Poids Allocation Dynamique'!D36^2 * Hypothèses!$I$12 + 2 * 'Poids Allocation Dynamique'!B36 * 'Poids Allocation Dynamique'!C36 * Hypothèses!$H$21 + 2 * 'Poids Allocation Dynamique'!C36 * 'Poids Allocation Dynamique'!D36 * Hypothèses!$I$22 + 2 * 'Poids Allocation Dynamique'!B36 * 'Poids Allocation Dynamique'!D36 * Hypothèses!$I$21</f>
        <v>8.5895933664764373E-3</v>
      </c>
      <c r="I36" s="58">
        <f t="shared" si="0"/>
        <v>9.2680059163103887E-2</v>
      </c>
      <c r="J36">
        <f t="shared" si="1"/>
        <v>7</v>
      </c>
    </row>
    <row r="37" spans="1:10" ht="16.5" thickBot="1" x14ac:dyDescent="0.45">
      <c r="A37" s="4">
        <v>6</v>
      </c>
      <c r="B37" s="6">
        <v>0.58999999999999964</v>
      </c>
      <c r="C37" s="7">
        <v>0.26000000000000034</v>
      </c>
      <c r="D37" s="7">
        <v>0.15</v>
      </c>
      <c r="E37" s="74"/>
      <c r="F37" s="4">
        <v>6</v>
      </c>
      <c r="G37" s="58">
        <f>B37*Hypothèses!$G$11 + 'Poids Allocation Dynamique'!C37*Hypothèses!$H$11 + 'Poids Allocation Dynamique'!D37*Hypothèses!$I$11</f>
        <v>4.7499999999999994E-2</v>
      </c>
      <c r="H37" s="60">
        <f>B37^2 * Hypothèses!$G$12 + 'Poids Allocation Dynamique'!C37^2*Hypothèses!$H$12 + 'Poids Allocation Dynamique'!D37^2 * Hypothèses!$I$12 + 2 * 'Poids Allocation Dynamique'!B37 * 'Poids Allocation Dynamique'!C37 * Hypothèses!$H$21 + 2 * 'Poids Allocation Dynamique'!C37 * 'Poids Allocation Dynamique'!D37 * Hypothèses!$I$22 + 2 * 'Poids Allocation Dynamique'!B37 * 'Poids Allocation Dynamique'!D37 * Hypothèses!$I$21</f>
        <v>7.4356279740148455E-3</v>
      </c>
      <c r="I37" s="58">
        <f t="shared" si="0"/>
        <v>8.623008740581703E-2</v>
      </c>
      <c r="J37">
        <f t="shared" si="1"/>
        <v>6</v>
      </c>
    </row>
    <row r="38" spans="1:10" ht="16.5" thickBot="1" x14ac:dyDescent="0.45">
      <c r="A38" s="4">
        <v>5</v>
      </c>
      <c r="B38" s="6">
        <v>0.53999999999999959</v>
      </c>
      <c r="C38" s="7">
        <v>0.28000000000000042</v>
      </c>
      <c r="D38" s="7">
        <v>0.18</v>
      </c>
      <c r="E38" s="74"/>
      <c r="F38" s="4">
        <v>5</v>
      </c>
      <c r="G38" s="58">
        <f>B38*Hypothèses!$G$11 + 'Poids Allocation Dynamique'!C38*Hypothèses!$H$11 + 'Poids Allocation Dynamique'!D38*Hypothèses!$I$11</f>
        <v>4.5799999999999993E-2</v>
      </c>
      <c r="H38" s="60">
        <f>B38^2 * Hypothèses!$G$12 + 'Poids Allocation Dynamique'!C38^2*Hypothèses!$H$12 + 'Poids Allocation Dynamique'!D38^2 * Hypothèses!$I$12 + 2 * 'Poids Allocation Dynamique'!B38 * 'Poids Allocation Dynamique'!C38 * Hypothèses!$H$21 + 2 * 'Poids Allocation Dynamique'!C38 * 'Poids Allocation Dynamique'!D38 * Hypothèses!$I$22 + 2 * 'Poids Allocation Dynamique'!B38 * 'Poids Allocation Dynamique'!D38 * Hypothèses!$I$21</f>
        <v>6.3721878074518021E-3</v>
      </c>
      <c r="I38" s="58">
        <f t="shared" si="0"/>
        <v>7.9825984537942291E-2</v>
      </c>
      <c r="J38">
        <f t="shared" si="1"/>
        <v>5</v>
      </c>
    </row>
    <row r="39" spans="1:10" ht="16.5" thickBot="1" x14ac:dyDescent="0.45">
      <c r="A39" s="4">
        <v>4</v>
      </c>
      <c r="B39" s="6">
        <v>0.46999999999999958</v>
      </c>
      <c r="C39" s="7">
        <v>0.3300000000000004</v>
      </c>
      <c r="D39" s="7">
        <v>0.2</v>
      </c>
      <c r="E39" s="74"/>
      <c r="F39" s="4">
        <v>4</v>
      </c>
      <c r="G39" s="58">
        <f>B39*Hypothèses!$G$11 + 'Poids Allocation Dynamique'!C39*Hypothèses!$H$11 + 'Poids Allocation Dynamique'!D39*Hypothèses!$I$11</f>
        <v>4.3749999999999997E-2</v>
      </c>
      <c r="H39" s="60">
        <f>B39^2 * Hypothèses!$G$12 + 'Poids Allocation Dynamique'!C39^2*Hypothèses!$H$12 + 'Poids Allocation Dynamique'!D39^2 * Hypothèses!$I$12 + 2 * 'Poids Allocation Dynamique'!B39 * 'Poids Allocation Dynamique'!C39 * Hypothèses!$H$21 + 2 * 'Poids Allocation Dynamique'!C39 * 'Poids Allocation Dynamique'!D39 * Hypothèses!$I$22 + 2 * 'Poids Allocation Dynamique'!B39 * 'Poids Allocation Dynamique'!D39 * Hypothèses!$I$21</f>
        <v>5.1039594773199552E-3</v>
      </c>
      <c r="I39" s="58">
        <f t="shared" si="0"/>
        <v>7.1442000793090585E-2</v>
      </c>
      <c r="J39">
        <f t="shared" si="1"/>
        <v>4</v>
      </c>
    </row>
    <row r="40" spans="1:10" ht="16.5" thickBot="1" x14ac:dyDescent="0.45">
      <c r="A40" s="4">
        <v>3</v>
      </c>
      <c r="B40" s="6">
        <v>0.39999999999999958</v>
      </c>
      <c r="C40" s="7">
        <v>0.30000000000000049</v>
      </c>
      <c r="D40" s="7">
        <v>0.3</v>
      </c>
      <c r="E40" s="74"/>
      <c r="F40" s="4">
        <v>3</v>
      </c>
      <c r="G40" s="58">
        <f>B40*Hypothèses!$G$11 + 'Poids Allocation Dynamique'!C40*Hypothèses!$H$11 + 'Poids Allocation Dynamique'!D40*Hypothèses!$I$11</f>
        <v>4.0499999999999987E-2</v>
      </c>
      <c r="H40" s="60">
        <f>B40^2 * Hypothèses!$G$12 + 'Poids Allocation Dynamique'!C40^2*Hypothèses!$H$12 + 'Poids Allocation Dynamique'!D40^2 * Hypothèses!$I$12 + 2 * 'Poids Allocation Dynamique'!B40 * 'Poids Allocation Dynamique'!C40 * Hypothèses!$H$21 + 2 * 'Poids Allocation Dynamique'!C40 * 'Poids Allocation Dynamique'!D40 * Hypothèses!$I$22 + 2 * 'Poids Allocation Dynamique'!B40 * 'Poids Allocation Dynamique'!D40 * Hypothèses!$I$21</f>
        <v>3.7727232920602297E-3</v>
      </c>
      <c r="I40" s="58">
        <f t="shared" si="0"/>
        <v>6.1422498256422535E-2</v>
      </c>
      <c r="J40">
        <f t="shared" si="1"/>
        <v>3</v>
      </c>
    </row>
    <row r="41" spans="1:10" ht="16.5" thickBot="1" x14ac:dyDescent="0.45">
      <c r="A41" s="4">
        <v>2</v>
      </c>
      <c r="B41" s="6">
        <v>0.32999999999999957</v>
      </c>
      <c r="C41" s="7">
        <v>0.27000000000000046</v>
      </c>
      <c r="D41" s="7">
        <v>0.4</v>
      </c>
      <c r="E41" s="74"/>
      <c r="F41" s="4">
        <v>2</v>
      </c>
      <c r="G41" s="58">
        <f>B41*Hypothèses!$G$11 + 'Poids Allocation Dynamique'!C41*Hypothèses!$H$11 + 'Poids Allocation Dynamique'!D41*Hypothèses!$I$11</f>
        <v>3.7249999999999991E-2</v>
      </c>
      <c r="H41" s="60">
        <f>B41^2 * Hypothèses!$G$12 + 'Poids Allocation Dynamique'!C41^2*Hypothèses!$H$12 + 'Poids Allocation Dynamique'!D41^2 * Hypothèses!$I$12 + 2 * 'Poids Allocation Dynamique'!B41 * 'Poids Allocation Dynamique'!C41 * Hypothèses!$H$21 + 2 * 'Poids Allocation Dynamique'!C41 * 'Poids Allocation Dynamique'!D41 * Hypothèses!$I$22 + 2 * 'Poids Allocation Dynamique'!B41 * 'Poids Allocation Dynamique'!D41 * Hypothèses!$I$21</f>
        <v>2.6468651282257221E-3</v>
      </c>
      <c r="I41" s="58">
        <f t="shared" si="0"/>
        <v>5.1447693128319393E-2</v>
      </c>
      <c r="J41">
        <f t="shared" si="1"/>
        <v>2</v>
      </c>
    </row>
    <row r="42" spans="1:10" ht="16.5" thickBot="1" x14ac:dyDescent="0.45">
      <c r="A42" s="4">
        <v>1</v>
      </c>
      <c r="B42" s="6">
        <v>0.25999999999999956</v>
      </c>
      <c r="C42" s="7">
        <v>0.24000000000000044</v>
      </c>
      <c r="D42" s="7">
        <v>0.5</v>
      </c>
      <c r="E42" s="74"/>
      <c r="F42" s="4">
        <v>1</v>
      </c>
      <c r="G42" s="58">
        <f>B42*Hypothèses!$G$11 + 'Poids Allocation Dynamique'!C42*Hypothèses!$H$11 + 'Poids Allocation Dynamique'!D42*Hypothèses!$I$11</f>
        <v>3.3999999999999989E-2</v>
      </c>
      <c r="H42" s="60">
        <f>B42^2 * Hypothèses!$G$12 + 'Poids Allocation Dynamique'!C42^2*Hypothèses!$H$12 + 'Poids Allocation Dynamique'!D42^2 * Hypothèses!$I$12 + 2 * 'Poids Allocation Dynamique'!B42 * 'Poids Allocation Dynamique'!C42 * Hypothèses!$H$21 + 2 * 'Poids Allocation Dynamique'!C42 * 'Poids Allocation Dynamique'!D42 * Hypothèses!$I$22 + 2 * 'Poids Allocation Dynamique'!B42 * 'Poids Allocation Dynamique'!D42 * Hypothèses!$I$21</f>
        <v>1.7263849858164353E-3</v>
      </c>
      <c r="I42" s="58">
        <f t="shared" si="0"/>
        <v>4.1549789239133758E-2</v>
      </c>
      <c r="J42">
        <f t="shared" si="1"/>
        <v>1</v>
      </c>
    </row>
    <row r="43" spans="1:10" ht="16" customHeight="1" thickBot="1" x14ac:dyDescent="0.45">
      <c r="A43" s="4">
        <v>0</v>
      </c>
      <c r="B43" s="6">
        <v>0.25999999999999956</v>
      </c>
      <c r="C43" s="7">
        <v>0.24000000000000044</v>
      </c>
      <c r="D43" s="7">
        <v>0.5</v>
      </c>
      <c r="E43" s="74"/>
      <c r="F43" s="4">
        <v>0</v>
      </c>
      <c r="G43" s="58">
        <f>B43*Hypothèses!$G$11 + 'Poids Allocation Dynamique'!C43*Hypothèses!$H$11 + 'Poids Allocation Dynamique'!D43*Hypothèses!$I$11</f>
        <v>3.3999999999999989E-2</v>
      </c>
      <c r="H43" s="60">
        <f>B43^2 * Hypothèses!$G$12 + 'Poids Allocation Dynamique'!C43^2*Hypothèses!$H$12 + 'Poids Allocation Dynamique'!D43^2 * Hypothèses!$I$12 + 2 * 'Poids Allocation Dynamique'!B43 * 'Poids Allocation Dynamique'!C43 * Hypothèses!$H$21 + 2 * 'Poids Allocation Dynamique'!C43 * 'Poids Allocation Dynamique'!D43 * Hypothèses!$I$22 + 2 * 'Poids Allocation Dynamique'!B43 * 'Poids Allocation Dynamique'!D43 * Hypothèses!$I$21</f>
        <v>1.7263849858164353E-3</v>
      </c>
      <c r="I43" s="58">
        <f t="shared" si="0"/>
        <v>4.1549789239133758E-2</v>
      </c>
      <c r="J43">
        <f t="shared" si="1"/>
        <v>0</v>
      </c>
    </row>
    <row r="44" spans="1:10" x14ac:dyDescent="0.4">
      <c r="G44" s="8"/>
    </row>
    <row r="45" spans="1:10" x14ac:dyDescent="0.4">
      <c r="G45" s="8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FF824-4A39-4415-A140-D70C4CB299A6}">
  <sheetPr codeName="Feuil11">
    <tabColor theme="8" tint="-0.499984740745262"/>
  </sheetPr>
  <dimension ref="B2:K50"/>
  <sheetViews>
    <sheetView workbookViewId="0">
      <selection activeCell="C11" sqref="C11:C12"/>
    </sheetView>
  </sheetViews>
  <sheetFormatPr baseColWidth="10" defaultRowHeight="16" x14ac:dyDescent="0.4"/>
  <cols>
    <col min="2" max="2" width="29.58203125" bestFit="1" customWidth="1"/>
    <col min="3" max="3" width="16.58203125" bestFit="1" customWidth="1"/>
    <col min="9" max="9" width="22" bestFit="1" customWidth="1"/>
    <col min="10" max="10" width="16" bestFit="1" customWidth="1"/>
    <col min="11" max="11" width="21.58203125" bestFit="1" customWidth="1"/>
  </cols>
  <sheetData>
    <row r="2" spans="2:11" ht="16.5" thickBot="1" x14ac:dyDescent="0.45">
      <c r="C2" t="s">
        <v>25</v>
      </c>
    </row>
    <row r="3" spans="2:11" ht="16.5" thickBot="1" x14ac:dyDescent="0.45">
      <c r="B3" s="9"/>
      <c r="C3" s="62" t="s">
        <v>20</v>
      </c>
    </row>
    <row r="4" spans="2:11" x14ac:dyDescent="0.4">
      <c r="B4" s="63" t="s">
        <v>21</v>
      </c>
      <c r="C4" s="68">
        <v>10000</v>
      </c>
    </row>
    <row r="5" spans="2:11" x14ac:dyDescent="0.4">
      <c r="B5" s="64" t="s">
        <v>22</v>
      </c>
      <c r="C5" s="66" t="s">
        <v>53</v>
      </c>
      <c r="J5" s="94"/>
    </row>
    <row r="6" spans="2:11" x14ac:dyDescent="0.4">
      <c r="B6" s="64" t="s">
        <v>24</v>
      </c>
      <c r="C6" s="66">
        <v>15</v>
      </c>
    </row>
    <row r="7" spans="2:11" x14ac:dyDescent="0.4">
      <c r="B7" s="64" t="s">
        <v>41</v>
      </c>
      <c r="C7" s="66">
        <v>10</v>
      </c>
    </row>
    <row r="8" spans="2:11" ht="16.5" thickBot="1" x14ac:dyDescent="0.45">
      <c r="B8" s="65" t="s">
        <v>31</v>
      </c>
      <c r="C8" s="67">
        <v>2</v>
      </c>
    </row>
    <row r="9" spans="2:11" ht="16.5" thickBot="1" x14ac:dyDescent="0.45">
      <c r="G9" s="78" t="s">
        <v>29</v>
      </c>
      <c r="H9" s="79" t="s">
        <v>30</v>
      </c>
      <c r="I9" s="80" t="s">
        <v>33</v>
      </c>
      <c r="J9" s="80" t="s">
        <v>34</v>
      </c>
      <c r="K9" s="81" t="s">
        <v>35</v>
      </c>
    </row>
    <row r="10" spans="2:11" x14ac:dyDescent="0.4">
      <c r="B10" s="9"/>
      <c r="C10" s="75" t="s">
        <v>26</v>
      </c>
      <c r="G10">
        <f>C6</f>
        <v>15</v>
      </c>
      <c r="H10">
        <f>IF(G10="","",IF(G10&lt;0,K9,IF(F10="versement",-$C$4,0)))</f>
        <v>0</v>
      </c>
      <c r="I10">
        <f>-H10</f>
        <v>0</v>
      </c>
      <c r="J10">
        <f>I10*(VLOOKUP(G10,'Poids Allocation Dynamique'!$A$3:$D$43,2,FALSE) * 'Rendement annuel Portefeuille'!B2 +  VLOOKUP(G10,'Poids Allocation Dynamique'!$A$3:$D$43,3,FALSE)*'Rendement annuel Portefeuille'!C2 + VLOOKUP(G10,'Poids Allocation Dynamique'!$A$3:$D$43,4,FALSE)*'Rendement annuel Portefeuille'!D2)</f>
        <v>0</v>
      </c>
      <c r="K10">
        <f>I10+J10</f>
        <v>0</v>
      </c>
    </row>
    <row r="11" spans="2:11" x14ac:dyDescent="0.4">
      <c r="B11" s="76" t="s">
        <v>27</v>
      </c>
      <c r="C11" s="90">
        <f ca="1">IRR(H10:OFFSET(H10,duree_inv+1,0))</f>
        <v>6.1461944387413148E-2</v>
      </c>
      <c r="F11" t="s">
        <v>32</v>
      </c>
      <c r="G11">
        <f t="shared" ref="G11:G45" si="0">IFERROR(IF(G10-1&gt;=horizon-duree_inv,G10-1,""),"")</f>
        <v>14</v>
      </c>
      <c r="H11">
        <f t="shared" ref="H11:H48" si="1">IF(G11 = horizon-duree_inv,K10,IF(G11="","",IF(G11&lt;horizon-duree_inv,K10,IF(F11="versement",-$C$4,0))))</f>
        <v>-10000</v>
      </c>
      <c r="I11" s="95">
        <f t="shared" ref="I11" si="2">IF(G11=horizon-duree_inv,"",IF(AND(G11&lt;&gt;"",G11&gt;=horizon-duree_inv),K10-H11,""))</f>
        <v>10000</v>
      </c>
      <c r="J11" s="95">
        <f>I11*(VLOOKUP(G11,'Poids Allocation Dynamique'!$A$3:$D$43,2,FALSE) * 'Rendement annuel Portefeuille'!B3 +  VLOOKUP(G11,'Poids Allocation Dynamique'!$A$3:$D$43,3,FALSE)*'Rendement annuel Portefeuille'!C3 + VLOOKUP(G11,'Poids Allocation Dynamique'!$A$3:$D$43,4,FALSE)*'Rendement annuel Portefeuille'!D3)</f>
        <v>297.54849927955752</v>
      </c>
      <c r="K11" s="95">
        <f t="shared" ref="K11" si="3">IF(AND(G11&lt;&gt;"",G11&gt;horizon-duree_inv),I11+J11,"")</f>
        <v>10297.548499279557</v>
      </c>
    </row>
    <row r="12" spans="2:11" ht="16.5" thickBot="1" x14ac:dyDescent="0.45">
      <c r="B12" s="77" t="s">
        <v>28</v>
      </c>
      <c r="C12" s="25">
        <f ca="1">OFFSET(start_year,duree_inv,1)</f>
        <v>68336.652027428441</v>
      </c>
      <c r="G12">
        <f t="shared" si="0"/>
        <v>13</v>
      </c>
      <c r="H12">
        <f t="shared" si="1"/>
        <v>0</v>
      </c>
      <c r="I12" s="95">
        <f t="shared" ref="I12:I20" si="4">IF(G12=horizon-duree_inv,"",IF(AND(G12&lt;&gt;"",G12&gt;=horizon-duree_inv),K11-H12,""))</f>
        <v>10297.548499279557</v>
      </c>
      <c r="J12" s="95">
        <f>I12*(VLOOKUP(G12,'Poids Allocation Dynamique'!$A$3:$D$43,2,FALSE) * 'Rendement annuel Portefeuille'!B4 +  VLOOKUP(G12,'Poids Allocation Dynamique'!$A$3:$D$43,3,FALSE)*'Rendement annuel Portefeuille'!C4 + VLOOKUP(G12,'Poids Allocation Dynamique'!$A$3:$D$43,4,FALSE)*'Rendement annuel Portefeuille'!D4)</f>
        <v>1138.4275768204952</v>
      </c>
      <c r="K12" s="95">
        <f t="shared" ref="K12:K20" si="5">IF(AND(G12&lt;&gt;"",G12&gt;horizon-duree_inv),I12+J12,"")</f>
        <v>11435.976076100053</v>
      </c>
    </row>
    <row r="13" spans="2:11" x14ac:dyDescent="0.4">
      <c r="F13" t="s">
        <v>32</v>
      </c>
      <c r="G13">
        <f t="shared" si="0"/>
        <v>12</v>
      </c>
      <c r="H13">
        <f t="shared" si="1"/>
        <v>-10000</v>
      </c>
      <c r="I13" s="95">
        <f t="shared" si="4"/>
        <v>21435.976076100051</v>
      </c>
      <c r="J13" s="95">
        <f>I13*(VLOOKUP(G13,'Poids Allocation Dynamique'!$A$3:$D$43,2,FALSE) * 'Rendement annuel Portefeuille'!B5 +  VLOOKUP(G13,'Poids Allocation Dynamique'!$A$3:$D$43,3,FALSE)*'Rendement annuel Portefeuille'!C5 + VLOOKUP(G13,'Poids Allocation Dynamique'!$A$3:$D$43,4,FALSE)*'Rendement annuel Portefeuille'!D5)</f>
        <v>-1388.8011183975411</v>
      </c>
      <c r="K13" s="95">
        <f t="shared" si="5"/>
        <v>20047.174957702511</v>
      </c>
    </row>
    <row r="14" spans="2:11" x14ac:dyDescent="0.4">
      <c r="G14">
        <f t="shared" si="0"/>
        <v>11</v>
      </c>
      <c r="H14">
        <f t="shared" si="1"/>
        <v>0</v>
      </c>
      <c r="I14" s="95">
        <f t="shared" si="4"/>
        <v>20047.174957702511</v>
      </c>
      <c r="J14" s="95">
        <f>I14*(VLOOKUP(G14,'Poids Allocation Dynamique'!$A$3:$D$43,2,FALSE) * 'Rendement annuel Portefeuille'!B6 +  VLOOKUP(G14,'Poids Allocation Dynamique'!$A$3:$D$43,3,FALSE)*'Rendement annuel Portefeuille'!C6 + VLOOKUP(G14,'Poids Allocation Dynamique'!$A$3:$D$43,4,FALSE)*'Rendement annuel Portefeuille'!D6)</f>
        <v>4033.3883446265058</v>
      </c>
      <c r="K14" s="95">
        <f t="shared" si="5"/>
        <v>24080.563302329017</v>
      </c>
    </row>
    <row r="15" spans="2:11" x14ac:dyDescent="0.4">
      <c r="F15" t="s">
        <v>32</v>
      </c>
      <c r="G15">
        <f t="shared" si="0"/>
        <v>10</v>
      </c>
      <c r="H15">
        <f t="shared" si="1"/>
        <v>-10000</v>
      </c>
      <c r="I15" s="95">
        <f t="shared" si="4"/>
        <v>34080.563302329014</v>
      </c>
      <c r="J15" s="95">
        <f>I15*(VLOOKUP(G15,'Poids Allocation Dynamique'!$A$3:$D$43,2,FALSE) * 'Rendement annuel Portefeuille'!B7 +  VLOOKUP(G15,'Poids Allocation Dynamique'!$A$3:$D$43,3,FALSE)*'Rendement annuel Portefeuille'!C7 + VLOOKUP(G15,'Poids Allocation Dynamique'!$A$3:$D$43,4,FALSE)*'Rendement annuel Portefeuille'!D7)</f>
        <v>1128.2689300176482</v>
      </c>
      <c r="K15" s="95">
        <f t="shared" si="5"/>
        <v>35208.832232346664</v>
      </c>
    </row>
    <row r="16" spans="2:11" x14ac:dyDescent="0.4">
      <c r="G16">
        <f t="shared" si="0"/>
        <v>9</v>
      </c>
      <c r="H16">
        <f t="shared" si="1"/>
        <v>0</v>
      </c>
      <c r="I16" s="95">
        <f t="shared" si="4"/>
        <v>35208.832232346664</v>
      </c>
      <c r="J16" s="95">
        <f>I16*(VLOOKUP(G16,'Poids Allocation Dynamique'!$A$3:$D$43,2,FALSE) * 'Rendement annuel Portefeuille'!B8 +  VLOOKUP(G16,'Poids Allocation Dynamique'!$A$3:$D$43,3,FALSE)*'Rendement annuel Portefeuille'!C8 + VLOOKUP(G16,'Poids Allocation Dynamique'!$A$3:$D$43,4,FALSE)*'Rendement annuel Portefeuille'!D8)</f>
        <v>5079.7668863927011</v>
      </c>
      <c r="K16" s="95">
        <f t="shared" si="5"/>
        <v>40288.599118739367</v>
      </c>
    </row>
    <row r="17" spans="6:11" x14ac:dyDescent="0.4">
      <c r="F17" t="s">
        <v>32</v>
      </c>
      <c r="G17">
        <f t="shared" si="0"/>
        <v>8</v>
      </c>
      <c r="H17">
        <f t="shared" si="1"/>
        <v>-10000</v>
      </c>
      <c r="I17" s="95">
        <f t="shared" si="4"/>
        <v>50288.599118739367</v>
      </c>
      <c r="J17" s="95">
        <f>I17*(VLOOKUP(G17,'Poids Allocation Dynamique'!$A$3:$D$43,2,FALSE) * 'Rendement annuel Portefeuille'!B9 +  VLOOKUP(G17,'Poids Allocation Dynamique'!$A$3:$D$43,3,FALSE)*'Rendement annuel Portefeuille'!C9 + VLOOKUP(G17,'Poids Allocation Dynamique'!$A$3:$D$43,4,FALSE)*'Rendement annuel Portefeuille'!D9)</f>
        <v>-1314.7974304471632</v>
      </c>
      <c r="K17" s="95">
        <f t="shared" si="5"/>
        <v>48973.801688292202</v>
      </c>
    </row>
    <row r="18" spans="6:11" x14ac:dyDescent="0.4">
      <c r="G18">
        <f t="shared" si="0"/>
        <v>7</v>
      </c>
      <c r="H18">
        <f t="shared" si="1"/>
        <v>0</v>
      </c>
      <c r="I18" s="95">
        <f t="shared" si="4"/>
        <v>48973.801688292202</v>
      </c>
      <c r="J18" s="95">
        <f>I18*(VLOOKUP(G18,'Poids Allocation Dynamique'!$A$3:$D$43,2,FALSE) * 'Rendement annuel Portefeuille'!B10 +  VLOOKUP(G18,'Poids Allocation Dynamique'!$A$3:$D$43,3,FALSE)*'Rendement annuel Portefeuille'!C10 + VLOOKUP(G18,'Poids Allocation Dynamique'!$A$3:$D$43,4,FALSE)*'Rendement annuel Portefeuille'!D10)</f>
        <v>721.75317054000016</v>
      </c>
      <c r="K18" s="95">
        <f t="shared" si="5"/>
        <v>49695.554858832205</v>
      </c>
    </row>
    <row r="19" spans="6:11" x14ac:dyDescent="0.4">
      <c r="F19" t="s">
        <v>32</v>
      </c>
      <c r="G19">
        <f t="shared" si="0"/>
        <v>6</v>
      </c>
      <c r="H19">
        <f t="shared" si="1"/>
        <v>-10000</v>
      </c>
      <c r="I19" s="95">
        <f t="shared" si="4"/>
        <v>59695.554858832205</v>
      </c>
      <c r="J19" s="95">
        <f>I19*(VLOOKUP(G19,'Poids Allocation Dynamique'!$A$3:$D$43,2,FALSE) * 'Rendement annuel Portefeuille'!B11 +  VLOOKUP(G19,'Poids Allocation Dynamique'!$A$3:$D$43,3,FALSE)*'Rendement annuel Portefeuille'!C11 + VLOOKUP(G19,'Poids Allocation Dynamique'!$A$3:$D$43,4,FALSE)*'Rendement annuel Portefeuille'!D11)</f>
        <v>8641.0971685962359</v>
      </c>
      <c r="K19" s="95">
        <f t="shared" si="5"/>
        <v>68336.652027428441</v>
      </c>
    </row>
    <row r="20" spans="6:11" x14ac:dyDescent="0.4">
      <c r="G20">
        <f t="shared" si="0"/>
        <v>5</v>
      </c>
      <c r="H20">
        <f t="shared" ref="H20:H44" si="6">IF(G20 = horizon-duree_inv,K19,IF(G20="","",IF(G20&lt;horizon-duree_inv,K19,IF(F20="versement",-$C$4,0))))</f>
        <v>68336.652027428441</v>
      </c>
      <c r="I20" s="95" t="str">
        <f t="shared" si="4"/>
        <v/>
      </c>
      <c r="J20" s="95"/>
      <c r="K20" s="95" t="str">
        <f t="shared" si="5"/>
        <v/>
      </c>
    </row>
    <row r="21" spans="6:11" x14ac:dyDescent="0.4">
      <c r="G21" t="str">
        <f t="shared" ref="G21:G44" si="7">IFERROR(IF(G20-1&gt;=horizon-duree_inv,G20-1,""),"")</f>
        <v/>
      </c>
      <c r="H21" t="str">
        <f t="shared" si="6"/>
        <v/>
      </c>
      <c r="I21" s="95" t="str">
        <f t="shared" ref="I21" si="8">IF(G21=horizon-duree_inv,"",IF(AND(G21&lt;&gt;"",G21&gt;=horizon-duree_inv),K20-H21,""))</f>
        <v/>
      </c>
      <c r="J21" s="95"/>
      <c r="K21" s="95" t="str">
        <f t="shared" ref="K21" si="9">IF(AND(G21&lt;&gt;"",G21&gt;horizon-duree_inv),I21+J21,"")</f>
        <v/>
      </c>
    </row>
    <row r="22" spans="6:11" x14ac:dyDescent="0.4">
      <c r="G22" t="str">
        <f t="shared" si="7"/>
        <v/>
      </c>
      <c r="H22" t="str">
        <f t="shared" si="6"/>
        <v/>
      </c>
      <c r="I22" s="95" t="str">
        <f t="shared" ref="I22:I44" si="10">IF(G22=horizon-duree_inv,"",IF(AND(G22&lt;&gt;"",G22&gt;=horizon-duree_inv),K21-H22,""))</f>
        <v/>
      </c>
      <c r="J22" s="95"/>
      <c r="K22" s="95" t="str">
        <f t="shared" ref="K22:K44" si="11">IF(AND(G22&lt;&gt;"",G22&gt;horizon-duree_inv),I22+J22,"")</f>
        <v/>
      </c>
    </row>
    <row r="23" spans="6:11" x14ac:dyDescent="0.4">
      <c r="G23" t="str">
        <f t="shared" si="7"/>
        <v/>
      </c>
      <c r="H23" t="str">
        <f t="shared" si="6"/>
        <v/>
      </c>
      <c r="I23" s="95" t="str">
        <f t="shared" si="10"/>
        <v/>
      </c>
      <c r="J23" s="95"/>
      <c r="K23" s="95" t="str">
        <f t="shared" si="11"/>
        <v/>
      </c>
    </row>
    <row r="24" spans="6:11" x14ac:dyDescent="0.4">
      <c r="G24" t="str">
        <f t="shared" si="7"/>
        <v/>
      </c>
      <c r="H24" t="str">
        <f t="shared" si="6"/>
        <v/>
      </c>
      <c r="I24" s="95" t="str">
        <f t="shared" si="10"/>
        <v/>
      </c>
      <c r="J24" s="95"/>
      <c r="K24" s="95" t="str">
        <f t="shared" si="11"/>
        <v/>
      </c>
    </row>
    <row r="25" spans="6:11" x14ac:dyDescent="0.4">
      <c r="G25" t="str">
        <f t="shared" si="7"/>
        <v/>
      </c>
      <c r="H25" t="str">
        <f t="shared" si="6"/>
        <v/>
      </c>
      <c r="I25" s="95" t="str">
        <f t="shared" si="10"/>
        <v/>
      </c>
      <c r="J25" s="95"/>
      <c r="K25" s="95" t="str">
        <f t="shared" si="11"/>
        <v/>
      </c>
    </row>
    <row r="26" spans="6:11" x14ac:dyDescent="0.4">
      <c r="G26" t="str">
        <f t="shared" si="7"/>
        <v/>
      </c>
      <c r="H26" t="str">
        <f t="shared" si="6"/>
        <v/>
      </c>
      <c r="I26" s="95" t="str">
        <f t="shared" si="10"/>
        <v/>
      </c>
      <c r="J26" s="95"/>
      <c r="K26" s="95" t="str">
        <f t="shared" si="11"/>
        <v/>
      </c>
    </row>
    <row r="27" spans="6:11" x14ac:dyDescent="0.4">
      <c r="G27" t="str">
        <f t="shared" si="7"/>
        <v/>
      </c>
      <c r="H27" t="str">
        <f t="shared" si="6"/>
        <v/>
      </c>
      <c r="I27" s="95" t="str">
        <f t="shared" si="10"/>
        <v/>
      </c>
      <c r="J27" s="95"/>
      <c r="K27" s="95" t="str">
        <f t="shared" si="11"/>
        <v/>
      </c>
    </row>
    <row r="28" spans="6:11" x14ac:dyDescent="0.4">
      <c r="G28" t="str">
        <f t="shared" si="7"/>
        <v/>
      </c>
      <c r="H28" t="str">
        <f t="shared" si="6"/>
        <v/>
      </c>
      <c r="I28" s="95" t="str">
        <f t="shared" si="10"/>
        <v/>
      </c>
      <c r="J28" s="95"/>
      <c r="K28" s="95" t="str">
        <f t="shared" si="11"/>
        <v/>
      </c>
    </row>
    <row r="29" spans="6:11" x14ac:dyDescent="0.4">
      <c r="G29" t="str">
        <f t="shared" si="7"/>
        <v/>
      </c>
      <c r="H29" t="str">
        <f t="shared" si="6"/>
        <v/>
      </c>
      <c r="I29" s="95" t="str">
        <f t="shared" si="10"/>
        <v/>
      </c>
      <c r="J29" s="95"/>
      <c r="K29" s="95" t="str">
        <f t="shared" si="11"/>
        <v/>
      </c>
    </row>
    <row r="30" spans="6:11" x14ac:dyDescent="0.4">
      <c r="G30" t="str">
        <f t="shared" si="7"/>
        <v/>
      </c>
      <c r="H30" t="str">
        <f t="shared" si="6"/>
        <v/>
      </c>
      <c r="I30" s="95" t="str">
        <f t="shared" si="10"/>
        <v/>
      </c>
      <c r="J30" s="95"/>
      <c r="K30" s="95" t="str">
        <f t="shared" si="11"/>
        <v/>
      </c>
    </row>
    <row r="31" spans="6:11" x14ac:dyDescent="0.4">
      <c r="G31" t="str">
        <f t="shared" si="7"/>
        <v/>
      </c>
      <c r="H31" t="str">
        <f t="shared" si="6"/>
        <v/>
      </c>
      <c r="I31" s="95" t="str">
        <f t="shared" si="10"/>
        <v/>
      </c>
      <c r="J31" s="95"/>
      <c r="K31" s="95" t="str">
        <f t="shared" si="11"/>
        <v/>
      </c>
    </row>
    <row r="32" spans="6:11" x14ac:dyDescent="0.4">
      <c r="G32" t="str">
        <f t="shared" si="7"/>
        <v/>
      </c>
      <c r="H32" t="str">
        <f t="shared" si="6"/>
        <v/>
      </c>
      <c r="I32" s="95" t="str">
        <f t="shared" si="10"/>
        <v/>
      </c>
      <c r="J32" s="95"/>
      <c r="K32" s="95" t="str">
        <f t="shared" si="11"/>
        <v/>
      </c>
    </row>
    <row r="33" spans="7:11" x14ac:dyDescent="0.4">
      <c r="G33" t="str">
        <f t="shared" si="7"/>
        <v/>
      </c>
      <c r="H33" t="str">
        <f t="shared" si="6"/>
        <v/>
      </c>
      <c r="I33" s="95" t="str">
        <f t="shared" si="10"/>
        <v/>
      </c>
      <c r="J33" s="95"/>
      <c r="K33" s="95" t="str">
        <f t="shared" si="11"/>
        <v/>
      </c>
    </row>
    <row r="34" spans="7:11" x14ac:dyDescent="0.4">
      <c r="G34" t="str">
        <f t="shared" si="7"/>
        <v/>
      </c>
      <c r="H34" t="str">
        <f t="shared" si="6"/>
        <v/>
      </c>
      <c r="I34" s="95" t="str">
        <f t="shared" si="10"/>
        <v/>
      </c>
      <c r="J34" s="95"/>
      <c r="K34" s="95" t="str">
        <f t="shared" si="11"/>
        <v/>
      </c>
    </row>
    <row r="35" spans="7:11" x14ac:dyDescent="0.4">
      <c r="G35" t="str">
        <f t="shared" si="7"/>
        <v/>
      </c>
      <c r="H35" t="str">
        <f t="shared" si="6"/>
        <v/>
      </c>
      <c r="I35" s="95" t="str">
        <f t="shared" si="10"/>
        <v/>
      </c>
      <c r="J35" s="95"/>
      <c r="K35" s="95" t="str">
        <f t="shared" si="11"/>
        <v/>
      </c>
    </row>
    <row r="36" spans="7:11" x14ac:dyDescent="0.4">
      <c r="G36" t="str">
        <f t="shared" si="7"/>
        <v/>
      </c>
      <c r="H36" t="str">
        <f t="shared" si="6"/>
        <v/>
      </c>
      <c r="I36" s="95" t="str">
        <f t="shared" si="10"/>
        <v/>
      </c>
      <c r="J36" s="95"/>
      <c r="K36" s="95" t="str">
        <f t="shared" si="11"/>
        <v/>
      </c>
    </row>
    <row r="37" spans="7:11" x14ac:dyDescent="0.4">
      <c r="G37" t="str">
        <f t="shared" si="7"/>
        <v/>
      </c>
      <c r="H37" t="str">
        <f t="shared" si="6"/>
        <v/>
      </c>
      <c r="I37" s="95" t="str">
        <f t="shared" si="10"/>
        <v/>
      </c>
      <c r="J37" s="95"/>
      <c r="K37" s="95" t="str">
        <f t="shared" si="11"/>
        <v/>
      </c>
    </row>
    <row r="38" spans="7:11" x14ac:dyDescent="0.4">
      <c r="G38" t="str">
        <f t="shared" si="7"/>
        <v/>
      </c>
      <c r="H38" t="str">
        <f t="shared" si="6"/>
        <v/>
      </c>
      <c r="I38" s="95" t="str">
        <f t="shared" si="10"/>
        <v/>
      </c>
      <c r="J38" s="95"/>
      <c r="K38" s="95" t="str">
        <f t="shared" si="11"/>
        <v/>
      </c>
    </row>
    <row r="39" spans="7:11" x14ac:dyDescent="0.4">
      <c r="G39" t="str">
        <f t="shared" si="7"/>
        <v/>
      </c>
      <c r="H39" t="str">
        <f t="shared" si="6"/>
        <v/>
      </c>
      <c r="I39" s="95" t="str">
        <f t="shared" si="10"/>
        <v/>
      </c>
      <c r="J39" s="95"/>
      <c r="K39" s="95" t="str">
        <f t="shared" si="11"/>
        <v/>
      </c>
    </row>
    <row r="40" spans="7:11" x14ac:dyDescent="0.4">
      <c r="G40" t="str">
        <f t="shared" si="7"/>
        <v/>
      </c>
      <c r="H40" t="str">
        <f t="shared" si="6"/>
        <v/>
      </c>
      <c r="I40" s="95" t="str">
        <f t="shared" si="10"/>
        <v/>
      </c>
      <c r="J40" s="95"/>
      <c r="K40" s="95" t="str">
        <f t="shared" si="11"/>
        <v/>
      </c>
    </row>
    <row r="41" spans="7:11" x14ac:dyDescent="0.4">
      <c r="G41" t="str">
        <f t="shared" si="7"/>
        <v/>
      </c>
      <c r="H41" t="str">
        <f t="shared" si="6"/>
        <v/>
      </c>
      <c r="I41" s="95" t="str">
        <f t="shared" si="10"/>
        <v/>
      </c>
      <c r="J41" s="95"/>
      <c r="K41" s="95" t="str">
        <f t="shared" si="11"/>
        <v/>
      </c>
    </row>
    <row r="42" spans="7:11" x14ac:dyDescent="0.4">
      <c r="G42" t="str">
        <f t="shared" si="7"/>
        <v/>
      </c>
      <c r="H42" t="str">
        <f t="shared" si="6"/>
        <v/>
      </c>
      <c r="I42" s="95" t="str">
        <f t="shared" si="10"/>
        <v/>
      </c>
      <c r="J42" s="95"/>
      <c r="K42" s="95" t="str">
        <f t="shared" si="11"/>
        <v/>
      </c>
    </row>
    <row r="43" spans="7:11" x14ac:dyDescent="0.4">
      <c r="G43" t="str">
        <f t="shared" si="7"/>
        <v/>
      </c>
      <c r="H43" t="str">
        <f t="shared" si="6"/>
        <v/>
      </c>
      <c r="I43" s="95" t="str">
        <f t="shared" si="10"/>
        <v/>
      </c>
      <c r="J43" s="95"/>
      <c r="K43" s="95" t="str">
        <f t="shared" si="11"/>
        <v/>
      </c>
    </row>
    <row r="44" spans="7:11" x14ac:dyDescent="0.4">
      <c r="G44" t="str">
        <f t="shared" si="7"/>
        <v/>
      </c>
      <c r="H44" t="str">
        <f t="shared" si="6"/>
        <v/>
      </c>
      <c r="I44" s="95" t="str">
        <f t="shared" si="10"/>
        <v/>
      </c>
      <c r="J44" s="95"/>
      <c r="K44" s="95" t="str">
        <f t="shared" si="11"/>
        <v/>
      </c>
    </row>
    <row r="45" spans="7:11" x14ac:dyDescent="0.4">
      <c r="G45" t="str">
        <f t="shared" si="0"/>
        <v/>
      </c>
      <c r="H45" t="str">
        <f t="shared" si="1"/>
        <v/>
      </c>
      <c r="I45" t="str">
        <f t="shared" ref="I45:I48" si="12">IF(G45=horizon-duree_inv,"",IF(AND(G45&lt;&gt;"",G45&gt;=horizon-duree_inv),K44-H45,""))</f>
        <v/>
      </c>
      <c r="K45" t="str">
        <f t="shared" ref="K45:K48" si="13">IF(AND(G45&lt;&gt;"",G45&gt;horizon-duree_inv),I45+J45,"")</f>
        <v/>
      </c>
    </row>
    <row r="46" spans="7:11" x14ac:dyDescent="0.4">
      <c r="G46" t="str">
        <f>IFERROR(IF(G45-1&gt;=duree_inv,G45-1,""),"")</f>
        <v/>
      </c>
      <c r="H46" t="str">
        <f t="shared" si="1"/>
        <v/>
      </c>
      <c r="I46" t="str">
        <f t="shared" si="12"/>
        <v/>
      </c>
      <c r="K46" t="str">
        <f t="shared" si="13"/>
        <v/>
      </c>
    </row>
    <row r="47" spans="7:11" x14ac:dyDescent="0.4">
      <c r="G47" t="str">
        <f t="shared" ref="G47:G50" si="14">IFERROR(IF(G46-1&gt;=0,G46-1,""),"")</f>
        <v/>
      </c>
      <c r="H47" t="str">
        <f t="shared" si="1"/>
        <v/>
      </c>
      <c r="I47" t="str">
        <f t="shared" si="12"/>
        <v/>
      </c>
      <c r="K47" t="str">
        <f t="shared" si="13"/>
        <v/>
      </c>
    </row>
    <row r="48" spans="7:11" x14ac:dyDescent="0.4">
      <c r="G48" t="str">
        <f t="shared" si="14"/>
        <v/>
      </c>
      <c r="H48" t="str">
        <f t="shared" si="1"/>
        <v/>
      </c>
      <c r="I48" t="str">
        <f t="shared" si="12"/>
        <v/>
      </c>
      <c r="K48" t="str">
        <f t="shared" si="13"/>
        <v/>
      </c>
    </row>
    <row r="49" spans="7:11" x14ac:dyDescent="0.4">
      <c r="G49" t="str">
        <f t="shared" si="14"/>
        <v/>
      </c>
      <c r="H49" t="str">
        <f t="shared" ref="H49:H50" si="15">IF(G49 = 0,K49,IF(G49="","",IF(G49&lt;0,K48,IF(F49="versement",-$C$4,0))))</f>
        <v/>
      </c>
      <c r="I49" t="str">
        <f t="shared" ref="I49" si="16">IF(AND(G49&lt;&gt;"",G49&lt;&gt;0),K48-H49,"")</f>
        <v/>
      </c>
      <c r="K49" t="str">
        <f t="shared" ref="K49" si="17">IF(AND(G49&lt;&gt;"",G49&lt;&gt;0),I49+J49,"")</f>
        <v/>
      </c>
    </row>
    <row r="50" spans="7:11" x14ac:dyDescent="0.4">
      <c r="G50" t="str">
        <f t="shared" si="14"/>
        <v/>
      </c>
      <c r="H50" t="str">
        <f t="shared" si="15"/>
        <v/>
      </c>
    </row>
  </sheetData>
  <dataValidations count="1">
    <dataValidation type="list" allowBlank="1" showInputMessage="1" showErrorMessage="1" sqref="C5" xr:uid="{49261D53-9B2F-475E-A2D2-6CB3BC790195}">
      <formula1>"Equilibré , Dynamique"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Flux.flux" altText="Période de versement_x000a_">
                <anchor moveWithCells="1" sizeWithCells="1">
                  <from>
                    <xdr:col>5</xdr:col>
                    <xdr:colOff>38100</xdr:colOff>
                    <xdr:row>5</xdr:row>
                    <xdr:rowOff>12700</xdr:rowOff>
                  </from>
                  <to>
                    <xdr:col>6</xdr:col>
                    <xdr:colOff>736600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17</vt:i4>
      </vt:variant>
    </vt:vector>
  </HeadingPairs>
  <TitlesOfParts>
    <vt:vector size="30" baseType="lpstr">
      <vt:lpstr>Infos utilisateur</vt:lpstr>
      <vt:lpstr>Résultat</vt:lpstr>
      <vt:lpstr>Hypothèses</vt:lpstr>
      <vt:lpstr>Poids Allocation</vt:lpstr>
      <vt:lpstr>Modèle</vt:lpstr>
      <vt:lpstr>Rendement hist</vt:lpstr>
      <vt:lpstr>Cours_Hist_figé</vt:lpstr>
      <vt:lpstr>Rendement annuel Bench</vt:lpstr>
      <vt:lpstr>Modèle hist bench</vt:lpstr>
      <vt:lpstr>Modèle hist Portefeuille</vt:lpstr>
      <vt:lpstr>Rendement annuel Portefeuille</vt:lpstr>
      <vt:lpstr>Poids Allocation Dynamique</vt:lpstr>
      <vt:lpstr>Modèle hist dynamique</vt:lpstr>
      <vt:lpstr>'Modèle hist bench'!duree_inv</vt:lpstr>
      <vt:lpstr>'Modèle hist dynamique'!duree_inv</vt:lpstr>
      <vt:lpstr>'Modèle hist Portefeuille'!duree_inv</vt:lpstr>
      <vt:lpstr>duree_inv</vt:lpstr>
      <vt:lpstr>'Modèle hist bench'!horizon</vt:lpstr>
      <vt:lpstr>'Modèle hist dynamique'!horizon</vt:lpstr>
      <vt:lpstr>'Modèle hist Portefeuille'!horizon</vt:lpstr>
      <vt:lpstr>horizon</vt:lpstr>
      <vt:lpstr>'Modèle hist bench'!periodicite</vt:lpstr>
      <vt:lpstr>'Modèle hist dynamique'!periodicite</vt:lpstr>
      <vt:lpstr>'Modèle hist Portefeuille'!periodicite</vt:lpstr>
      <vt:lpstr>periodicite</vt:lpstr>
      <vt:lpstr>'Modèle hist bench'!start_year</vt:lpstr>
      <vt:lpstr>'Modèle hist dynamique'!start_year</vt:lpstr>
      <vt:lpstr>'Modèle hist Portefeuille'!start_year</vt:lpstr>
      <vt:lpstr>start_year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Timothee Dangleterre</dc:creator>
  <cp:lastModifiedBy>Giovanni Manche</cp:lastModifiedBy>
  <dcterms:created xsi:type="dcterms:W3CDTF">2025-02-17T21:17:06Z</dcterms:created>
  <dcterms:modified xsi:type="dcterms:W3CDTF">2025-04-05T00:20:57Z</dcterms:modified>
</cp:coreProperties>
</file>